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lumn Dictionary" sheetId="2" state="visible" r:id="rId4"/>
    <sheet name="Raw Data" sheetId="3" state="visible" r:id="rId5"/>
    <sheet name="Data Quality Report" sheetId="4" state="visible" r:id="rId6"/>
    <sheet name="Cleaned Data" sheetId="5" state="visible" r:id="rId7"/>
    <sheet name="Analysis Summary" sheetId="6" state="visible" r:id="rId8"/>
    <sheet name="Visualizations" sheetId="7" state="visible" r:id="rId9"/>
    <sheet name="Pharmacy Sales Data" sheetId="8" state="visible" r:id="rId10"/>
    <sheet name="Pharmacy Sales Analysis" sheetId="9" state="visible" r:id="rId11"/>
    <sheet name="ADR Patient Data" sheetId="10" state="visible" r:id="rId12"/>
    <sheet name="ADR Signal Analysis" sheetId="11" state="visible" r:id="rId13"/>
    <sheet name="Disease Prediction Data" sheetId="12" state="visible" r:id="rId14"/>
    <sheet name="Disease Prediction Model" sheetId="13" state="visible" r:id="rId15"/>
  </sheets>
  <definedNames>
    <definedName function="false" hidden="false" localSheetId="9" name="_xlnm.Print_Titles" vbProcedure="false">'ADR Patient Data'!$4:$4</definedName>
    <definedName function="false" hidden="false" localSheetId="4" name="_xlnm.Print_Titles" vbProcedure="false">'Cleaned Data'!$1:$1</definedName>
    <definedName function="false" hidden="false" localSheetId="11" name="_xlnm.Print_Titles" vbProcedure="false">'Disease Prediction Data'!$4:$4</definedName>
    <definedName function="false" hidden="false" localSheetId="7" name="_xlnm.Print_Titles" vbProcedure="false">'Pharmacy Sales Data'!$4:$4</definedName>
    <definedName function="false" hidden="false" localSheetId="2" name="_xlnm.Print_Titles" vbProcedure="false">'Raw Data'!$1:$1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<sst xmlns="http://schemas.openxmlformats.org/spreadsheetml/2006/main" count="9956" uniqueCount="2578">
  <si>
    <t xml:space="preserve">Healthcare Data Cleaning &amp; Understanding</t>
  </si>
  <si>
    <t xml:space="preserve">Internship Project — Data Exploration, Cleaning &amp; Basic Analysis</t>
  </si>
  <si>
    <t xml:space="preserve">Objective</t>
  </si>
  <si>
    <t xml:space="preserve">This workbook explores a healthcare dataset containing patient information (age, gender, disease, medication and dosage), identifies the type of each column, cleans missing values and duplicate records, and produces basic analysis such as patient count, common diseases and average age.</t>
  </si>
  <si>
    <t xml:space="preserve">Dataset</t>
  </si>
  <si>
    <t xml:space="preserve">A synthetic but realistic healthcare dataset was generated for this exercise, deliberately including the kinds of problems real hospital data usually has: missing values, inconsistent text formatting (e.g. 'Male' / 'MALE' / 'm'), invalid entries (e.g. impossible ages), and exact duplicate records.</t>
  </si>
  <si>
    <t xml:space="preserve">How this workbook is organized</t>
  </si>
  <si>
    <t xml:space="preserve">•  Column Dictionary — Lists every column, its data type (categorical / numerical / date / identifier) and a description — answers 'what kind of data is in each column'.</t>
  </si>
  <si>
    <t xml:space="preserve">•  Raw Data — The original, uncleaned dataset exactly as collected, including a formula-driven Duplicate_Flag column that detects exact duplicate rows.</t>
  </si>
  <si>
    <t xml:space="preserve">•  Data Quality Report — Missing-value counts per column, duplicate/invalid entry counts, and a written log of every cleaning rule applied and why.</t>
  </si>
  <si>
    <t xml:space="preserve">•  Cleaned Data — The final cleaned dataset after removing duplicates, fixing invalid values and standardizing text — this is the dataset used for analysis.</t>
  </si>
  <si>
    <t xml:space="preserve">•  Analysis Summary — Basic analysis requested by the task: total patient count, average/median age, gender distribution, most common diseases and most prescribed medications, with charts.</t>
  </si>
  <si>
    <t xml:space="preserve">Cleaning approach (summary)</t>
  </si>
  <si>
    <t xml:space="preserve">•  Exact duplicate rows were removed (kept the first occurrence).</t>
  </si>
  <si>
    <t xml:space="preserve">•  Text fields (Gender, Disease, Medication) were trimmed and standardized to a consistent case.</t>
  </si>
  <si>
    <t xml:space="preserve">•  Impossible ages (≤ 0 or &gt; 110) were treated as data-entry errors and reset to missing.</t>
  </si>
  <si>
    <t xml:space="preserve">•  Missing Age was imputed with the dataset median; missing Dosage was imputed with the median dosage for that medication.</t>
  </si>
  <si>
    <t xml:space="preserve">•  Missing Gender/Disease/Medication were labeled 'Unknown' / 'Not Specified' rather than dropping the whole record, to avoid losing information present in the rest of the row.</t>
  </si>
  <si>
    <t xml:space="preserve">•  Missing Admission_Date was left blank — a guessed date would misrepresent the record, so it was not imputed.</t>
  </si>
  <si>
    <t xml:space="preserve">•  Full detail and exact counts are in the Data Quality Report sheet.</t>
  </si>
  <si>
    <t xml:space="preserve">Note on the numbers</t>
  </si>
  <si>
    <t xml:space="preserve">Every count and average in this workbook is a live Excel formula (COUNTIF, AVERAGE, AVERAGEIFS, etc.) referencing the Cleaned Data sheet — not a typed-in number — so the figures recalculate automatically if the underlying data changes.</t>
  </si>
  <si>
    <t xml:space="preserve">Column Dictionary</t>
  </si>
  <si>
    <t xml:space="preserve">What kind of data each column holds</t>
  </si>
  <si>
    <t xml:space="preserve">Column Name</t>
  </si>
  <si>
    <t xml:space="preserve">Data Type</t>
  </si>
  <si>
    <t xml:space="preserve">Category</t>
  </si>
  <si>
    <t xml:space="preserve">Description</t>
  </si>
  <si>
    <t xml:space="preserve">Example Value</t>
  </si>
  <si>
    <t xml:space="preserve">PatientID</t>
  </si>
  <si>
    <t xml:space="preserve">Text (unique code)</t>
  </si>
  <si>
    <t xml:space="preserve">Identifier</t>
  </si>
  <si>
    <t xml:space="preserve">Unique ID assigned to each patient record</t>
  </si>
  <si>
    <t xml:space="preserve">PT0001</t>
  </si>
  <si>
    <t xml:space="preserve">Name</t>
  </si>
  <si>
    <t xml:space="preserve">Text</t>
  </si>
  <si>
    <t xml:space="preserve">Categorical (nominal)</t>
  </si>
  <si>
    <t xml:space="preserve">Patient's full name</t>
  </si>
  <si>
    <t xml:space="preserve">Priya Sharma</t>
  </si>
  <si>
    <t xml:space="preserve">Age</t>
  </si>
  <si>
    <t xml:space="preserve">Numeric (integer)</t>
  </si>
  <si>
    <t xml:space="preserve">Numerical (discrete)</t>
  </si>
  <si>
    <t xml:space="preserve">Patient's age in years</t>
  </si>
  <si>
    <t xml:space="preserve">45</t>
  </si>
  <si>
    <t xml:space="preserve">Gender</t>
  </si>
  <si>
    <t xml:space="preserve">Patient's gender</t>
  </si>
  <si>
    <t xml:space="preserve">Male</t>
  </si>
  <si>
    <t xml:space="preserve">Disease</t>
  </si>
  <si>
    <t xml:space="preserve">Diagnosed medical condition</t>
  </si>
  <si>
    <t xml:space="preserve">Hypertension</t>
  </si>
  <si>
    <t xml:space="preserve">Medication</t>
  </si>
  <si>
    <t xml:space="preserve">Medication prescribed for the disease</t>
  </si>
  <si>
    <t xml:space="preserve">Amlodipine</t>
  </si>
  <si>
    <t xml:space="preserve">Dosage_mg</t>
  </si>
  <si>
    <t xml:space="preserve">Numeric (continuous)</t>
  </si>
  <si>
    <t xml:space="preserve">Numerical</t>
  </si>
  <si>
    <t xml:space="preserve">Prescribed dosage, in milligrams</t>
  </si>
  <si>
    <t xml:space="preserve">10</t>
  </si>
  <si>
    <t xml:space="preserve">Admission_Date</t>
  </si>
  <si>
    <t xml:space="preserve">Date</t>
  </si>
  <si>
    <t xml:space="preserve">Date / Time</t>
  </si>
  <si>
    <t xml:space="preserve">Date the patient was admitted</t>
  </si>
  <si>
    <t xml:space="preserve">2025-03-14</t>
  </si>
  <si>
    <t xml:space="preserve">RowKey (helper)</t>
  </si>
  <si>
    <t xml:space="preserve">Duplicate_Flag</t>
  </si>
  <si>
    <t xml:space="preserve">PT0137</t>
  </si>
  <si>
    <t xml:space="preserve">Rohit Nair</t>
  </si>
  <si>
    <t xml:space="preserve">M</t>
  </si>
  <si>
    <t xml:space="preserve">Arthritis</t>
  </si>
  <si>
    <t xml:space="preserve">Ibuprofen</t>
  </si>
  <si>
    <t xml:space="preserve">PT0035</t>
  </si>
  <si>
    <t xml:space="preserve">Alok Mishra</t>
  </si>
  <si>
    <t xml:space="preserve">Diabetes</t>
  </si>
  <si>
    <t xml:space="preserve"> Metformin </t>
  </si>
  <si>
    <t xml:space="preserve">PT0214</t>
  </si>
  <si>
    <t xml:space="preserve">Vinod Chauhan</t>
  </si>
  <si>
    <t xml:space="preserve"> Male</t>
  </si>
  <si>
    <t xml:space="preserve"> Depression </t>
  </si>
  <si>
    <t xml:space="preserve">SERTRALINE</t>
  </si>
  <si>
    <t xml:space="preserve">PT0088</t>
  </si>
  <si>
    <t xml:space="preserve">Payal Shukla</t>
  </si>
  <si>
    <t xml:space="preserve">female</t>
  </si>
  <si>
    <t xml:space="preserve">Diabetes  </t>
  </si>
  <si>
    <t xml:space="preserve">PT0198</t>
  </si>
  <si>
    <t xml:space="preserve">Sanjay Shukla</t>
  </si>
  <si>
    <t xml:space="preserve">MALE</t>
  </si>
  <si>
    <t xml:space="preserve"> Flu </t>
  </si>
  <si>
    <t xml:space="preserve">Paracetamol  </t>
  </si>
  <si>
    <t xml:space="preserve">PT0002</t>
  </si>
  <si>
    <t xml:space="preserve">Priya Gupta</t>
  </si>
  <si>
    <t xml:space="preserve">Female</t>
  </si>
  <si>
    <t xml:space="preserve"> Diabetes </t>
  </si>
  <si>
    <t xml:space="preserve">metformin</t>
  </si>
  <si>
    <t xml:space="preserve">PT0142</t>
  </si>
  <si>
    <t xml:space="preserve">Ritu Pandey</t>
  </si>
  <si>
    <t xml:space="preserve">F</t>
  </si>
  <si>
    <t xml:space="preserve">HYPERTENSION</t>
  </si>
  <si>
    <t xml:space="preserve">amlodipine</t>
  </si>
  <si>
    <t xml:space="preserve">PT0150</t>
  </si>
  <si>
    <t xml:space="preserve">Suresh Joshi</t>
  </si>
  <si>
    <t xml:space="preserve">hypertension</t>
  </si>
  <si>
    <t xml:space="preserve">AMLODIPINE</t>
  </si>
  <si>
    <t xml:space="preserve">PT0074</t>
  </si>
  <si>
    <t xml:space="preserve">Sarita Reddy</t>
  </si>
  <si>
    <t xml:space="preserve"> Female</t>
  </si>
  <si>
    <t xml:space="preserve"> Asthma </t>
  </si>
  <si>
    <t xml:space="preserve">SALBUTAMOL</t>
  </si>
  <si>
    <t xml:space="preserve">PT0095</t>
  </si>
  <si>
    <t xml:space="preserve">Preeti Agarwal</t>
  </si>
  <si>
    <t xml:space="preserve">f</t>
  </si>
  <si>
    <t xml:space="preserve"> Amlodipine </t>
  </si>
  <si>
    <t xml:space="preserve">PT0011</t>
  </si>
  <si>
    <t xml:space="preserve">Gopal Rao</t>
  </si>
  <si>
    <t xml:space="preserve">male</t>
  </si>
  <si>
    <t xml:space="preserve">bronchitis</t>
  </si>
  <si>
    <t xml:space="preserve">Azithromycin</t>
  </si>
  <si>
    <t xml:space="preserve">PT0015</t>
  </si>
  <si>
    <t xml:space="preserve">Arjun Rathore</t>
  </si>
  <si>
    <t xml:space="preserve">salbutamol</t>
  </si>
  <si>
    <t xml:space="preserve">PT0182</t>
  </si>
  <si>
    <t xml:space="preserve">Lata Sharma</t>
  </si>
  <si>
    <t xml:space="preserve">FEMALE</t>
  </si>
  <si>
    <t xml:space="preserve"> Hypertension </t>
  </si>
  <si>
    <t xml:space="preserve">PT0203</t>
  </si>
  <si>
    <t xml:space="preserve">Usha Verma</t>
  </si>
  <si>
    <t xml:space="preserve">diabetes</t>
  </si>
  <si>
    <t xml:space="preserve">Metformin  </t>
  </si>
  <si>
    <t xml:space="preserve">PT0032</t>
  </si>
  <si>
    <t xml:space="preserve">Gopal Singh</t>
  </si>
  <si>
    <t xml:space="preserve">PT0151</t>
  </si>
  <si>
    <t xml:space="preserve">Swati Verma</t>
  </si>
  <si>
    <t xml:space="preserve">Female </t>
  </si>
  <si>
    <t xml:space="preserve">PT0069</t>
  </si>
  <si>
    <t xml:space="preserve">Karan Kumar</t>
  </si>
  <si>
    <t xml:space="preserve"> Migraine </t>
  </si>
  <si>
    <t xml:space="preserve">Sumatriptan  </t>
  </si>
  <si>
    <t xml:space="preserve">PT0144</t>
  </si>
  <si>
    <t xml:space="preserve">Ramesh Reddy</t>
  </si>
  <si>
    <t xml:space="preserve">THYROID DISORDER</t>
  </si>
  <si>
    <t xml:space="preserve"> Levothyroxine </t>
  </si>
  <si>
    <t xml:space="preserve">PT0108</t>
  </si>
  <si>
    <t xml:space="preserve">Divya Kumar</t>
  </si>
  <si>
    <t xml:space="preserve">PT0218</t>
  </si>
  <si>
    <t xml:space="preserve">Swati Choudhary</t>
  </si>
  <si>
    <t xml:space="preserve">MIGRAINE</t>
  </si>
  <si>
    <t xml:space="preserve">Sumatriptan</t>
  </si>
  <si>
    <t xml:space="preserve">PT0162</t>
  </si>
  <si>
    <t xml:space="preserve">Pooja Rao</t>
  </si>
  <si>
    <t xml:space="preserve">Depression</t>
  </si>
  <si>
    <t xml:space="preserve"> Sertraline </t>
  </si>
  <si>
    <t xml:space="preserve">PT0202</t>
  </si>
  <si>
    <t xml:space="preserve">Suman Choudhary</t>
  </si>
  <si>
    <t xml:space="preserve">PT0055</t>
  </si>
  <si>
    <t xml:space="preserve"> Anemia </t>
  </si>
  <si>
    <t xml:space="preserve">Ferrous Sulfate</t>
  </si>
  <si>
    <t xml:space="preserve">PT0160</t>
  </si>
  <si>
    <t xml:space="preserve">Dinesh Yadav</t>
  </si>
  <si>
    <t xml:space="preserve">sumatriptan</t>
  </si>
  <si>
    <t xml:space="preserve">PT0037</t>
  </si>
  <si>
    <t xml:space="preserve">Sarita Rao</t>
  </si>
  <si>
    <t xml:space="preserve">PT0084</t>
  </si>
  <si>
    <t xml:space="preserve">Nisha Nair</t>
  </si>
  <si>
    <t xml:space="preserve">Hypertension  </t>
  </si>
  <si>
    <t xml:space="preserve">PT0057</t>
  </si>
  <si>
    <t xml:space="preserve">Ritu Verma</t>
  </si>
  <si>
    <t xml:space="preserve">OBESITY</t>
  </si>
  <si>
    <t xml:space="preserve">Orlistat</t>
  </si>
  <si>
    <t xml:space="preserve">PT0225</t>
  </si>
  <si>
    <t xml:space="preserve">Arjun Yadav</t>
  </si>
  <si>
    <t xml:space="preserve">PT0208</t>
  </si>
  <si>
    <t xml:space="preserve">Usha Joshi</t>
  </si>
  <si>
    <t xml:space="preserve">obesity</t>
  </si>
  <si>
    <t xml:space="preserve">orlistat</t>
  </si>
  <si>
    <t xml:space="preserve">PT0190</t>
  </si>
  <si>
    <t xml:space="preserve">Rakesh Rao</t>
  </si>
  <si>
    <t xml:space="preserve">ARTHRITIS</t>
  </si>
  <si>
    <t xml:space="preserve">PT0229</t>
  </si>
  <si>
    <t xml:space="preserve">Nitin Reddy</t>
  </si>
  <si>
    <t xml:space="preserve">Bronchitis  </t>
  </si>
  <si>
    <t xml:space="preserve">PT0178</t>
  </si>
  <si>
    <t xml:space="preserve">Neha Singh</t>
  </si>
  <si>
    <t xml:space="preserve">PT0219</t>
  </si>
  <si>
    <t xml:space="preserve">Pooja Verma</t>
  </si>
  <si>
    <t xml:space="preserve">Obesity  </t>
  </si>
  <si>
    <t xml:space="preserve">PT0100</t>
  </si>
  <si>
    <t xml:space="preserve">Vijay Tiwari</t>
  </si>
  <si>
    <t xml:space="preserve">Allergy</t>
  </si>
  <si>
    <t xml:space="preserve">Cetirizine  </t>
  </si>
  <si>
    <t xml:space="preserve">PT0070</t>
  </si>
  <si>
    <t xml:space="preserve">Dinesh Mishra</t>
  </si>
  <si>
    <t xml:space="preserve">Male </t>
  </si>
  <si>
    <t xml:space="preserve">PT0209</t>
  </si>
  <si>
    <t xml:space="preserve">Kavita Mishra</t>
  </si>
  <si>
    <t xml:space="preserve">Amlodipine  </t>
  </si>
  <si>
    <t xml:space="preserve">PT0040</t>
  </si>
  <si>
    <t xml:space="preserve">Mahesh Mishra</t>
  </si>
  <si>
    <t xml:space="preserve">FLU</t>
  </si>
  <si>
    <t xml:space="preserve">PT0167</t>
  </si>
  <si>
    <t xml:space="preserve">Rekha Nair</t>
  </si>
  <si>
    <t xml:space="preserve">Arthritis  </t>
  </si>
  <si>
    <t xml:space="preserve">Ibuprofen  </t>
  </si>
  <si>
    <t xml:space="preserve">PT0077</t>
  </si>
  <si>
    <t xml:space="preserve">Ashok Joshi</t>
  </si>
  <si>
    <t xml:space="preserve">m</t>
  </si>
  <si>
    <t xml:space="preserve">PT0199</t>
  </si>
  <si>
    <t xml:space="preserve">Vandana Chauhan</t>
  </si>
  <si>
    <t xml:space="preserve">PT0091</t>
  </si>
  <si>
    <t xml:space="preserve">Vinod Yadav</t>
  </si>
  <si>
    <t xml:space="preserve">PT0161</t>
  </si>
  <si>
    <t xml:space="preserve">Amit Choudhary</t>
  </si>
  <si>
    <t xml:space="preserve">allergy</t>
  </si>
  <si>
    <t xml:space="preserve"> Cetirizine </t>
  </si>
  <si>
    <t xml:space="preserve">PT0036</t>
  </si>
  <si>
    <t xml:space="preserve">Priya Shukla</t>
  </si>
  <si>
    <t xml:space="preserve">Metformin</t>
  </si>
  <si>
    <t xml:space="preserve">PT0175</t>
  </si>
  <si>
    <t xml:space="preserve">Gopal Saxena</t>
  </si>
  <si>
    <t xml:space="preserve">PARACETAMOL</t>
  </si>
  <si>
    <t xml:space="preserve">PT0101</t>
  </si>
  <si>
    <t xml:space="preserve">Mahesh Shukla</t>
  </si>
  <si>
    <t xml:space="preserve">flu</t>
  </si>
  <si>
    <t xml:space="preserve">paracetamol</t>
  </si>
  <si>
    <t xml:space="preserve">PT0060</t>
  </si>
  <si>
    <t xml:space="preserve">Ashok Chauhan</t>
  </si>
  <si>
    <t xml:space="preserve">Gastritis</t>
  </si>
  <si>
    <t xml:space="preserve">OMEPRAZOLE</t>
  </si>
  <si>
    <t xml:space="preserve">PT0073</t>
  </si>
  <si>
    <t xml:space="preserve">Pooja Sharma</t>
  </si>
  <si>
    <t xml:space="preserve"> Allergy </t>
  </si>
  <si>
    <t xml:space="preserve">PT0063</t>
  </si>
  <si>
    <t xml:space="preserve">Sarita Pandey</t>
  </si>
  <si>
    <t xml:space="preserve">asthma</t>
  </si>
  <si>
    <t xml:space="preserve"> Salbutamol </t>
  </si>
  <si>
    <t xml:space="preserve">PT0105</t>
  </si>
  <si>
    <t xml:space="preserve">Vijay Agarwal</t>
  </si>
  <si>
    <t xml:space="preserve">DIABETES</t>
  </si>
  <si>
    <t xml:space="preserve">METFORMIN</t>
  </si>
  <si>
    <t xml:space="preserve">PT0009</t>
  </si>
  <si>
    <t xml:space="preserve">Shalini Rathore</t>
  </si>
  <si>
    <t xml:space="preserve">Migraine  </t>
  </si>
  <si>
    <t xml:space="preserve"> Sumatriptan </t>
  </si>
  <si>
    <t xml:space="preserve">PT0052</t>
  </si>
  <si>
    <t xml:space="preserve">Shweta Choudhary</t>
  </si>
  <si>
    <t xml:space="preserve"> Ibuprofen </t>
  </si>
  <si>
    <t xml:space="preserve">PT0192</t>
  </si>
  <si>
    <t xml:space="preserve">Manju Reddy</t>
  </si>
  <si>
    <t xml:space="preserve">PT0019</t>
  </si>
  <si>
    <t xml:space="preserve">Suman Pandey</t>
  </si>
  <si>
    <t xml:space="preserve">PT0110</t>
  </si>
  <si>
    <t xml:space="preserve">Suman Sharma</t>
  </si>
  <si>
    <t xml:space="preserve">anemia</t>
  </si>
  <si>
    <t xml:space="preserve"> Ferrous Sulfate </t>
  </si>
  <si>
    <t xml:space="preserve">PT0194</t>
  </si>
  <si>
    <t xml:space="preserve">Alok Rao</t>
  </si>
  <si>
    <t xml:space="preserve">COVID-19</t>
  </si>
  <si>
    <t xml:space="preserve"> Favipiravir </t>
  </si>
  <si>
    <t xml:space="preserve">PT0080</t>
  </si>
  <si>
    <t xml:space="preserve">Kiran Yadav</t>
  </si>
  <si>
    <t xml:space="preserve">ANEMIA</t>
  </si>
  <si>
    <t xml:space="preserve">PT0223</t>
  </si>
  <si>
    <t xml:space="preserve">Ajay Tiwari</t>
  </si>
  <si>
    <t xml:space="preserve">ALLERGY</t>
  </si>
  <si>
    <t xml:space="preserve">Cetirizine</t>
  </si>
  <si>
    <t xml:space="preserve">PT0049</t>
  </si>
  <si>
    <t xml:space="preserve">Manoj Verma</t>
  </si>
  <si>
    <t xml:space="preserve">PT0045</t>
  </si>
  <si>
    <t xml:space="preserve">Shweta Gupta</t>
  </si>
  <si>
    <t xml:space="preserve">PT0173</t>
  </si>
  <si>
    <t xml:space="preserve">IBUPROFEN</t>
  </si>
  <si>
    <t xml:space="preserve">PT0207</t>
  </si>
  <si>
    <t xml:space="preserve">Rakesh Shukla</t>
  </si>
  <si>
    <t xml:space="preserve">PT0149</t>
  </si>
  <si>
    <t xml:space="preserve">Lata Agarwal</t>
  </si>
  <si>
    <t xml:space="preserve">PT0154</t>
  </si>
  <si>
    <t xml:space="preserve">Priya Joshi</t>
  </si>
  <si>
    <t xml:space="preserve">PT0153</t>
  </si>
  <si>
    <t xml:space="preserve">Deepak Nair</t>
  </si>
  <si>
    <t xml:space="preserve">Salbutamol</t>
  </si>
  <si>
    <t xml:space="preserve">PT0042</t>
  </si>
  <si>
    <t xml:space="preserve">Sanjay Chauhan</t>
  </si>
  <si>
    <t xml:space="preserve">PT0050</t>
  </si>
  <si>
    <t xml:space="preserve">Gopal Tiwari</t>
  </si>
  <si>
    <t xml:space="preserve">PT0220</t>
  </si>
  <si>
    <t xml:space="preserve">Anil Verma</t>
  </si>
  <si>
    <t xml:space="preserve">PT0075</t>
  </si>
  <si>
    <t xml:space="preserve">PT0156</t>
  </si>
  <si>
    <t xml:space="preserve">Kiran Nair</t>
  </si>
  <si>
    <t xml:space="preserve">PT0066</t>
  </si>
  <si>
    <t xml:space="preserve">Radha Shukla</t>
  </si>
  <si>
    <t xml:space="preserve">PT0204</t>
  </si>
  <si>
    <t xml:space="preserve">Kavita Sharma</t>
  </si>
  <si>
    <t xml:space="preserve">PT0056</t>
  </si>
  <si>
    <t xml:space="preserve">PT0129</t>
  </si>
  <si>
    <t xml:space="preserve">Nisha Chauhan</t>
  </si>
  <si>
    <t xml:space="preserve">PT0007</t>
  </si>
  <si>
    <t xml:space="preserve">Alok Rathore</t>
  </si>
  <si>
    <t xml:space="preserve">PT0068</t>
  </si>
  <si>
    <t xml:space="preserve">Ravi Joshi</t>
  </si>
  <si>
    <t xml:space="preserve">Flu</t>
  </si>
  <si>
    <t xml:space="preserve"> Paracetamol </t>
  </si>
  <si>
    <t xml:space="preserve">PT0123</t>
  </si>
  <si>
    <t xml:space="preserve">Suman Saxena</t>
  </si>
  <si>
    <t xml:space="preserve">PT0109</t>
  </si>
  <si>
    <t xml:space="preserve">PT0065</t>
  </si>
  <si>
    <t xml:space="preserve">Praveen Agarwal</t>
  </si>
  <si>
    <t xml:space="preserve">PT0086</t>
  </si>
  <si>
    <t xml:space="preserve">Rakesh Choudhary</t>
  </si>
  <si>
    <t xml:space="preserve">migraine</t>
  </si>
  <si>
    <t xml:space="preserve">PT0216</t>
  </si>
  <si>
    <t xml:space="preserve">Seema Joshi</t>
  </si>
  <si>
    <t xml:space="preserve">PT0201</t>
  </si>
  <si>
    <t xml:space="preserve">Naveen Saxena</t>
  </si>
  <si>
    <t xml:space="preserve">azithromycin</t>
  </si>
  <si>
    <t xml:space="preserve">PT0164</t>
  </si>
  <si>
    <t xml:space="preserve">Sandeep Gupta</t>
  </si>
  <si>
    <t xml:space="preserve">PT0076</t>
  </si>
  <si>
    <t xml:space="preserve">Preeti Joshi</t>
  </si>
  <si>
    <t xml:space="preserve">ibuprofen</t>
  </si>
  <si>
    <t xml:space="preserve">PT0119</t>
  </si>
  <si>
    <t xml:space="preserve">Priya Pandey</t>
  </si>
  <si>
    <t xml:space="preserve">PT0196</t>
  </si>
  <si>
    <t xml:space="preserve">PT0054</t>
  </si>
  <si>
    <t xml:space="preserve">Harish Pandey</t>
  </si>
  <si>
    <t xml:space="preserve">Favipiravir</t>
  </si>
  <si>
    <t xml:space="preserve">PT0102</t>
  </si>
  <si>
    <t xml:space="preserve">Geeta Chauhan</t>
  </si>
  <si>
    <t xml:space="preserve">PT0140</t>
  </si>
  <si>
    <t xml:space="preserve">Naveen Yadav</t>
  </si>
  <si>
    <t xml:space="preserve">Flu  </t>
  </si>
  <si>
    <t xml:space="preserve">PT0120</t>
  </si>
  <si>
    <t xml:space="preserve">Sunil Joshi</t>
  </si>
  <si>
    <t xml:space="preserve">PT0189</t>
  </si>
  <si>
    <t xml:space="preserve">Vijay Gupta</t>
  </si>
  <si>
    <t xml:space="preserve">PT0059</t>
  </si>
  <si>
    <t xml:space="preserve">Geeta Gupta</t>
  </si>
  <si>
    <t xml:space="preserve">PT0028</t>
  </si>
  <si>
    <t xml:space="preserve">Rakesh Mishra</t>
  </si>
  <si>
    <t xml:space="preserve">PT0051</t>
  </si>
  <si>
    <t xml:space="preserve">Ashok Sharma</t>
  </si>
  <si>
    <t xml:space="preserve">Ferrous Sulfate  </t>
  </si>
  <si>
    <t xml:space="preserve">PT0186</t>
  </si>
  <si>
    <t xml:space="preserve">Dinesh Rao</t>
  </si>
  <si>
    <t xml:space="preserve">PT0210</t>
  </si>
  <si>
    <t xml:space="preserve">Preeti Kumar</t>
  </si>
  <si>
    <t xml:space="preserve">PT0026</t>
  </si>
  <si>
    <t xml:space="preserve">Sunil Patel</t>
  </si>
  <si>
    <t xml:space="preserve">PT0079</t>
  </si>
  <si>
    <t xml:space="preserve">cetirizine</t>
  </si>
  <si>
    <t xml:space="preserve">PT0033</t>
  </si>
  <si>
    <t xml:space="preserve">Meena Rao</t>
  </si>
  <si>
    <t xml:space="preserve">PT0112</t>
  </si>
  <si>
    <t xml:space="preserve">Rakesh Agarwal</t>
  </si>
  <si>
    <t xml:space="preserve">Salbutamol  </t>
  </si>
  <si>
    <t xml:space="preserve">PT0139</t>
  </si>
  <si>
    <t xml:space="preserve">Swati Reddy</t>
  </si>
  <si>
    <t xml:space="preserve">FERROUS SULFATE</t>
  </si>
  <si>
    <t xml:space="preserve">PT0093</t>
  </si>
  <si>
    <t xml:space="preserve">Suresh Choudhary</t>
  </si>
  <si>
    <t xml:space="preserve">PT0096</t>
  </si>
  <si>
    <t xml:space="preserve">Mahesh Rathore</t>
  </si>
  <si>
    <t xml:space="preserve">PT0030</t>
  </si>
  <si>
    <t xml:space="preserve">Komal Choudhary</t>
  </si>
  <si>
    <t xml:space="preserve">PT0158</t>
  </si>
  <si>
    <t xml:space="preserve">Dinesh Verma</t>
  </si>
  <si>
    <t xml:space="preserve">PT0018</t>
  </si>
  <si>
    <t xml:space="preserve">Mahesh Rao</t>
  </si>
  <si>
    <t xml:space="preserve"> Bronchitis </t>
  </si>
  <si>
    <t xml:space="preserve">PT0193</t>
  </si>
  <si>
    <t xml:space="preserve">Kavita Rathore</t>
  </si>
  <si>
    <t xml:space="preserve">BRONCHITIS</t>
  </si>
  <si>
    <t xml:space="preserve">PT0022</t>
  </si>
  <si>
    <t xml:space="preserve">ASTHMA</t>
  </si>
  <si>
    <t xml:space="preserve">PT0006</t>
  </si>
  <si>
    <t xml:space="preserve">Puneet Shukla</t>
  </si>
  <si>
    <t xml:space="preserve">PT0211</t>
  </si>
  <si>
    <t xml:space="preserve">Harish Rathore</t>
  </si>
  <si>
    <t xml:space="preserve">PT0090</t>
  </si>
  <si>
    <t xml:space="preserve">Lata Verma</t>
  </si>
  <si>
    <t xml:space="preserve">Bronchitis</t>
  </si>
  <si>
    <t xml:space="preserve">PT0048</t>
  </si>
  <si>
    <t xml:space="preserve">Meena Chauhan</t>
  </si>
  <si>
    <t xml:space="preserve">PT0034</t>
  </si>
  <si>
    <t xml:space="preserve">Ritu Rao</t>
  </si>
  <si>
    <t xml:space="preserve">PT0071</t>
  </si>
  <si>
    <t xml:space="preserve">Sunita Mishra</t>
  </si>
  <si>
    <t xml:space="preserve">PT0038</t>
  </si>
  <si>
    <t xml:space="preserve">Ashok Verma</t>
  </si>
  <si>
    <t xml:space="preserve">PT0103</t>
  </si>
  <si>
    <t xml:space="preserve">PT0082</t>
  </si>
  <si>
    <t xml:space="preserve">Rahul Choudhary</t>
  </si>
  <si>
    <t xml:space="preserve">Paracetamol</t>
  </si>
  <si>
    <t xml:space="preserve">PT0227</t>
  </si>
  <si>
    <t xml:space="preserve">Praveen Rathore</t>
  </si>
  <si>
    <t xml:space="preserve">thyroid disorder</t>
  </si>
  <si>
    <t xml:space="preserve">Levothyroxine</t>
  </si>
  <si>
    <t xml:space="preserve">PT0046</t>
  </si>
  <si>
    <t xml:space="preserve">Karan Reddy</t>
  </si>
  <si>
    <t xml:space="preserve">PT0044</t>
  </si>
  <si>
    <t xml:space="preserve">Suresh Gupta</t>
  </si>
  <si>
    <t xml:space="preserve">Asthma  </t>
  </si>
  <si>
    <t xml:space="preserve">PT0222</t>
  </si>
  <si>
    <t xml:space="preserve">Amit Chauhan</t>
  </si>
  <si>
    <t xml:space="preserve">PT0132</t>
  </si>
  <si>
    <t xml:space="preserve">PT0117</t>
  </si>
  <si>
    <t xml:space="preserve">PT0169</t>
  </si>
  <si>
    <t xml:space="preserve">PT0116</t>
  </si>
  <si>
    <t xml:space="preserve">Komal Joshi</t>
  </si>
  <si>
    <t xml:space="preserve">PT0136</t>
  </si>
  <si>
    <t xml:space="preserve">Gopal Yadav</t>
  </si>
  <si>
    <t xml:space="preserve">PT0122</t>
  </si>
  <si>
    <t xml:space="preserve">Puneet Tiwari</t>
  </si>
  <si>
    <t xml:space="preserve">PT0171</t>
  </si>
  <si>
    <t xml:space="preserve">Yogesh Yadav</t>
  </si>
  <si>
    <t xml:space="preserve">Orlistat  </t>
  </si>
  <si>
    <t xml:space="preserve">PT0138</t>
  </si>
  <si>
    <t xml:space="preserve">Praveen Yadav</t>
  </si>
  <si>
    <t xml:space="preserve">PT0183</t>
  </si>
  <si>
    <t xml:space="preserve">Kavita Nair</t>
  </si>
  <si>
    <t xml:space="preserve">PT0094</t>
  </si>
  <si>
    <t xml:space="preserve">Sanjay Gupta</t>
  </si>
  <si>
    <t xml:space="preserve"> Arthritis </t>
  </si>
  <si>
    <t xml:space="preserve">PT0053</t>
  </si>
  <si>
    <t xml:space="preserve">Shweta Verma</t>
  </si>
  <si>
    <t xml:space="preserve">PT0131</t>
  </si>
  <si>
    <t xml:space="preserve">Anjali Tiwari</t>
  </si>
  <si>
    <t xml:space="preserve">PT0078</t>
  </si>
  <si>
    <t xml:space="preserve">Manoj Reddy</t>
  </si>
  <si>
    <t xml:space="preserve">Asthma</t>
  </si>
  <si>
    <t xml:space="preserve">PT0024</t>
  </si>
  <si>
    <t xml:space="preserve">Nitin Gupta</t>
  </si>
  <si>
    <t xml:space="preserve">FAVIPIRAVIR</t>
  </si>
  <si>
    <t xml:space="preserve">Rahul Tiwari</t>
  </si>
  <si>
    <t xml:space="preserve">PT0166</t>
  </si>
  <si>
    <t xml:space="preserve">Vandana Tiwari</t>
  </si>
  <si>
    <t xml:space="preserve">PT0185</t>
  </si>
  <si>
    <t xml:space="preserve">PT0010</t>
  </si>
  <si>
    <t xml:space="preserve">Ashok Mishra</t>
  </si>
  <si>
    <t xml:space="preserve">PT0230</t>
  </si>
  <si>
    <t xml:space="preserve">Neha Kumar</t>
  </si>
  <si>
    <t xml:space="preserve"> Obesity </t>
  </si>
  <si>
    <t xml:space="preserve">ORLISTAT</t>
  </si>
  <si>
    <t xml:space="preserve">PT0163</t>
  </si>
  <si>
    <t xml:space="preserve">Manoj Kumar</t>
  </si>
  <si>
    <t xml:space="preserve">PT0043</t>
  </si>
  <si>
    <t xml:space="preserve">Ajay Joshi</t>
  </si>
  <si>
    <t xml:space="preserve">PT0005</t>
  </si>
  <si>
    <t xml:space="preserve">PT0155</t>
  </si>
  <si>
    <t xml:space="preserve">PT0031</t>
  </si>
  <si>
    <t xml:space="preserve">Sanjay Singh</t>
  </si>
  <si>
    <t xml:space="preserve">PT0184</t>
  </si>
  <si>
    <t xml:space="preserve">Pooja Tiwari</t>
  </si>
  <si>
    <t xml:space="preserve">PT0128</t>
  </si>
  <si>
    <t xml:space="preserve">Manju Pandey</t>
  </si>
  <si>
    <t xml:space="preserve">PT0023</t>
  </si>
  <si>
    <t xml:space="preserve">Nitin Agarwal</t>
  </si>
  <si>
    <t xml:space="preserve">PT0115</t>
  </si>
  <si>
    <t xml:space="preserve">Suresh Rao</t>
  </si>
  <si>
    <t xml:space="preserve">PT0147</t>
  </si>
  <si>
    <t xml:space="preserve">Arjun Gupta</t>
  </si>
  <si>
    <t xml:space="preserve">depression</t>
  </si>
  <si>
    <t xml:space="preserve">PT0114</t>
  </si>
  <si>
    <t xml:space="preserve">PT0118</t>
  </si>
  <si>
    <t xml:space="preserve">Radha Gupta</t>
  </si>
  <si>
    <t xml:space="preserve">PT0021</t>
  </si>
  <si>
    <t xml:space="preserve">Lata Reddy</t>
  </si>
  <si>
    <t xml:space="preserve">PT0061</t>
  </si>
  <si>
    <t xml:space="preserve">Geeta Verma</t>
  </si>
  <si>
    <t xml:space="preserve">PT0104</t>
  </si>
  <si>
    <t xml:space="preserve">Migraine</t>
  </si>
  <si>
    <t xml:space="preserve">SUMATRIPTAN</t>
  </si>
  <si>
    <t xml:space="preserve">PT0097</t>
  </si>
  <si>
    <t xml:space="preserve">Nitin Nair</t>
  </si>
  <si>
    <t xml:space="preserve">PT0213</t>
  </si>
  <si>
    <t xml:space="preserve">Preeti Nair</t>
  </si>
  <si>
    <t xml:space="preserve">PT0141</t>
  </si>
  <si>
    <t xml:space="preserve">Preeti Rao</t>
  </si>
  <si>
    <t xml:space="preserve">sertraline</t>
  </si>
  <si>
    <t xml:space="preserve">PT0205</t>
  </si>
  <si>
    <t xml:space="preserve">Divya Mishra</t>
  </si>
  <si>
    <t xml:space="preserve">PT0179</t>
  </si>
  <si>
    <t xml:space="preserve">Swati Mishra</t>
  </si>
  <si>
    <t xml:space="preserve">PT0013</t>
  </si>
  <si>
    <t xml:space="preserve">Rakesh Chauhan</t>
  </si>
  <si>
    <t xml:space="preserve">PT0072</t>
  </si>
  <si>
    <t xml:space="preserve">Rakesh Patel</t>
  </si>
  <si>
    <t xml:space="preserve">ferrous sulfate</t>
  </si>
  <si>
    <t xml:space="preserve">PT0085</t>
  </si>
  <si>
    <t xml:space="preserve">Arjun Kumar</t>
  </si>
  <si>
    <t xml:space="preserve">PT0062</t>
  </si>
  <si>
    <t xml:space="preserve">Praveen Singh</t>
  </si>
  <si>
    <t xml:space="preserve">PT0083</t>
  </si>
  <si>
    <t xml:space="preserve">Kiran Pandey</t>
  </si>
  <si>
    <t xml:space="preserve">PT0126</t>
  </si>
  <si>
    <t xml:space="preserve">Radha Choudhary</t>
  </si>
  <si>
    <t xml:space="preserve">PT0020</t>
  </si>
  <si>
    <t xml:space="preserve">Dinesh Kumar</t>
  </si>
  <si>
    <t xml:space="preserve">PT0127</t>
  </si>
  <si>
    <t xml:space="preserve">Rakesh Verma</t>
  </si>
  <si>
    <t xml:space="preserve">PT0121</t>
  </si>
  <si>
    <t xml:space="preserve">Gopal Choudhary</t>
  </si>
  <si>
    <t xml:space="preserve">PT0130</t>
  </si>
  <si>
    <t xml:space="preserve">Obesity</t>
  </si>
  <si>
    <t xml:space="preserve">PT0029</t>
  </si>
  <si>
    <t xml:space="preserve">Sunita Chauhan</t>
  </si>
  <si>
    <t xml:space="preserve">PT0188</t>
  </si>
  <si>
    <t xml:space="preserve">Radha Tiwari</t>
  </si>
  <si>
    <t xml:space="preserve">PT0003</t>
  </si>
  <si>
    <t xml:space="preserve">PT0014</t>
  </si>
  <si>
    <t xml:space="preserve">Rekha Rao</t>
  </si>
  <si>
    <t xml:space="preserve">PT0047</t>
  </si>
  <si>
    <t xml:space="preserve">Payal Yadav</t>
  </si>
  <si>
    <t xml:space="preserve">PT0143</t>
  </si>
  <si>
    <t xml:space="preserve">Arjun Shukla</t>
  </si>
  <si>
    <t xml:space="preserve">PT0039</t>
  </si>
  <si>
    <t xml:space="preserve">Praveen Reddy</t>
  </si>
  <si>
    <t xml:space="preserve">PT0099</t>
  </si>
  <si>
    <t xml:space="preserve">Ashok Nair</t>
  </si>
  <si>
    <t xml:space="preserve">arthritis</t>
  </si>
  <si>
    <t xml:space="preserve">PT0165</t>
  </si>
  <si>
    <t xml:space="preserve">Arjun Rao</t>
  </si>
  <si>
    <t xml:space="preserve">PT0212</t>
  </si>
  <si>
    <t xml:space="preserve">Geeta Patel</t>
  </si>
  <si>
    <t xml:space="preserve">PT0195</t>
  </si>
  <si>
    <t xml:space="preserve">Anemia  </t>
  </si>
  <si>
    <t xml:space="preserve">PT0089</t>
  </si>
  <si>
    <t xml:space="preserve">Naveen Sharma</t>
  </si>
  <si>
    <t xml:space="preserve">levothyroxine</t>
  </si>
  <si>
    <t xml:space="preserve">PT0224</t>
  </si>
  <si>
    <t xml:space="preserve">Radha Yadav</t>
  </si>
  <si>
    <t xml:space="preserve">GASTRITIS</t>
  </si>
  <si>
    <t xml:space="preserve"> Omeprazole </t>
  </si>
  <si>
    <t xml:space="preserve">PT0064</t>
  </si>
  <si>
    <t xml:space="preserve">Radha Chauhan</t>
  </si>
  <si>
    <t xml:space="preserve">PT0228</t>
  </si>
  <si>
    <t xml:space="preserve">Pooja Yadav</t>
  </si>
  <si>
    <t xml:space="preserve">PT0170</t>
  </si>
  <si>
    <t xml:space="preserve">Ramesh Shukla</t>
  </si>
  <si>
    <t xml:space="preserve">PT0111</t>
  </si>
  <si>
    <t xml:space="preserve">Sunita Rao</t>
  </si>
  <si>
    <t xml:space="preserve">PT0025</t>
  </si>
  <si>
    <t xml:space="preserve">Renu Rao</t>
  </si>
  <si>
    <t xml:space="preserve">PT0159</t>
  </si>
  <si>
    <t xml:space="preserve">Deepak Saxena</t>
  </si>
  <si>
    <t xml:space="preserve">PT0180</t>
  </si>
  <si>
    <t xml:space="preserve">Yogesh Gupta</t>
  </si>
  <si>
    <t xml:space="preserve">PT0177</t>
  </si>
  <si>
    <t xml:space="preserve">Pooja Saxena</t>
  </si>
  <si>
    <t xml:space="preserve">PT0134</t>
  </si>
  <si>
    <t xml:space="preserve">Sandeep Nair</t>
  </si>
  <si>
    <t xml:space="preserve">PT0133</t>
  </si>
  <si>
    <t xml:space="preserve">PT0087</t>
  </si>
  <si>
    <t xml:space="preserve">Ritu Joshi</t>
  </si>
  <si>
    <t xml:space="preserve">PT0172</t>
  </si>
  <si>
    <t xml:space="preserve">PT0058</t>
  </si>
  <si>
    <t xml:space="preserve">PT0145</t>
  </si>
  <si>
    <t xml:space="preserve">Sandeep Singh</t>
  </si>
  <si>
    <t xml:space="preserve">PT0148</t>
  </si>
  <si>
    <t xml:space="preserve">Harish Nair</t>
  </si>
  <si>
    <t xml:space="preserve">Depression  </t>
  </si>
  <si>
    <t xml:space="preserve">PT0191</t>
  </si>
  <si>
    <t xml:space="preserve">Radha Pandey</t>
  </si>
  <si>
    <t xml:space="preserve">Thyroid Disorder</t>
  </si>
  <si>
    <t xml:space="preserve">LEVOTHYROXINE</t>
  </si>
  <si>
    <t xml:space="preserve">PT0197</t>
  </si>
  <si>
    <t xml:space="preserve">Pooja Choudhary</t>
  </si>
  <si>
    <t xml:space="preserve">Azithromycin  </t>
  </si>
  <si>
    <t xml:space="preserve">PT0135</t>
  </si>
  <si>
    <t xml:space="preserve">Divya Sharma</t>
  </si>
  <si>
    <t xml:space="preserve">covid-19</t>
  </si>
  <si>
    <t xml:space="preserve">PT0181</t>
  </si>
  <si>
    <t xml:space="preserve">Sandeep Reddy</t>
  </si>
  <si>
    <t xml:space="preserve">PT0004</t>
  </si>
  <si>
    <t xml:space="preserve">Ravi Tiwari</t>
  </si>
  <si>
    <t xml:space="preserve">PT0081</t>
  </si>
  <si>
    <t xml:space="preserve">Divya Joshi</t>
  </si>
  <si>
    <t xml:space="preserve">PT0168</t>
  </si>
  <si>
    <t xml:space="preserve">Gopal Joshi</t>
  </si>
  <si>
    <t xml:space="preserve">PT0067</t>
  </si>
  <si>
    <t xml:space="preserve">PT0017</t>
  </si>
  <si>
    <t xml:space="preserve">Kiran Saxena</t>
  </si>
  <si>
    <t xml:space="preserve"> Thyroid Disorder </t>
  </si>
  <si>
    <t xml:space="preserve">PT0012</t>
  </si>
  <si>
    <t xml:space="preserve">Karan Chauhan</t>
  </si>
  <si>
    <t xml:space="preserve">PT0106</t>
  </si>
  <si>
    <t xml:space="preserve">PT0125</t>
  </si>
  <si>
    <t xml:space="preserve">Anita Saxena</t>
  </si>
  <si>
    <t xml:space="preserve">PT0187</t>
  </si>
  <si>
    <t xml:space="preserve">Rekha Pandey</t>
  </si>
  <si>
    <t xml:space="preserve">PT0215</t>
  </si>
  <si>
    <t xml:space="preserve">Renu Joshi</t>
  </si>
  <si>
    <t xml:space="preserve">PT0226</t>
  </si>
  <si>
    <t xml:space="preserve">Nitin Yadav</t>
  </si>
  <si>
    <t xml:space="preserve">PT0176</t>
  </si>
  <si>
    <t xml:space="preserve">Shalini Rao</t>
  </si>
  <si>
    <t xml:space="preserve">PT0221</t>
  </si>
  <si>
    <t xml:space="preserve">Vinod Kumar</t>
  </si>
  <si>
    <t xml:space="preserve">PT0008</t>
  </si>
  <si>
    <t xml:space="preserve">PT0092</t>
  </si>
  <si>
    <t xml:space="preserve">Dinesh Rathore</t>
  </si>
  <si>
    <t xml:space="preserve">PT0200</t>
  </si>
  <si>
    <t xml:space="preserve">PT0098</t>
  </si>
  <si>
    <t xml:space="preserve">Neha Reddy</t>
  </si>
  <si>
    <t xml:space="preserve">PT0157</t>
  </si>
  <si>
    <t xml:space="preserve">Suman Agarwal</t>
  </si>
  <si>
    <t xml:space="preserve">PT0113</t>
  </si>
  <si>
    <t xml:space="preserve">Sunita Tiwari</t>
  </si>
  <si>
    <t xml:space="preserve">PT0174</t>
  </si>
  <si>
    <t xml:space="preserve">Meena Singh</t>
  </si>
  <si>
    <t xml:space="preserve">PT0146</t>
  </si>
  <si>
    <t xml:space="preserve">Vijay Nair</t>
  </si>
  <si>
    <t xml:space="preserve">PT0206</t>
  </si>
  <si>
    <t xml:space="preserve">Amit Pandey</t>
  </si>
  <si>
    <t xml:space="preserve">PT0124</t>
  </si>
  <si>
    <t xml:space="preserve">Sunil Shukla</t>
  </si>
  <si>
    <t xml:space="preserve">omeprazole</t>
  </si>
  <si>
    <t xml:space="preserve">PT0152</t>
  </si>
  <si>
    <t xml:space="preserve">Anil Kumar</t>
  </si>
  <si>
    <t xml:space="preserve">PT0107</t>
  </si>
  <si>
    <t xml:space="preserve">Sarita Joshi</t>
  </si>
  <si>
    <t xml:space="preserve">PT0027</t>
  </si>
  <si>
    <t xml:space="preserve">PT0041</t>
  </si>
  <si>
    <t xml:space="preserve">PT0217</t>
  </si>
  <si>
    <t xml:space="preserve">Ritu Gupta</t>
  </si>
  <si>
    <t xml:space="preserve">PT0016</t>
  </si>
  <si>
    <t xml:space="preserve">Ramesh Kumar</t>
  </si>
  <si>
    <t xml:space="preserve">AZITHROMYCIN</t>
  </si>
  <si>
    <t xml:space="preserve">Data Quality Report</t>
  </si>
  <si>
    <t xml:space="preserve">Issues found in the raw data, and how they were resolved</t>
  </si>
  <si>
    <t xml:space="preserve">1. Raw Dataset Overview</t>
  </si>
  <si>
    <t xml:space="preserve">Total raw rows collected</t>
  </si>
  <si>
    <t xml:space="preserve">Exact duplicate rows found</t>
  </si>
  <si>
    <t xml:space="preserve">Invalid ages found (≤0 or &gt;110)</t>
  </si>
  <si>
    <t xml:space="preserve">2. Missing Values by Column (Raw Data)</t>
  </si>
  <si>
    <t xml:space="preserve">Column</t>
  </si>
  <si>
    <t xml:space="preserve">Missing Count</t>
  </si>
  <si>
    <t xml:space="preserve">% of Raw Rows</t>
  </si>
  <si>
    <t xml:space="preserve">3. Cleaning Actions Taken</t>
  </si>
  <si>
    <t xml:space="preserve">•  Removed exact duplicate rows (identical PatientID and every field) — kept the first occurrence. Detected using the Duplicate_Flag helper column on the Raw Data sheet.</t>
  </si>
  <si>
    <t xml:space="preserve">•  Trimmed extra whitespace and standardized text case for Gender ('MALE'/'m'/' Male ' → 'Male'), Disease and Medication (title case).</t>
  </si>
  <si>
    <t xml:space="preserve">•  Treated ages ≤ 0 or &gt; 110 as data-entry errors, reset to missing, then imputed with the dataset median age.</t>
  </si>
  <si>
    <t xml:space="preserve">•  Imputed remaining missing Age values with the overall median age.</t>
  </si>
  <si>
    <t xml:space="preserve">•  Imputed missing Dosage_mg with the median dosage recorded for that same medication (overall median used as a fallback).</t>
  </si>
  <si>
    <t xml:space="preserve">•  Missing Gender recoded as 'Unknown'; missing Disease/Medication recoded as 'Not Specified' — kept instead of deleting the row, so the rest of the patient's data is not lost.</t>
  </si>
  <si>
    <t xml:space="preserve">•  Missing Admission_Date left blank (not imputed) — a fabricated date would be misleading.</t>
  </si>
  <si>
    <t xml:space="preserve">4. Result</t>
  </si>
  <si>
    <t xml:space="preserve">Rows in cleaned dataset</t>
  </si>
  <si>
    <t xml:space="preserve">Sertraline</t>
  </si>
  <si>
    <t xml:space="preserve">Not Specified</t>
  </si>
  <si>
    <t xml:space="preserve">Unknown</t>
  </si>
  <si>
    <t xml:space="preserve">Anemia</t>
  </si>
  <si>
    <t xml:space="preserve">Omeprazole</t>
  </si>
  <si>
    <t xml:space="preserve">Covid-19</t>
  </si>
  <si>
    <t xml:space="preserve">Unknown Patient</t>
  </si>
  <si>
    <t xml:space="preserve">Analysis Summary</t>
  </si>
  <si>
    <t xml:space="preserve">Basic analysis of the cleaned dataset (all figures are live formulas)</t>
  </si>
  <si>
    <t xml:space="preserve">Overview</t>
  </si>
  <si>
    <t xml:space="preserve">Total Patients</t>
  </si>
  <si>
    <t xml:space="preserve">Average Age (yrs)</t>
  </si>
  <si>
    <t xml:space="preserve">Median Age (yrs)</t>
  </si>
  <si>
    <t xml:space="preserve">Youngest Patient (yrs)</t>
  </si>
  <si>
    <t xml:space="preserve">Oldest Patient (yrs)</t>
  </si>
  <si>
    <t xml:space="preserve">Average Dosage (mg)</t>
  </si>
  <si>
    <t xml:space="preserve">Gender Distribution</t>
  </si>
  <si>
    <t xml:space="preserve">Patient Count</t>
  </si>
  <si>
    <t xml:space="preserve">% of Total</t>
  </si>
  <si>
    <t xml:space="preserve">Most Common Diseases</t>
  </si>
  <si>
    <t xml:space="preserve">Avg. Age of Patients</t>
  </si>
  <si>
    <t xml:space="preserve">Most Prescribed Medications</t>
  </si>
  <si>
    <t xml:space="preserve">Times Prescribed</t>
  </si>
  <si>
    <t xml:space="preserve">Avg. Dosage (mg)</t>
  </si>
  <si>
    <t xml:space="preserve">Data Visualizations</t>
  </si>
  <si>
    <t xml:space="preserve">Disease distribution, age distribution, gender ratio &amp; medication usage — cleaned dataset</t>
  </si>
  <si>
    <t xml:space="preserve">Disease Distribution</t>
  </si>
  <si>
    <t xml:space="preserve">Age Distribution</t>
  </si>
  <si>
    <t xml:space="preserve">Age Range</t>
  </si>
  <si>
    <t xml:space="preserve">0-10</t>
  </si>
  <si>
    <t xml:space="preserve">11-20</t>
  </si>
  <si>
    <t xml:space="preserve">21-30</t>
  </si>
  <si>
    <t xml:space="preserve">31-40</t>
  </si>
  <si>
    <t xml:space="preserve">41-50</t>
  </si>
  <si>
    <t xml:space="preserve">51-60</t>
  </si>
  <si>
    <t xml:space="preserve">61-70</t>
  </si>
  <si>
    <t xml:space="preserve">71-80</t>
  </si>
  <si>
    <t xml:space="preserve">81-90</t>
  </si>
  <si>
    <t xml:space="preserve">91-100</t>
  </si>
  <si>
    <t xml:space="preserve">Gender Ratio</t>
  </si>
  <si>
    <t xml:space="preserve">Medication Usage</t>
  </si>
  <si>
    <t xml:space="preserve">Pharmacy Sales Data (Cleaned)</t>
  </si>
  <si>
    <t xml:space="preserve">616 transactions, 2025-09 to 2026-08.  Cleaning applied: 15 duplicate transactions removed; 15 missing unit prices imputed using that product's median price, and Revenue recalculated as Quantity × Unit Price.</t>
  </si>
  <si>
    <t xml:space="preserve">TransactionID</t>
  </si>
  <si>
    <t xml:space="preserve">Sale_Date</t>
  </si>
  <si>
    <t xml:space="preserve">Medicine</t>
  </si>
  <si>
    <t xml:space="preserve">Brand_Type</t>
  </si>
  <si>
    <t xml:space="preserve">Product_Name</t>
  </si>
  <si>
    <t xml:space="preserve">Quantity_Sold</t>
  </si>
  <si>
    <t xml:space="preserve">Unit_Price</t>
  </si>
  <si>
    <t xml:space="preserve">Revenue</t>
  </si>
  <si>
    <t xml:space="preserve">TXN00032</t>
  </si>
  <si>
    <t xml:space="preserve">Generic</t>
  </si>
  <si>
    <t xml:space="preserve">Amlodipine (Generic)</t>
  </si>
  <si>
    <t xml:space="preserve">TXN00484</t>
  </si>
  <si>
    <t xml:space="preserve">Metformin (Generic)</t>
  </si>
  <si>
    <t xml:space="preserve">TXN00077</t>
  </si>
  <si>
    <t xml:space="preserve">Branded</t>
  </si>
  <si>
    <t xml:space="preserve">Viroguard</t>
  </si>
  <si>
    <t xml:space="preserve">TXN00329</t>
  </si>
  <si>
    <t xml:space="preserve">Migranil</t>
  </si>
  <si>
    <t xml:space="preserve">TXN00255</t>
  </si>
  <si>
    <t xml:space="preserve">Paracetamol (Generic)</t>
  </si>
  <si>
    <t xml:space="preserve">TXN00052</t>
  </si>
  <si>
    <t xml:space="preserve">Salbutamol (Generic)</t>
  </si>
  <si>
    <t xml:space="preserve">TXN00241</t>
  </si>
  <si>
    <t xml:space="preserve">TXN00214</t>
  </si>
  <si>
    <t xml:space="preserve">Ibuprofen (Generic)</t>
  </si>
  <si>
    <t xml:space="preserve">TXN00308</t>
  </si>
  <si>
    <t xml:space="preserve">Glucofit</t>
  </si>
  <si>
    <t xml:space="preserve">TXN00335</t>
  </si>
  <si>
    <t xml:space="preserve">TXN00196</t>
  </si>
  <si>
    <t xml:space="preserve">TXN00467</t>
  </si>
  <si>
    <t xml:space="preserve">TXN00424</t>
  </si>
  <si>
    <t xml:space="preserve">Amlotrust</t>
  </si>
  <si>
    <t xml:space="preserve">TXN00250</t>
  </si>
  <si>
    <t xml:space="preserve">TXN00355</t>
  </si>
  <si>
    <t xml:space="preserve">TXN00518</t>
  </si>
  <si>
    <t xml:space="preserve">Breathex</t>
  </si>
  <si>
    <t xml:space="preserve">TXN00101</t>
  </si>
  <si>
    <t xml:space="preserve">TXN00398</t>
  </si>
  <si>
    <t xml:space="preserve">TXN00155</t>
  </si>
  <si>
    <t xml:space="preserve">TXN00490</t>
  </si>
  <si>
    <t xml:space="preserve">Orlistat (Generic)</t>
  </si>
  <si>
    <t xml:space="preserve">TXN00502</t>
  </si>
  <si>
    <t xml:space="preserve">TXN00096</t>
  </si>
  <si>
    <t xml:space="preserve">Moodwell</t>
  </si>
  <si>
    <t xml:space="preserve">TXN00177</t>
  </si>
  <si>
    <t xml:space="preserve">Relidol</t>
  </si>
  <si>
    <t xml:space="preserve">TXN00479</t>
  </si>
  <si>
    <t xml:space="preserve">TXN00533</t>
  </si>
  <si>
    <t xml:space="preserve">Cetirizine (Generic)</t>
  </si>
  <si>
    <t xml:space="preserve">TXN00028</t>
  </si>
  <si>
    <t xml:space="preserve">TXN00279</t>
  </si>
  <si>
    <t xml:space="preserve">TXN00548</t>
  </si>
  <si>
    <t xml:space="preserve">TXN00573</t>
  </si>
  <si>
    <t xml:space="preserve">TXN00003</t>
  </si>
  <si>
    <t xml:space="preserve">TXN00235</t>
  </si>
  <si>
    <t xml:space="preserve">TXN00151</t>
  </si>
  <si>
    <t xml:space="preserve">TXN00132</t>
  </si>
  <si>
    <t xml:space="preserve">TXN00082</t>
  </si>
  <si>
    <t xml:space="preserve">TXN00165</t>
  </si>
  <si>
    <t xml:space="preserve">TXN00271</t>
  </si>
  <si>
    <t xml:space="preserve">TXN00078</t>
  </si>
  <si>
    <t xml:space="preserve">Ferrous Sulfate (Generic)</t>
  </si>
  <si>
    <t xml:space="preserve">TXN00208</t>
  </si>
  <si>
    <t xml:space="preserve">TXN00609</t>
  </si>
  <si>
    <t xml:space="preserve">TXN00022</t>
  </si>
  <si>
    <t xml:space="preserve">Sumatriptan (Generic)</t>
  </si>
  <si>
    <t xml:space="preserve">TXN00441</t>
  </si>
  <si>
    <t xml:space="preserve">TXN00404</t>
  </si>
  <si>
    <t xml:space="preserve">TXN00386</t>
  </si>
  <si>
    <t xml:space="preserve">TXN00457</t>
  </si>
  <si>
    <t xml:space="preserve">TXN00323</t>
  </si>
  <si>
    <t xml:space="preserve">TXN00596</t>
  </si>
  <si>
    <t xml:space="preserve">TXN00036</t>
  </si>
  <si>
    <t xml:space="preserve">TXN00039</t>
  </si>
  <si>
    <t xml:space="preserve">TXN00387</t>
  </si>
  <si>
    <t xml:space="preserve">TXN00598</t>
  </si>
  <si>
    <t xml:space="preserve">TXN00137</t>
  </si>
  <si>
    <t xml:space="preserve">TXN00351</t>
  </si>
  <si>
    <t xml:space="preserve">TXN00349</t>
  </si>
  <si>
    <t xml:space="preserve">TXN00324</t>
  </si>
  <si>
    <t xml:space="preserve">Allerclear</t>
  </si>
  <si>
    <t xml:space="preserve">TXN00453</t>
  </si>
  <si>
    <t xml:space="preserve">TXN00030</t>
  </si>
  <si>
    <t xml:space="preserve">Azicure</t>
  </si>
  <si>
    <t xml:space="preserve">TXN00256</t>
  </si>
  <si>
    <t xml:space="preserve">Slimolate</t>
  </si>
  <si>
    <t xml:space="preserve">TXN00342</t>
  </si>
  <si>
    <t xml:space="preserve">Levothyroxine (Generic)</t>
  </si>
  <si>
    <t xml:space="preserve">TXN00361</t>
  </si>
  <si>
    <t xml:space="preserve">Ironel</t>
  </si>
  <si>
    <t xml:space="preserve">TXN00501</t>
  </si>
  <si>
    <t xml:space="preserve">TXN00461</t>
  </si>
  <si>
    <t xml:space="preserve">TXN00475</t>
  </si>
  <si>
    <t xml:space="preserve">Sertraline (Generic)</t>
  </si>
  <si>
    <t xml:space="preserve">TXN00248</t>
  </si>
  <si>
    <t xml:space="preserve">TXN00370</t>
  </si>
  <si>
    <t xml:space="preserve">Painex</t>
  </si>
  <si>
    <t xml:space="preserve">TXN00497</t>
  </si>
  <si>
    <t xml:space="preserve">TXN00483</t>
  </si>
  <si>
    <t xml:space="preserve">TXN00468</t>
  </si>
  <si>
    <t xml:space="preserve">TXN00121</t>
  </si>
  <si>
    <t xml:space="preserve">TXN00566</t>
  </si>
  <si>
    <t xml:space="preserve">TXN00289</t>
  </si>
  <si>
    <t xml:space="preserve">TXN00153</t>
  </si>
  <si>
    <t xml:space="preserve">TXN00300</t>
  </si>
  <si>
    <t xml:space="preserve">TXN00611</t>
  </si>
  <si>
    <t xml:space="preserve">TXN00317</t>
  </si>
  <si>
    <t xml:space="preserve">TXN00414</t>
  </si>
  <si>
    <t xml:space="preserve">TXN00444</t>
  </si>
  <si>
    <t xml:space="preserve">TXN00594</t>
  </si>
  <si>
    <t xml:space="preserve">TXN00512</t>
  </si>
  <si>
    <t xml:space="preserve">Omeprazole (Generic)</t>
  </si>
  <si>
    <t xml:space="preserve">TXN00591</t>
  </si>
  <si>
    <t xml:space="preserve">TXN00410</t>
  </si>
  <si>
    <t xml:space="preserve">TXN00047</t>
  </si>
  <si>
    <t xml:space="preserve">Favipiravir (Generic)</t>
  </si>
  <si>
    <t xml:space="preserve">TXN00280</t>
  </si>
  <si>
    <t xml:space="preserve">TXN00021</t>
  </si>
  <si>
    <t xml:space="preserve">TXN00506</t>
  </si>
  <si>
    <t xml:space="preserve">TXN00088</t>
  </si>
  <si>
    <t xml:space="preserve">TXN00268</t>
  </si>
  <si>
    <t xml:space="preserve">TXN00143</t>
  </si>
  <si>
    <t xml:space="preserve">TXN00346</t>
  </si>
  <si>
    <t xml:space="preserve">TXN00059</t>
  </si>
  <si>
    <t xml:space="preserve">TXN00164</t>
  </si>
  <si>
    <t xml:space="preserve">TXN00557</t>
  </si>
  <si>
    <t xml:space="preserve">TXN00368</t>
  </si>
  <si>
    <t xml:space="preserve">TXN00043</t>
  </si>
  <si>
    <t xml:space="preserve">TXN00226</t>
  </si>
  <si>
    <t xml:space="preserve">TXN00496</t>
  </si>
  <si>
    <t xml:space="preserve">TXN00267</t>
  </si>
  <si>
    <t xml:space="preserve">TXN00211</t>
  </si>
  <si>
    <t xml:space="preserve">Azithromycin (Generic)</t>
  </si>
  <si>
    <t xml:space="preserve">TXN00527</t>
  </si>
  <si>
    <t xml:space="preserve">TXN00071</t>
  </si>
  <si>
    <t xml:space="preserve">TXN00292</t>
  </si>
  <si>
    <t xml:space="preserve">TXN00258</t>
  </si>
  <si>
    <t xml:space="preserve">TXN00540</t>
  </si>
  <si>
    <t xml:space="preserve">TXN00236</t>
  </si>
  <si>
    <t xml:space="preserve">TXN00099</t>
  </si>
  <si>
    <t xml:space="preserve">TXN00523</t>
  </si>
  <si>
    <t xml:space="preserve">TXN00203</t>
  </si>
  <si>
    <t xml:space="preserve">TXN00257</t>
  </si>
  <si>
    <t xml:space="preserve">TXN00373</t>
  </si>
  <si>
    <t xml:space="preserve">TXN00462</t>
  </si>
  <si>
    <t xml:space="preserve">TXN00495</t>
  </si>
  <si>
    <t xml:space="preserve">TXN00276</t>
  </si>
  <si>
    <t xml:space="preserve">TXN00013</t>
  </si>
  <si>
    <t xml:space="preserve">TXN00163</t>
  </si>
  <si>
    <t xml:space="preserve">TXN00474</t>
  </si>
  <si>
    <t xml:space="preserve">TXN00455</t>
  </si>
  <si>
    <t xml:space="preserve">TXN00160</t>
  </si>
  <si>
    <t xml:space="preserve">TXN00505</t>
  </si>
  <si>
    <t xml:space="preserve">TXN00445</t>
  </si>
  <si>
    <t xml:space="preserve">TXN00092</t>
  </si>
  <si>
    <t xml:space="preserve">TXN00301</t>
  </si>
  <si>
    <t xml:space="preserve">TXN00117</t>
  </si>
  <si>
    <t xml:space="preserve">TXN00405</t>
  </si>
  <si>
    <t xml:space="preserve">TXN00538</t>
  </si>
  <si>
    <t xml:space="preserve">TXN00127</t>
  </si>
  <si>
    <t xml:space="preserve">TXN00576</t>
  </si>
  <si>
    <t xml:space="preserve">TXN00528</t>
  </si>
  <si>
    <t xml:space="preserve">TXN00227</t>
  </si>
  <si>
    <t xml:space="preserve">TXN00083</t>
  </si>
  <si>
    <t xml:space="preserve">TXN00385</t>
  </si>
  <si>
    <t xml:space="preserve">TXN00534</t>
  </si>
  <si>
    <t xml:space="preserve">TXN00433</t>
  </si>
  <si>
    <t xml:space="preserve">TXN00312</t>
  </si>
  <si>
    <t xml:space="preserve">TXN00378</t>
  </si>
  <si>
    <t xml:space="preserve">Gastrocure</t>
  </si>
  <si>
    <t xml:space="preserve">TXN00429</t>
  </si>
  <si>
    <t xml:space="preserve">TXN00215</t>
  </si>
  <si>
    <t xml:space="preserve">TXN00397</t>
  </si>
  <si>
    <t xml:space="preserve">TXN00113</t>
  </si>
  <si>
    <t xml:space="preserve">TXN00421</t>
  </si>
  <si>
    <t xml:space="preserve">TXN00511</t>
  </si>
  <si>
    <t xml:space="preserve">TXN00169</t>
  </si>
  <si>
    <t xml:space="preserve">TXN00299</t>
  </si>
  <si>
    <t xml:space="preserve">TXN00194</t>
  </si>
  <si>
    <t xml:space="preserve">TXN00325</t>
  </si>
  <si>
    <t xml:space="preserve">TXN00191</t>
  </si>
  <si>
    <t xml:space="preserve">TXN00104</t>
  </si>
  <si>
    <t xml:space="preserve">TXN00029</t>
  </si>
  <si>
    <t xml:space="preserve">TXN00090</t>
  </si>
  <si>
    <t xml:space="preserve">TXN00389</t>
  </si>
  <si>
    <t xml:space="preserve">TXN00583</t>
  </si>
  <si>
    <t xml:space="preserve">TXN00311</t>
  </si>
  <si>
    <t xml:space="preserve">TXN00337</t>
  </si>
  <si>
    <t xml:space="preserve">TXN00119</t>
  </si>
  <si>
    <t xml:space="preserve">TXN00348</t>
  </si>
  <si>
    <t xml:space="preserve">TXN00514</t>
  </si>
  <si>
    <t xml:space="preserve">TXN00213</t>
  </si>
  <si>
    <t xml:space="preserve">TXN00545</t>
  </si>
  <si>
    <t xml:space="preserve">TXN00180</t>
  </si>
  <si>
    <t xml:space="preserve">TXN00375</t>
  </si>
  <si>
    <t xml:space="preserve">TXN00353</t>
  </si>
  <si>
    <t xml:space="preserve">TXN00352</t>
  </si>
  <si>
    <t xml:space="preserve">TXN00016</t>
  </si>
  <si>
    <t xml:space="preserve">TXN00060</t>
  </si>
  <si>
    <t xml:space="preserve">TXN00517</t>
  </si>
  <si>
    <t xml:space="preserve">TXN00209</t>
  </si>
  <si>
    <t xml:space="preserve">TXN00562</t>
  </si>
  <si>
    <t xml:space="preserve">TXN00359</t>
  </si>
  <si>
    <t xml:space="preserve">TXN00295</t>
  </si>
  <si>
    <t xml:space="preserve">TXN00018</t>
  </si>
  <si>
    <t xml:space="preserve">TXN00549</t>
  </si>
  <si>
    <t xml:space="preserve">TXN00251</t>
  </si>
  <si>
    <t xml:space="preserve">TXN00035</t>
  </si>
  <si>
    <t xml:space="preserve">TXN00432</t>
  </si>
  <si>
    <t xml:space="preserve">TXN00316</t>
  </si>
  <si>
    <t xml:space="preserve">TXN00590</t>
  </si>
  <si>
    <t xml:space="preserve">TXN00004</t>
  </si>
  <si>
    <t xml:space="preserve">TXN00529</t>
  </si>
  <si>
    <t xml:space="preserve">TXN00494</t>
  </si>
  <si>
    <t xml:space="preserve">TXN00377</t>
  </si>
  <si>
    <t xml:space="preserve">TXN00152</t>
  </si>
  <si>
    <t xml:space="preserve">TXN00291</t>
  </si>
  <si>
    <t xml:space="preserve">TXN00513</t>
  </si>
  <si>
    <t xml:space="preserve">TXN00097</t>
  </si>
  <si>
    <t xml:space="preserve">TXN00408</t>
  </si>
  <si>
    <t xml:space="preserve">TXN00550</t>
  </si>
  <si>
    <t xml:space="preserve">TXN00102</t>
  </si>
  <si>
    <t xml:space="preserve">TXN00568</t>
  </si>
  <si>
    <t xml:space="preserve">TXN00613</t>
  </si>
  <si>
    <t xml:space="preserve">TXN00157</t>
  </si>
  <si>
    <t xml:space="preserve">TXN00145</t>
  </si>
  <si>
    <t xml:space="preserve">TXN00606</t>
  </si>
  <si>
    <t xml:space="preserve">TXN00027</t>
  </si>
  <si>
    <t xml:space="preserve">TXN00120</t>
  </si>
  <si>
    <t xml:space="preserve">TXN00446</t>
  </si>
  <si>
    <t xml:space="preserve">TXN00183</t>
  </si>
  <si>
    <t xml:space="preserve">TXN00287</t>
  </si>
  <si>
    <t xml:space="preserve">TXN00154</t>
  </si>
  <si>
    <t xml:space="preserve">TXN00327</t>
  </si>
  <si>
    <t xml:space="preserve">TXN00464</t>
  </si>
  <si>
    <t xml:space="preserve">TXN00140</t>
  </si>
  <si>
    <t xml:space="preserve">TXN00339</t>
  </si>
  <si>
    <t xml:space="preserve">TXN00407</t>
  </si>
  <si>
    <t xml:space="preserve">TXN00522</t>
  </si>
  <si>
    <t xml:space="preserve">TXN00570</t>
  </si>
  <si>
    <t xml:space="preserve">TXN00379</t>
  </si>
  <si>
    <t xml:space="preserve">TXN00363</t>
  </si>
  <si>
    <t xml:space="preserve">TXN00319</t>
  </si>
  <si>
    <t xml:space="preserve">TXN00249</t>
  </si>
  <si>
    <t xml:space="preserve">TXN00582</t>
  </si>
  <si>
    <t xml:space="preserve">TXN00002</t>
  </si>
  <si>
    <t xml:space="preserve">TXN00431</t>
  </si>
  <si>
    <t xml:space="preserve">TXN00422</t>
  </si>
  <si>
    <t xml:space="preserve">TXN00252</t>
  </si>
  <si>
    <t xml:space="preserve">TXN00509</t>
  </si>
  <si>
    <t xml:space="preserve">TXN00015</t>
  </si>
  <si>
    <t xml:space="preserve">TXN00469</t>
  </si>
  <si>
    <t xml:space="preserve">TXN00080</t>
  </si>
  <si>
    <t xml:space="preserve">TXN00144</t>
  </si>
  <si>
    <t xml:space="preserve">TXN00401</t>
  </si>
  <si>
    <t xml:space="preserve">TXN00193</t>
  </si>
  <si>
    <t xml:space="preserve">TXN00139</t>
  </si>
  <si>
    <t xml:space="preserve">TXN00175</t>
  </si>
  <si>
    <t xml:space="preserve">TXN00007</t>
  </si>
  <si>
    <t xml:space="preserve">TXN00315</t>
  </si>
  <si>
    <t xml:space="preserve">TXN00588</t>
  </si>
  <si>
    <t xml:space="preserve">TXN00488</t>
  </si>
  <si>
    <t xml:space="preserve">TXN00575</t>
  </si>
  <si>
    <t xml:space="preserve">TXN00233</t>
  </si>
  <si>
    <t xml:space="preserve">TXN00066</t>
  </si>
  <si>
    <t xml:space="preserve">TXN00246</t>
  </si>
  <si>
    <t xml:space="preserve">TXN00188</t>
  </si>
  <si>
    <t xml:space="preserve">TXN00123</t>
  </si>
  <si>
    <t xml:space="preserve">TXN00500</t>
  </si>
  <si>
    <t xml:space="preserve">TXN00589</t>
  </si>
  <si>
    <t xml:space="preserve">TXN00205</t>
  </si>
  <si>
    <t xml:space="preserve">TXN00044</t>
  </si>
  <si>
    <t xml:space="preserve">TXN00371</t>
  </si>
  <si>
    <t xml:space="preserve">TXN00614</t>
  </si>
  <si>
    <t xml:space="preserve">TXN00572</t>
  </si>
  <si>
    <t xml:space="preserve">TXN00172</t>
  </si>
  <si>
    <t xml:space="preserve">TXN00221</t>
  </si>
  <si>
    <t xml:space="preserve">TXN00142</t>
  </si>
  <si>
    <t xml:space="preserve">TXN00409</t>
  </si>
  <si>
    <t xml:space="preserve">TXN00579</t>
  </si>
  <si>
    <t xml:space="preserve">TXN00477</t>
  </si>
  <si>
    <t xml:space="preserve">TXN00413</t>
  </si>
  <si>
    <t xml:space="preserve">TXN00426</t>
  </si>
  <si>
    <t xml:space="preserve">TXN00530</t>
  </si>
  <si>
    <t xml:space="preserve">TXN00599</t>
  </si>
  <si>
    <t xml:space="preserve">TXN00597</t>
  </si>
  <si>
    <t xml:space="preserve">TXN00536</t>
  </si>
  <si>
    <t xml:space="preserve">TXN00230</t>
  </si>
  <si>
    <t xml:space="preserve">TXN00520</t>
  </si>
  <si>
    <t xml:space="preserve">TXN00200</t>
  </si>
  <si>
    <t xml:space="preserve">TXN00087</t>
  </si>
  <si>
    <t xml:space="preserve">TXN00330</t>
  </si>
  <si>
    <t xml:space="preserve">TXN00001</t>
  </si>
  <si>
    <t xml:space="preserve">TXN00038</t>
  </si>
  <si>
    <t xml:space="preserve">TXN00616</t>
  </si>
  <si>
    <t xml:space="preserve">TXN00033</t>
  </si>
  <si>
    <t xml:space="preserve">TXN00543</t>
  </si>
  <si>
    <t xml:space="preserve">TXN00065</t>
  </si>
  <si>
    <t xml:space="preserve">TXN00585</t>
  </si>
  <si>
    <t xml:space="preserve">TXN00070</t>
  </si>
  <si>
    <t xml:space="preserve">TXN00124</t>
  </si>
  <si>
    <t xml:space="preserve">TXN00008</t>
  </si>
  <si>
    <t xml:space="preserve">TXN00565</t>
  </si>
  <si>
    <t xml:space="preserve">TXN00031</t>
  </si>
  <si>
    <t xml:space="preserve">TXN00283</t>
  </si>
  <si>
    <t xml:space="preserve">TXN00564</t>
  </si>
  <si>
    <t xml:space="preserve">TXN00451</t>
  </si>
  <si>
    <t xml:space="preserve">TXN00025</t>
  </si>
  <si>
    <t xml:space="preserve">TXN00098</t>
  </si>
  <si>
    <t xml:space="preserve">TXN00360</t>
  </si>
  <si>
    <t xml:space="preserve">TXN00020</t>
  </si>
  <si>
    <t xml:space="preserve">TXN00314</t>
  </si>
  <si>
    <t xml:space="preserve">TXN00369</t>
  </si>
  <si>
    <t xml:space="preserve">TXN00063</t>
  </si>
  <si>
    <t xml:space="preserve">TXN00303</t>
  </si>
  <si>
    <t xml:space="preserve">TXN00173</t>
  </si>
  <si>
    <t xml:space="preserve">TXN00178</t>
  </si>
  <si>
    <t xml:space="preserve">TXN00498</t>
  </si>
  <si>
    <t xml:space="preserve">TXN00593</t>
  </si>
  <si>
    <t xml:space="preserve">TXN00390</t>
  </si>
  <si>
    <t xml:space="preserve">TXN00338</t>
  </si>
  <si>
    <t xml:space="preserve">TXN00135</t>
  </si>
  <si>
    <t xml:space="preserve">TXN00068</t>
  </si>
  <si>
    <t xml:space="preserve">TXN00107</t>
  </si>
  <si>
    <t xml:space="preserve">TXN00531</t>
  </si>
  <si>
    <t xml:space="preserve">TXN00149</t>
  </si>
  <si>
    <t xml:space="preserve">TXN00515</t>
  </si>
  <si>
    <t xml:space="preserve">TXN00341</t>
  </si>
  <si>
    <t xml:space="preserve">TXN00350</t>
  </si>
  <si>
    <t xml:space="preserve">TXN00472</t>
  </si>
  <si>
    <t xml:space="preserve">TXN00345</t>
  </si>
  <si>
    <t xml:space="preserve">TXN00435</t>
  </si>
  <si>
    <t xml:space="preserve">TXN00374</t>
  </si>
  <si>
    <t xml:space="preserve">TXN00049</t>
  </si>
  <si>
    <t xml:space="preserve">TXN00318</t>
  </si>
  <si>
    <t xml:space="preserve">TXN00380</t>
  </si>
  <si>
    <t xml:space="preserve">TXN00347</t>
  </si>
  <si>
    <t xml:space="preserve">TXN00067</t>
  </si>
  <si>
    <t xml:space="preserve">TXN00510</t>
  </si>
  <si>
    <t xml:space="preserve">TXN00190</t>
  </si>
  <si>
    <t xml:space="preserve">TXN00278</t>
  </si>
  <si>
    <t xml:space="preserve">TXN00601</t>
  </si>
  <si>
    <t xml:space="preserve">TXN00419</t>
  </si>
  <si>
    <t xml:space="preserve">TXN00112</t>
  </si>
  <si>
    <t xml:space="preserve">TXN00466</t>
  </si>
  <si>
    <t xml:space="preserve">TXN00011</t>
  </si>
  <si>
    <t xml:space="preserve">TXN00544</t>
  </si>
  <si>
    <t xml:space="preserve">TXN00237</t>
  </si>
  <si>
    <t xml:space="preserve">TXN00109</t>
  </si>
  <si>
    <t xml:space="preserve">TXN00552</t>
  </si>
  <si>
    <t xml:space="preserve">TXN00148</t>
  </si>
  <si>
    <t xml:space="preserve">TXN00187</t>
  </si>
  <si>
    <t xml:space="preserve">TXN00166</t>
  </si>
  <si>
    <t xml:space="preserve">TXN00491</t>
  </si>
  <si>
    <t xml:space="preserve">TXN00150</t>
  </si>
  <si>
    <t xml:space="preserve">TXN00480</t>
  </si>
  <si>
    <t xml:space="preserve">TXN00207</t>
  </si>
  <si>
    <t xml:space="preserve">TXN00423</t>
  </si>
  <si>
    <t xml:space="preserve">TXN00232</t>
  </si>
  <si>
    <t xml:space="preserve">TXN00201</t>
  </si>
  <si>
    <t xml:space="preserve">TXN00242</t>
  </si>
  <si>
    <t xml:space="preserve">TXN00260</t>
  </si>
  <si>
    <t xml:space="preserve">TXN00176</t>
  </si>
  <si>
    <t xml:space="preserve">TXN00264</t>
  </si>
  <si>
    <t xml:space="preserve">TXN00229</t>
  </si>
  <si>
    <t xml:space="preserve">TXN00516</t>
  </si>
  <si>
    <t xml:space="preserve">TXN00285</t>
  </si>
  <si>
    <t xml:space="preserve">TXN00577</t>
  </si>
  <si>
    <t xml:space="preserve">TXN00486</t>
  </si>
  <si>
    <t xml:space="preserve">TXN00095</t>
  </si>
  <si>
    <t xml:space="preserve">TXN00436</t>
  </si>
  <si>
    <t xml:space="preserve">TXN00202</t>
  </si>
  <si>
    <t xml:space="preserve">TXN00447</t>
  </si>
  <si>
    <t xml:space="preserve">TXN00420</t>
  </si>
  <si>
    <t xml:space="preserve">TXN00298</t>
  </si>
  <si>
    <t xml:space="preserve">TXN00333</t>
  </si>
  <si>
    <t xml:space="preserve">TXN00376</t>
  </si>
  <si>
    <t xml:space="preserve">TXN00542</t>
  </si>
  <si>
    <t xml:space="preserve">TXN00326</t>
  </si>
  <si>
    <t xml:space="preserve">TXN00219</t>
  </si>
  <si>
    <t xml:space="preserve">TXN00310</t>
  </si>
  <si>
    <t xml:space="preserve">TXN00438</t>
  </si>
  <si>
    <t xml:space="preserve">TXN00381</t>
  </si>
  <si>
    <t xml:space="preserve">TXN00037</t>
  </si>
  <si>
    <t xml:space="preserve">TXN00042</t>
  </si>
  <si>
    <t xml:space="preserve">TXN00062</t>
  </si>
  <si>
    <t xml:space="preserve">TXN00608</t>
  </si>
  <si>
    <t xml:space="preserve">TXN00126</t>
  </si>
  <si>
    <t xml:space="preserve">TXN00293</t>
  </si>
  <si>
    <t xml:space="preserve">TXN00403</t>
  </si>
  <si>
    <t xml:space="preserve">TXN00053</t>
  </si>
  <si>
    <t xml:space="preserve">TXN00465</t>
  </si>
  <si>
    <t xml:space="preserve">TXN00358</t>
  </si>
  <si>
    <t xml:space="preserve">TXN00017</t>
  </si>
  <si>
    <t xml:space="preserve">TXN00442</t>
  </si>
  <si>
    <t xml:space="preserve">TXN00274</t>
  </si>
  <si>
    <t xml:space="preserve">TXN00174</t>
  </si>
  <si>
    <t xml:space="preserve">TXN00210</t>
  </si>
  <si>
    <t xml:space="preserve">TXN00288</t>
  </si>
  <si>
    <t xml:space="preserve">TXN00272</t>
  </si>
  <si>
    <t xml:space="preserve">TXN00041</t>
  </si>
  <si>
    <t xml:space="preserve">TXN00168</t>
  </si>
  <si>
    <t xml:space="preserve">TXN00171</t>
  </si>
  <si>
    <t xml:space="preserve">TXN00482</t>
  </si>
  <si>
    <t xml:space="preserve">TXN00297</t>
  </si>
  <si>
    <t xml:space="preserve">TXN00366</t>
  </si>
  <si>
    <t xml:space="preserve">TXN00220</t>
  </si>
  <si>
    <t xml:space="preserve">TXN00603</t>
  </si>
  <si>
    <t xml:space="preserve">TXN00115</t>
  </si>
  <si>
    <t xml:space="preserve">TXN00415</t>
  </si>
  <si>
    <t xml:space="preserve">TXN00269</t>
  </si>
  <si>
    <t xml:space="preserve">TXN00592</t>
  </si>
  <si>
    <t xml:space="preserve">TXN00383</t>
  </si>
  <si>
    <t xml:space="preserve">TXN00485</t>
  </si>
  <si>
    <t xml:space="preserve">TXN00519</t>
  </si>
  <si>
    <t xml:space="preserve">TXN00009</t>
  </si>
  <si>
    <t xml:space="preserve">TXN00307</t>
  </si>
  <si>
    <t xml:space="preserve">TXN00076</t>
  </si>
  <si>
    <t xml:space="preserve">TXN00116</t>
  </si>
  <si>
    <t xml:space="preserve">TXN00296</t>
  </si>
  <si>
    <t xml:space="preserve">TXN00546</t>
  </si>
  <si>
    <t xml:space="preserve">TXN00136</t>
  </si>
  <si>
    <t xml:space="preserve">TXN00179</t>
  </si>
  <si>
    <t xml:space="preserve">TXN00005</t>
  </si>
  <si>
    <t xml:space="preserve">TXN00050</t>
  </si>
  <si>
    <t xml:space="preserve">TXN00332</t>
  </si>
  <si>
    <t xml:space="preserve">TXN00138</t>
  </si>
  <si>
    <t xml:space="preserve">TXN00578</t>
  </si>
  <si>
    <t xml:space="preserve">TXN00238</t>
  </si>
  <si>
    <t xml:space="preserve">TXN00454</t>
  </si>
  <si>
    <t xml:space="preserve">TXN00463</t>
  </si>
  <si>
    <t xml:space="preserve">TXN00262</t>
  </si>
  <si>
    <t xml:space="preserve">TXN00406</t>
  </si>
  <si>
    <t xml:space="preserve">TXN00259</t>
  </si>
  <si>
    <t xml:space="preserve">Thyrofix</t>
  </si>
  <si>
    <t xml:space="preserve">TXN00282</t>
  </si>
  <si>
    <t xml:space="preserve">TXN00105</t>
  </si>
  <si>
    <t xml:space="preserve">TXN00443</t>
  </si>
  <si>
    <t xml:space="preserve">TXN00402</t>
  </si>
  <si>
    <t xml:space="preserve">TXN00216</t>
  </si>
  <si>
    <t xml:space="preserve">TXN00356</t>
  </si>
  <si>
    <t xml:space="preserve">TXN00558</t>
  </si>
  <si>
    <t xml:space="preserve">TXN00118</t>
  </si>
  <si>
    <t xml:space="preserve">TXN00093</t>
  </si>
  <si>
    <t xml:space="preserve">TXN00186</t>
  </si>
  <si>
    <t xml:space="preserve">TXN00222</t>
  </si>
  <si>
    <t xml:space="preserve">TXN00569</t>
  </si>
  <si>
    <t xml:space="preserve">TXN00581</t>
  </si>
  <si>
    <t xml:space="preserve">TXN00034</t>
  </si>
  <si>
    <t xml:space="preserve">TXN00499</t>
  </si>
  <si>
    <t xml:space="preserve">TXN00331</t>
  </si>
  <si>
    <t xml:space="preserve">TXN00056</t>
  </si>
  <si>
    <t xml:space="preserve">TXN00006</t>
  </si>
  <si>
    <t xml:space="preserve">TXN00395</t>
  </si>
  <si>
    <t xml:space="preserve">TXN00108</t>
  </si>
  <si>
    <t xml:space="preserve">TXN00610</t>
  </si>
  <si>
    <t xml:space="preserve">TXN00507</t>
  </si>
  <si>
    <t xml:space="preserve">TXN00128</t>
  </si>
  <si>
    <t xml:space="preserve">TXN00357</t>
  </si>
  <si>
    <t xml:space="preserve">TXN00439</t>
  </si>
  <si>
    <t xml:space="preserve">TXN00602</t>
  </si>
  <si>
    <t xml:space="preserve">TXN00206</t>
  </si>
  <si>
    <t xml:space="preserve">TXN00234</t>
  </si>
  <si>
    <t xml:space="preserve">TXN00198</t>
  </si>
  <si>
    <t xml:space="preserve">TXN00125</t>
  </si>
  <si>
    <t xml:space="preserve">TXN00367</t>
  </si>
  <si>
    <t xml:space="preserve">TXN00586</t>
  </si>
  <si>
    <t xml:space="preserve">TXN00508</t>
  </si>
  <si>
    <t xml:space="preserve">TXN00605</t>
  </si>
  <si>
    <t xml:space="preserve">TXN00218</t>
  </si>
  <si>
    <t xml:space="preserve">TXN00122</t>
  </si>
  <si>
    <t xml:space="preserve">TXN00224</t>
  </si>
  <si>
    <t xml:space="preserve">TXN00344</t>
  </si>
  <si>
    <t xml:space="preserve">TXN00286</t>
  </si>
  <si>
    <t xml:space="preserve">TXN00197</t>
  </si>
  <si>
    <t xml:space="preserve">TXN00580</t>
  </si>
  <si>
    <t xml:space="preserve">TXN00075</t>
  </si>
  <si>
    <t xml:space="preserve">TXN00584</t>
  </si>
  <si>
    <t xml:space="preserve">TXN00106</t>
  </si>
  <si>
    <t xml:space="preserve">TXN00343</t>
  </si>
  <si>
    <t xml:space="preserve">TXN00449</t>
  </si>
  <si>
    <t xml:space="preserve">TXN00054</t>
  </si>
  <si>
    <t xml:space="preserve">TXN00240</t>
  </si>
  <si>
    <t xml:space="preserve">TXN00228</t>
  </si>
  <si>
    <t xml:space="preserve">TXN00493</t>
  </si>
  <si>
    <t xml:space="preserve">TXN00313</t>
  </si>
  <si>
    <t xml:space="preserve">TXN00189</t>
  </si>
  <si>
    <t xml:space="preserve">TXN00492</t>
  </si>
  <si>
    <t xml:space="preserve">TXN00217</t>
  </si>
  <si>
    <t xml:space="preserve">TXN00074</t>
  </si>
  <si>
    <t xml:space="preserve">TXN00362</t>
  </si>
  <si>
    <t xml:space="preserve">TXN00231</t>
  </si>
  <si>
    <t xml:space="preserve">TXN00114</t>
  </si>
  <si>
    <t xml:space="preserve">TXN00305</t>
  </si>
  <si>
    <t xml:space="preserve">TXN00057</t>
  </si>
  <si>
    <t xml:space="preserve">TXN00535</t>
  </si>
  <si>
    <t xml:space="preserve">TXN00072</t>
  </si>
  <si>
    <t xml:space="preserve">TXN00212</t>
  </si>
  <si>
    <t xml:space="preserve">TXN00306</t>
  </si>
  <si>
    <t xml:space="preserve">TXN00440</t>
  </si>
  <si>
    <t xml:space="preserve">TXN00170</t>
  </si>
  <si>
    <t xml:space="preserve">TXN00322</t>
  </si>
  <si>
    <t xml:space="preserve">TXN00199</t>
  </si>
  <si>
    <t xml:space="preserve">TXN00539</t>
  </si>
  <si>
    <t xml:space="preserve">TXN00012</t>
  </si>
  <si>
    <t xml:space="preserve">TXN00184</t>
  </si>
  <si>
    <t xml:space="preserve">TXN00526</t>
  </si>
  <si>
    <t xml:space="preserve">TXN00563</t>
  </si>
  <si>
    <t xml:space="preserve">TXN00321</t>
  </si>
  <si>
    <t xml:space="preserve">TXN00604</t>
  </si>
  <si>
    <t xml:space="preserve">TXN00425</t>
  </si>
  <si>
    <t xml:space="preserve">TXN00273</t>
  </si>
  <si>
    <t xml:space="preserve">TXN00081</t>
  </si>
  <si>
    <t xml:space="preserve">TXN00470</t>
  </si>
  <si>
    <t xml:space="preserve">TXN00192</t>
  </si>
  <si>
    <t xml:space="preserve">TXN00382</t>
  </si>
  <si>
    <t xml:space="preserve">TXN00069</t>
  </si>
  <si>
    <t xml:space="preserve">TXN00524</t>
  </si>
  <si>
    <t xml:space="preserve">TXN00391</t>
  </si>
  <si>
    <t xml:space="preserve">TXN00476</t>
  </si>
  <si>
    <t xml:space="preserve">TXN00270</t>
  </si>
  <si>
    <t xml:space="preserve">TXN00417</t>
  </si>
  <si>
    <t xml:space="preserve">TXN00051</t>
  </si>
  <si>
    <t xml:space="preserve">TXN00555</t>
  </si>
  <si>
    <t xml:space="preserve">TXN00058</t>
  </si>
  <si>
    <t xml:space="preserve">TXN00559</t>
  </si>
  <si>
    <t xml:space="preserve">TXN00560</t>
  </si>
  <si>
    <t xml:space="preserve">TXN00460</t>
  </si>
  <si>
    <t xml:space="preserve">TXN00181</t>
  </si>
  <si>
    <t xml:space="preserve">TXN00473</t>
  </si>
  <si>
    <t xml:space="preserve">TXN00372</t>
  </si>
  <si>
    <t xml:space="preserve">TXN00094</t>
  </si>
  <si>
    <t xml:space="preserve">TXN00019</t>
  </si>
  <si>
    <t xml:space="preserve">TXN00607</t>
  </si>
  <si>
    <t xml:space="preserve">TXN00091</t>
  </si>
  <si>
    <t xml:space="preserve">TXN00532</t>
  </si>
  <si>
    <t xml:space="preserve">TXN00521</t>
  </si>
  <si>
    <t xml:space="preserve">TXN00437</t>
  </si>
  <si>
    <t xml:space="preserve">TXN00045</t>
  </si>
  <si>
    <t xml:space="preserve">TXN00131</t>
  </si>
  <si>
    <t xml:space="preserve">TXN00396</t>
  </si>
  <si>
    <t xml:space="preserve">TXN00141</t>
  </si>
  <si>
    <t xml:space="preserve">TXN00253</t>
  </si>
  <si>
    <t xml:space="preserve">TXN00571</t>
  </si>
  <si>
    <t xml:space="preserve">TXN00503</t>
  </si>
  <si>
    <t xml:space="preserve">TXN00247</t>
  </si>
  <si>
    <t xml:space="preserve">TXN00111</t>
  </si>
  <si>
    <t xml:space="preserve">TXN00089</t>
  </si>
  <si>
    <t xml:space="preserve">TXN00158</t>
  </si>
  <si>
    <t xml:space="preserve">TXN00064</t>
  </si>
  <si>
    <t xml:space="preserve">TXN00587</t>
  </si>
  <si>
    <t xml:space="preserve">TXN00275</t>
  </si>
  <si>
    <t xml:space="preserve">TXN00428</t>
  </si>
  <si>
    <t xml:space="preserve">TXN00010</t>
  </si>
  <si>
    <t xml:space="preserve">TXN00085</t>
  </si>
  <si>
    <t xml:space="preserve">TXN00263</t>
  </si>
  <si>
    <t xml:space="preserve">TXN00266</t>
  </si>
  <si>
    <t xml:space="preserve">TXN00156</t>
  </si>
  <si>
    <t xml:space="preserve">TXN00084</t>
  </si>
  <si>
    <t xml:space="preserve">TXN00254</t>
  </si>
  <si>
    <t xml:space="preserve">TXN00448</t>
  </si>
  <si>
    <t xml:space="preserve">TXN00394</t>
  </si>
  <si>
    <t xml:space="preserve">TXN00159</t>
  </si>
  <si>
    <t xml:space="preserve">TXN00595</t>
  </si>
  <si>
    <t xml:space="preserve">TXN00243</t>
  </si>
  <si>
    <t xml:space="preserve">TXN00284</t>
  </si>
  <si>
    <t xml:space="preserve">TXN00129</t>
  </si>
  <si>
    <t xml:space="preserve">TXN00281</t>
  </si>
  <si>
    <t xml:space="preserve">TXN00412</t>
  </si>
  <si>
    <t xml:space="preserve">TXN00134</t>
  </si>
  <si>
    <t xml:space="preserve">TXN00204</t>
  </si>
  <si>
    <t xml:space="preserve">TXN00133</t>
  </si>
  <si>
    <t xml:space="preserve">TXN00023</t>
  </si>
  <si>
    <t xml:space="preserve">TXN00167</t>
  </si>
  <si>
    <t xml:space="preserve">TXN00162</t>
  </si>
  <si>
    <t xml:space="preserve">TXN00290</t>
  </si>
  <si>
    <t xml:space="preserve">TXN00225</t>
  </si>
  <si>
    <t xml:space="preserve">TXN00265</t>
  </si>
  <si>
    <t xml:space="preserve">TXN00427</t>
  </si>
  <si>
    <t xml:space="preserve">TXN00340</t>
  </si>
  <si>
    <t xml:space="preserve">TXN00600</t>
  </si>
  <si>
    <t xml:space="preserve">TXN00061</t>
  </si>
  <si>
    <t xml:space="preserve">TXN00334</t>
  </si>
  <si>
    <t xml:space="preserve">TXN00239</t>
  </si>
  <si>
    <t xml:space="preserve">TXN00048</t>
  </si>
  <si>
    <t xml:space="preserve">TXN00434</t>
  </si>
  <si>
    <t xml:space="preserve">TXN00388</t>
  </si>
  <si>
    <t xml:space="preserve">TXN00416</t>
  </si>
  <si>
    <t xml:space="preserve">TXN00320</t>
  </si>
  <si>
    <t xml:space="preserve">TXN00040</t>
  </si>
  <si>
    <t xml:space="preserve">TXN00086</t>
  </si>
  <si>
    <t xml:space="preserve">TXN00458</t>
  </si>
  <si>
    <t xml:space="preserve">TXN00384</t>
  </si>
  <si>
    <t xml:space="preserve">TXN00014</t>
  </si>
  <si>
    <t xml:space="preserve">TXN00471</t>
  </si>
  <si>
    <t xml:space="preserve">TXN00294</t>
  </si>
  <si>
    <t xml:space="preserve">TXN00553</t>
  </si>
  <si>
    <t xml:space="preserve">TXN00261</t>
  </si>
  <si>
    <t xml:space="preserve">TXN00393</t>
  </si>
  <si>
    <t xml:space="preserve">TXN00452</t>
  </si>
  <si>
    <t xml:space="preserve">TXN00336</t>
  </si>
  <si>
    <t xml:space="preserve">TXN00223</t>
  </si>
  <si>
    <t xml:space="preserve">TXN00244</t>
  </si>
  <si>
    <t xml:space="preserve">TXN00245</t>
  </si>
  <si>
    <t xml:space="preserve">TXN00547</t>
  </si>
  <si>
    <t xml:space="preserve">TXN00574</t>
  </si>
  <si>
    <t xml:space="preserve">TXN00302</t>
  </si>
  <si>
    <t xml:space="preserve">TXN00055</t>
  </si>
  <si>
    <t xml:space="preserve">TXN00100</t>
  </si>
  <si>
    <t xml:space="preserve">TXN00554</t>
  </si>
  <si>
    <t xml:space="preserve">TXN00481</t>
  </si>
  <si>
    <t xml:space="preserve">TXN00504</t>
  </si>
  <si>
    <t xml:space="preserve">TXN00615</t>
  </si>
  <si>
    <t xml:space="preserve">TXN00459</t>
  </si>
  <si>
    <t xml:space="preserve">TXN00489</t>
  </si>
  <si>
    <t xml:space="preserve">TXN00478</t>
  </si>
  <si>
    <t xml:space="preserve">TXN00399</t>
  </si>
  <si>
    <t xml:space="preserve">TXN00161</t>
  </si>
  <si>
    <t xml:space="preserve">TXN00147</t>
  </si>
  <si>
    <t xml:space="preserve">TXN00110</t>
  </si>
  <si>
    <t xml:space="preserve">TXN00130</t>
  </si>
  <si>
    <t xml:space="preserve">TXN00525</t>
  </si>
  <si>
    <t xml:space="preserve">TXN00556</t>
  </si>
  <si>
    <t xml:space="preserve">TXN00026</t>
  </si>
  <si>
    <t xml:space="preserve">TXN00392</t>
  </si>
  <si>
    <t xml:space="preserve">TXN00430</t>
  </si>
  <si>
    <t xml:space="preserve">TXN00411</t>
  </si>
  <si>
    <t xml:space="preserve">TXN00456</t>
  </si>
  <si>
    <t xml:space="preserve">TXN00567</t>
  </si>
  <si>
    <t xml:space="preserve">TXN00195</t>
  </si>
  <si>
    <t xml:space="preserve">TXN00046</t>
  </si>
  <si>
    <t xml:space="preserve">TXN00365</t>
  </si>
  <si>
    <t xml:space="preserve">TXN00073</t>
  </si>
  <si>
    <t xml:space="preserve">TXN00612</t>
  </si>
  <si>
    <t xml:space="preserve">TXN00400</t>
  </si>
  <si>
    <t xml:space="preserve">TXN00450</t>
  </si>
  <si>
    <t xml:space="preserve">TXN00309</t>
  </si>
  <si>
    <t xml:space="preserve">TXN00182</t>
  </si>
  <si>
    <t xml:space="preserve">TXN00024</t>
  </si>
  <si>
    <t xml:space="preserve">TXN00354</t>
  </si>
  <si>
    <t xml:space="preserve">TXN00561</t>
  </si>
  <si>
    <t xml:space="preserve">TXN00487</t>
  </si>
  <si>
    <t xml:space="preserve">TXN00079</t>
  </si>
  <si>
    <t xml:space="preserve">TXN00418</t>
  </si>
  <si>
    <t xml:space="preserve">TXN00328</t>
  </si>
  <si>
    <t xml:space="preserve">TXN00364</t>
  </si>
  <si>
    <t xml:space="preserve">TXN00277</t>
  </si>
  <si>
    <t xml:space="preserve">TXN00304</t>
  </si>
  <si>
    <t xml:space="preserve">TXN00551</t>
  </si>
  <si>
    <t xml:space="preserve">TXN00537</t>
  </si>
  <si>
    <t xml:space="preserve">TXN00103</t>
  </si>
  <si>
    <t xml:space="preserve">TXN00146</t>
  </si>
  <si>
    <t xml:space="preserve">TXN00541</t>
  </si>
  <si>
    <t xml:space="preserve">TXN00185</t>
  </si>
  <si>
    <t xml:space="preserve">Pharmacy Sales Analysis</t>
  </si>
  <si>
    <t xml:space="preserve">Top-selling medicines, monthly growth, and branded vs. generic performance</t>
  </si>
  <si>
    <t xml:space="preserve">Top-Selling Medicines</t>
  </si>
  <si>
    <t xml:space="preserve">Units Sold</t>
  </si>
  <si>
    <t xml:space="preserve">Total Revenue</t>
  </si>
  <si>
    <t xml:space="preserve">% of Total Revenue</t>
  </si>
  <si>
    <t xml:space="preserve">Total</t>
  </si>
  <si>
    <t xml:space="preserve">Monthly Sales Trend</t>
  </si>
  <si>
    <t xml:space="preserve">Month</t>
  </si>
  <si>
    <t xml:space="preserve">Growth % (vs. prior month)</t>
  </si>
  <si>
    <t xml:space="preserve">Sep-2025</t>
  </si>
  <si>
    <t xml:space="preserve">—</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</si>
  <si>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</si>
  <si>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</si>
  <si>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</si>
  <si>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</si>
  <si>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</si>
  <si>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</si>
  <si>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</si>
  <si>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</si>
  <si>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</si>
  <si>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</si>
  <si>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Aug-2026</t>
  </si>
  <si>
    <t xml:space="preserve">Branded vs. Generic Comparison</t>
  </si>
  <si>
    <t xml:space="preserve">Type</t>
  </si>
  <si>
    <t xml:space="preserve">Avg. Unit Price</t>
  </si>
  <si>
    <t xml:space="preserve">ADR Patient Data (Synthetic)</t>
  </si>
  <si>
    <t xml:space="preserve">520 simulated patients, one medication course each, with an optional observed symptom and its onset date relative to the medication start date. Generated for this exercise to demonstrate adverse-drug-reaction signal detection — not real patient data.</t>
  </si>
  <si>
    <t xml:space="preserve">Medication_Start_Date</t>
  </si>
  <si>
    <t xml:space="preserve">Symptom</t>
  </si>
  <si>
    <t xml:space="preserve">Symptom_Onset_Date</t>
  </si>
  <si>
    <t xml:space="preserve">Days_to_Onset</t>
  </si>
  <si>
    <t xml:space="preserve">Severity</t>
  </si>
  <si>
    <t xml:space="preserve">AD0001</t>
  </si>
  <si>
    <t xml:space="preserve">None</t>
  </si>
  <si>
    <t xml:space="preserve">AD0002</t>
  </si>
  <si>
    <t xml:space="preserve">AD0003</t>
  </si>
  <si>
    <t xml:space="preserve">AD0004</t>
  </si>
  <si>
    <t xml:space="preserve">Diarrhea</t>
  </si>
  <si>
    <t xml:space="preserve">Severe</t>
  </si>
  <si>
    <t xml:space="preserve">AD0005</t>
  </si>
  <si>
    <t xml:space="preserve">AD0006</t>
  </si>
  <si>
    <t xml:space="preserve">Nausea</t>
  </si>
  <si>
    <t xml:space="preserve">Mild</t>
  </si>
  <si>
    <t xml:space="preserve">AD0007</t>
  </si>
  <si>
    <t xml:space="preserve">AD0008</t>
  </si>
  <si>
    <t xml:space="preserve">Palpitations</t>
  </si>
  <si>
    <t xml:space="preserve">AD0009</t>
  </si>
  <si>
    <t xml:space="preserve">AD0010</t>
  </si>
  <si>
    <t xml:space="preserve">AD0011</t>
  </si>
  <si>
    <t xml:space="preserve">AD0012</t>
  </si>
  <si>
    <t xml:space="preserve">AD0013</t>
  </si>
  <si>
    <t xml:space="preserve">AD0014</t>
  </si>
  <si>
    <t xml:space="preserve">AD0015</t>
  </si>
  <si>
    <t xml:space="preserve">Insomnia</t>
  </si>
  <si>
    <t xml:space="preserve">AD0016</t>
  </si>
  <si>
    <t xml:space="preserve">AD0017</t>
  </si>
  <si>
    <t xml:space="preserve">AD0018</t>
  </si>
  <si>
    <t xml:space="preserve">AD0019</t>
  </si>
  <si>
    <t xml:space="preserve">AD0020</t>
  </si>
  <si>
    <t xml:space="preserve">AD0021</t>
  </si>
  <si>
    <t xml:space="preserve">Vomiting</t>
  </si>
  <si>
    <t xml:space="preserve">Moderate</t>
  </si>
  <si>
    <t xml:space="preserve">AD0022</t>
  </si>
  <si>
    <t xml:space="preserve">AD0023</t>
  </si>
  <si>
    <t xml:space="preserve">AD0024</t>
  </si>
  <si>
    <t xml:space="preserve">AD0025</t>
  </si>
  <si>
    <t xml:space="preserve">AD0026</t>
  </si>
  <si>
    <t xml:space="preserve">AD0027</t>
  </si>
  <si>
    <t xml:space="preserve">Swelling</t>
  </si>
  <si>
    <t xml:space="preserve">AD0028</t>
  </si>
  <si>
    <t xml:space="preserve">AD0029</t>
  </si>
  <si>
    <t xml:space="preserve">AD0030</t>
  </si>
  <si>
    <t xml:space="preserve">AD0031</t>
  </si>
  <si>
    <t xml:space="preserve">AD0032</t>
  </si>
  <si>
    <t xml:space="preserve">AD0033</t>
  </si>
  <si>
    <t xml:space="preserve">AD0034</t>
  </si>
  <si>
    <t xml:space="preserve">AD0035</t>
  </si>
  <si>
    <t xml:space="preserve">AD0036</t>
  </si>
  <si>
    <t xml:space="preserve">AD0037</t>
  </si>
  <si>
    <t xml:space="preserve">AD0038</t>
  </si>
  <si>
    <t xml:space="preserve">AD0039</t>
  </si>
  <si>
    <t xml:space="preserve">AD0040</t>
  </si>
  <si>
    <t xml:space="preserve">AD0041</t>
  </si>
  <si>
    <t xml:space="preserve">AD0042</t>
  </si>
  <si>
    <t xml:space="preserve">AD0043</t>
  </si>
  <si>
    <t xml:space="preserve">AD0044</t>
  </si>
  <si>
    <t xml:space="preserve">AD0045</t>
  </si>
  <si>
    <t xml:space="preserve">AD0046</t>
  </si>
  <si>
    <t xml:space="preserve">AD0047</t>
  </si>
  <si>
    <t xml:space="preserve">AD0048</t>
  </si>
  <si>
    <t xml:space="preserve">Muscle Pain</t>
  </si>
  <si>
    <t xml:space="preserve">AD0049</t>
  </si>
  <si>
    <t xml:space="preserve">AD0050</t>
  </si>
  <si>
    <t xml:space="preserve">AD0051</t>
  </si>
  <si>
    <t xml:space="preserve">AD0052</t>
  </si>
  <si>
    <t xml:space="preserve">AD0053</t>
  </si>
  <si>
    <t xml:space="preserve">AD0054</t>
  </si>
  <si>
    <t xml:space="preserve">AD0055</t>
  </si>
  <si>
    <t xml:space="preserve">AD0056</t>
  </si>
  <si>
    <t xml:space="preserve">AD0057</t>
  </si>
  <si>
    <t xml:space="preserve">Dry Mouth</t>
  </si>
  <si>
    <t xml:space="preserve">AD0058</t>
  </si>
  <si>
    <t xml:space="preserve">AD0059</t>
  </si>
  <si>
    <t xml:space="preserve">AD0060</t>
  </si>
  <si>
    <t xml:space="preserve">AD0061</t>
  </si>
  <si>
    <t xml:space="preserve">AD0062</t>
  </si>
  <si>
    <t xml:space="preserve">AD0063</t>
  </si>
  <si>
    <t xml:space="preserve">AD0064</t>
  </si>
  <si>
    <t xml:space="preserve">AD0065</t>
  </si>
  <si>
    <t xml:space="preserve">AD0066</t>
  </si>
  <si>
    <t xml:space="preserve">AD0067</t>
  </si>
  <si>
    <t xml:space="preserve">AD0068</t>
  </si>
  <si>
    <t xml:space="preserve">AD0069</t>
  </si>
  <si>
    <t xml:space="preserve">AD0070</t>
  </si>
  <si>
    <t xml:space="preserve">AD0071</t>
  </si>
  <si>
    <t xml:space="preserve">AD0072</t>
  </si>
  <si>
    <t xml:space="preserve">AD0073</t>
  </si>
  <si>
    <t xml:space="preserve">AD0074</t>
  </si>
  <si>
    <t xml:space="preserve">AD0075</t>
  </si>
  <si>
    <t xml:space="preserve">AD0076</t>
  </si>
  <si>
    <t xml:space="preserve">AD0077</t>
  </si>
  <si>
    <t xml:space="preserve">AD0078</t>
  </si>
  <si>
    <t xml:space="preserve">AD0079</t>
  </si>
  <si>
    <t xml:space="preserve">AD0080</t>
  </si>
  <si>
    <t xml:space="preserve">AD0081</t>
  </si>
  <si>
    <t xml:space="preserve">AD0082</t>
  </si>
  <si>
    <t xml:space="preserve">AD0083</t>
  </si>
  <si>
    <t xml:space="preserve">AD0084</t>
  </si>
  <si>
    <t xml:space="preserve">AD0085</t>
  </si>
  <si>
    <t xml:space="preserve">AD0086</t>
  </si>
  <si>
    <t xml:space="preserve">AD0087</t>
  </si>
  <si>
    <t xml:space="preserve">AD0088</t>
  </si>
  <si>
    <t xml:space="preserve">AD0089</t>
  </si>
  <si>
    <t xml:space="preserve">AD0090</t>
  </si>
  <si>
    <t xml:space="preserve">AD0091</t>
  </si>
  <si>
    <t xml:space="preserve">AD0092</t>
  </si>
  <si>
    <t xml:space="preserve">AD0093</t>
  </si>
  <si>
    <t xml:space="preserve">AD0094</t>
  </si>
  <si>
    <t xml:space="preserve">AD0095</t>
  </si>
  <si>
    <t xml:space="preserve">AD0096</t>
  </si>
  <si>
    <t xml:space="preserve">AD0097</t>
  </si>
  <si>
    <t xml:space="preserve">AD0098</t>
  </si>
  <si>
    <t xml:space="preserve">AD0099</t>
  </si>
  <si>
    <t xml:space="preserve">AD0100</t>
  </si>
  <si>
    <t xml:space="preserve">AD0101</t>
  </si>
  <si>
    <t xml:space="preserve">AD0102</t>
  </si>
  <si>
    <t xml:space="preserve">AD0103</t>
  </si>
  <si>
    <t xml:space="preserve">Rash</t>
  </si>
  <si>
    <t xml:space="preserve">AD0104</t>
  </si>
  <si>
    <t xml:space="preserve">AD0105</t>
  </si>
  <si>
    <t xml:space="preserve">AD0106</t>
  </si>
  <si>
    <t xml:space="preserve">AD0107</t>
  </si>
  <si>
    <t xml:space="preserve">AD0108</t>
  </si>
  <si>
    <t xml:space="preserve">AD0109</t>
  </si>
  <si>
    <t xml:space="preserve">AD0110</t>
  </si>
  <si>
    <t xml:space="preserve">AD0111</t>
  </si>
  <si>
    <t xml:space="preserve">AD0112</t>
  </si>
  <si>
    <t xml:space="preserve">AD0113</t>
  </si>
  <si>
    <t xml:space="preserve">AD0114</t>
  </si>
  <si>
    <t xml:space="preserve">AD0115</t>
  </si>
  <si>
    <t xml:space="preserve">AD0116</t>
  </si>
  <si>
    <t xml:space="preserve">AD0117</t>
  </si>
  <si>
    <t xml:space="preserve">AD0118</t>
  </si>
  <si>
    <t xml:space="preserve">AD0119</t>
  </si>
  <si>
    <t xml:space="preserve">AD0120</t>
  </si>
  <si>
    <t xml:space="preserve">AD0121</t>
  </si>
  <si>
    <t xml:space="preserve">AD0122</t>
  </si>
  <si>
    <t xml:space="preserve">AD0123</t>
  </si>
  <si>
    <t xml:space="preserve">AD0124</t>
  </si>
  <si>
    <t xml:space="preserve">Drowsiness</t>
  </si>
  <si>
    <t xml:space="preserve">AD0125</t>
  </si>
  <si>
    <t xml:space="preserve">AD0126</t>
  </si>
  <si>
    <t xml:space="preserve">AD0127</t>
  </si>
  <si>
    <t xml:space="preserve">AD0128</t>
  </si>
  <si>
    <t xml:space="preserve">AD0129</t>
  </si>
  <si>
    <t xml:space="preserve">AD0130</t>
  </si>
  <si>
    <t xml:space="preserve">Constipation</t>
  </si>
  <si>
    <t xml:space="preserve">AD0131</t>
  </si>
  <si>
    <t xml:space="preserve">AD0132</t>
  </si>
  <si>
    <t xml:space="preserve">AD0133</t>
  </si>
  <si>
    <t xml:space="preserve">AD0134</t>
  </si>
  <si>
    <t xml:space="preserve">AD0135</t>
  </si>
  <si>
    <t xml:space="preserve">AD0136</t>
  </si>
  <si>
    <t xml:space="preserve">AD0137</t>
  </si>
  <si>
    <t xml:space="preserve">AD0138</t>
  </si>
  <si>
    <t xml:space="preserve">AD0139</t>
  </si>
  <si>
    <t xml:space="preserve">AD0140</t>
  </si>
  <si>
    <t xml:space="preserve">AD0141</t>
  </si>
  <si>
    <t xml:space="preserve">AD0142</t>
  </si>
  <si>
    <t xml:space="preserve">AD0143</t>
  </si>
  <si>
    <t xml:space="preserve">AD0144</t>
  </si>
  <si>
    <t xml:space="preserve">AD0145</t>
  </si>
  <si>
    <t xml:space="preserve">AD0146</t>
  </si>
  <si>
    <t xml:space="preserve">AD0147</t>
  </si>
  <si>
    <t xml:space="preserve">AD0148</t>
  </si>
  <si>
    <t xml:space="preserve">AD0149</t>
  </si>
  <si>
    <t xml:space="preserve">AD0150</t>
  </si>
  <si>
    <t xml:space="preserve">AD0151</t>
  </si>
  <si>
    <t xml:space="preserve">AD0152</t>
  </si>
  <si>
    <t xml:space="preserve">AD0153</t>
  </si>
  <si>
    <t xml:space="preserve">AD0154</t>
  </si>
  <si>
    <t xml:space="preserve">AD0155</t>
  </si>
  <si>
    <t xml:space="preserve">AD0156</t>
  </si>
  <si>
    <t xml:space="preserve">AD0157</t>
  </si>
  <si>
    <t xml:space="preserve">AD0158</t>
  </si>
  <si>
    <t xml:space="preserve">AD0159</t>
  </si>
  <si>
    <t xml:space="preserve">AD0160</t>
  </si>
  <si>
    <t xml:space="preserve">AD0161</t>
  </si>
  <si>
    <t xml:space="preserve">AD0162</t>
  </si>
  <si>
    <t xml:space="preserve">AD0163</t>
  </si>
  <si>
    <t xml:space="preserve">AD0164</t>
  </si>
  <si>
    <t xml:space="preserve">AD0165</t>
  </si>
  <si>
    <t xml:space="preserve">AD0166</t>
  </si>
  <si>
    <t xml:space="preserve">AD0167</t>
  </si>
  <si>
    <t xml:space="preserve">AD0168</t>
  </si>
  <si>
    <t xml:space="preserve">AD0169</t>
  </si>
  <si>
    <t xml:space="preserve">Dizziness</t>
  </si>
  <si>
    <t xml:space="preserve">AD0170</t>
  </si>
  <si>
    <t xml:space="preserve">AD0171</t>
  </si>
  <si>
    <t xml:space="preserve">AD0172</t>
  </si>
  <si>
    <t xml:space="preserve">AD0173</t>
  </si>
  <si>
    <t xml:space="preserve">AD0174</t>
  </si>
  <si>
    <t xml:space="preserve">AD0175</t>
  </si>
  <si>
    <t xml:space="preserve">AD0176</t>
  </si>
  <si>
    <t xml:space="preserve">AD0177</t>
  </si>
  <si>
    <t xml:space="preserve">AD0178</t>
  </si>
  <si>
    <t xml:space="preserve">AD0179</t>
  </si>
  <si>
    <t xml:space="preserve">AD0180</t>
  </si>
  <si>
    <t xml:space="preserve">Fatigue</t>
  </si>
  <si>
    <t xml:space="preserve">AD0181</t>
  </si>
  <si>
    <t xml:space="preserve">AD0182</t>
  </si>
  <si>
    <t xml:space="preserve">AD0183</t>
  </si>
  <si>
    <t xml:space="preserve">AD0184</t>
  </si>
  <si>
    <t xml:space="preserve">AD0185</t>
  </si>
  <si>
    <t xml:space="preserve">AD0186</t>
  </si>
  <si>
    <t xml:space="preserve">AD0187</t>
  </si>
  <si>
    <t xml:space="preserve">AD0188</t>
  </si>
  <si>
    <t xml:space="preserve">AD0189</t>
  </si>
  <si>
    <t xml:space="preserve">AD0190</t>
  </si>
  <si>
    <t xml:space="preserve">AD0191</t>
  </si>
  <si>
    <t xml:space="preserve">Headache</t>
  </si>
  <si>
    <t xml:space="preserve">AD0192</t>
  </si>
  <si>
    <t xml:space="preserve">AD0193</t>
  </si>
  <si>
    <t xml:space="preserve">AD0194</t>
  </si>
  <si>
    <t xml:space="preserve">AD0195</t>
  </si>
  <si>
    <t xml:space="preserve">AD0196</t>
  </si>
  <si>
    <t xml:space="preserve">AD0197</t>
  </si>
  <si>
    <t xml:space="preserve">AD0198</t>
  </si>
  <si>
    <t xml:space="preserve">AD0199</t>
  </si>
  <si>
    <t xml:space="preserve">AD0200</t>
  </si>
  <si>
    <t xml:space="preserve">AD0201</t>
  </si>
  <si>
    <t xml:space="preserve">AD0202</t>
  </si>
  <si>
    <t xml:space="preserve">AD0203</t>
  </si>
  <si>
    <t xml:space="preserve">AD0204</t>
  </si>
  <si>
    <t xml:space="preserve">AD0205</t>
  </si>
  <si>
    <t xml:space="preserve">AD0206</t>
  </si>
  <si>
    <t xml:space="preserve">AD0207</t>
  </si>
  <si>
    <t xml:space="preserve">AD0208</t>
  </si>
  <si>
    <t xml:space="preserve">AD0209</t>
  </si>
  <si>
    <t xml:space="preserve">AD0210</t>
  </si>
  <si>
    <t xml:space="preserve">AD0211</t>
  </si>
  <si>
    <t xml:space="preserve">AD0212</t>
  </si>
  <si>
    <t xml:space="preserve">AD0213</t>
  </si>
  <si>
    <t xml:space="preserve">AD0214</t>
  </si>
  <si>
    <t xml:space="preserve">AD0215</t>
  </si>
  <si>
    <t xml:space="preserve">AD0216</t>
  </si>
  <si>
    <t xml:space="preserve">AD0217</t>
  </si>
  <si>
    <t xml:space="preserve">AD0218</t>
  </si>
  <si>
    <t xml:space="preserve">AD0219</t>
  </si>
  <si>
    <t xml:space="preserve">AD0220</t>
  </si>
  <si>
    <t xml:space="preserve">AD0221</t>
  </si>
  <si>
    <t xml:space="preserve">AD0222</t>
  </si>
  <si>
    <t xml:space="preserve">Tremor</t>
  </si>
  <si>
    <t xml:space="preserve">AD0223</t>
  </si>
  <si>
    <t xml:space="preserve">AD0224</t>
  </si>
  <si>
    <t xml:space="preserve">AD0225</t>
  </si>
  <si>
    <t xml:space="preserve">AD0226</t>
  </si>
  <si>
    <t xml:space="preserve">AD0227</t>
  </si>
  <si>
    <t xml:space="preserve">AD0228</t>
  </si>
  <si>
    <t xml:space="preserve">AD0229</t>
  </si>
  <si>
    <t xml:space="preserve">AD0230</t>
  </si>
  <si>
    <t xml:space="preserve">AD0231</t>
  </si>
  <si>
    <t xml:space="preserve">AD0232</t>
  </si>
  <si>
    <t xml:space="preserve">AD0233</t>
  </si>
  <si>
    <t xml:space="preserve">AD0234</t>
  </si>
  <si>
    <t xml:space="preserve">AD0235</t>
  </si>
  <si>
    <t xml:space="preserve">AD0236</t>
  </si>
  <si>
    <t xml:space="preserve">AD0237</t>
  </si>
  <si>
    <t xml:space="preserve">AD0238</t>
  </si>
  <si>
    <t xml:space="preserve">AD0239</t>
  </si>
  <si>
    <t xml:space="preserve">AD0240</t>
  </si>
  <si>
    <t xml:space="preserve">AD0241</t>
  </si>
  <si>
    <t xml:space="preserve">AD0242</t>
  </si>
  <si>
    <t xml:space="preserve">AD0243</t>
  </si>
  <si>
    <t xml:space="preserve">AD0244</t>
  </si>
  <si>
    <t xml:space="preserve">AD0245</t>
  </si>
  <si>
    <t xml:space="preserve">AD0246</t>
  </si>
  <si>
    <t xml:space="preserve">AD0247</t>
  </si>
  <si>
    <t xml:space="preserve">AD0248</t>
  </si>
  <si>
    <t xml:space="preserve">AD0249</t>
  </si>
  <si>
    <t xml:space="preserve">AD0250</t>
  </si>
  <si>
    <t xml:space="preserve">AD0251</t>
  </si>
  <si>
    <t xml:space="preserve">AD0252</t>
  </si>
  <si>
    <t xml:space="preserve">AD0253</t>
  </si>
  <si>
    <t xml:space="preserve">AD0254</t>
  </si>
  <si>
    <t xml:space="preserve">AD0255</t>
  </si>
  <si>
    <t xml:space="preserve">AD0256</t>
  </si>
  <si>
    <t xml:space="preserve">AD0257</t>
  </si>
  <si>
    <t xml:space="preserve">AD0258</t>
  </si>
  <si>
    <t xml:space="preserve">AD0259</t>
  </si>
  <si>
    <t xml:space="preserve">AD0260</t>
  </si>
  <si>
    <t xml:space="preserve">AD0261</t>
  </si>
  <si>
    <t xml:space="preserve">AD0262</t>
  </si>
  <si>
    <t xml:space="preserve">AD0263</t>
  </si>
  <si>
    <t xml:space="preserve">AD0264</t>
  </si>
  <si>
    <t xml:space="preserve">AD0265</t>
  </si>
  <si>
    <t xml:space="preserve">AD0266</t>
  </si>
  <si>
    <t xml:space="preserve">AD0267</t>
  </si>
  <si>
    <t xml:space="preserve">AD0268</t>
  </si>
  <si>
    <t xml:space="preserve">AD0269</t>
  </si>
  <si>
    <t xml:space="preserve">AD0270</t>
  </si>
  <si>
    <t xml:space="preserve">AD0271</t>
  </si>
  <si>
    <t xml:space="preserve">AD0272</t>
  </si>
  <si>
    <t xml:space="preserve">AD0273</t>
  </si>
  <si>
    <t xml:space="preserve">AD0274</t>
  </si>
  <si>
    <t xml:space="preserve">AD0275</t>
  </si>
  <si>
    <t xml:space="preserve">AD0276</t>
  </si>
  <si>
    <t xml:space="preserve">AD0277</t>
  </si>
  <si>
    <t xml:space="preserve">AD0278</t>
  </si>
  <si>
    <t xml:space="preserve">AD0279</t>
  </si>
  <si>
    <t xml:space="preserve">AD0280</t>
  </si>
  <si>
    <t xml:space="preserve">AD0281</t>
  </si>
  <si>
    <t xml:space="preserve">AD0282</t>
  </si>
  <si>
    <t xml:space="preserve">AD0283</t>
  </si>
  <si>
    <t xml:space="preserve">AD0284</t>
  </si>
  <si>
    <t xml:space="preserve">AD0285</t>
  </si>
  <si>
    <t xml:space="preserve">AD0286</t>
  </si>
  <si>
    <t xml:space="preserve">AD0287</t>
  </si>
  <si>
    <t xml:space="preserve">AD0288</t>
  </si>
  <si>
    <t xml:space="preserve">AD0289</t>
  </si>
  <si>
    <t xml:space="preserve">AD0290</t>
  </si>
  <si>
    <t xml:space="preserve">AD0291</t>
  </si>
  <si>
    <t xml:space="preserve">AD0292</t>
  </si>
  <si>
    <t xml:space="preserve">AD0293</t>
  </si>
  <si>
    <t xml:space="preserve">AD0294</t>
  </si>
  <si>
    <t xml:space="preserve">AD0295</t>
  </si>
  <si>
    <t xml:space="preserve">AD0296</t>
  </si>
  <si>
    <t xml:space="preserve">AD0297</t>
  </si>
  <si>
    <t xml:space="preserve">AD0298</t>
  </si>
  <si>
    <t xml:space="preserve">AD0299</t>
  </si>
  <si>
    <t xml:space="preserve">AD0300</t>
  </si>
  <si>
    <t xml:space="preserve">AD0301</t>
  </si>
  <si>
    <t xml:space="preserve">AD0302</t>
  </si>
  <si>
    <t xml:space="preserve">AD0303</t>
  </si>
  <si>
    <t xml:space="preserve">AD0304</t>
  </si>
  <si>
    <t xml:space="preserve">AD0305</t>
  </si>
  <si>
    <t xml:space="preserve">AD0306</t>
  </si>
  <si>
    <t xml:space="preserve">AD0307</t>
  </si>
  <si>
    <t xml:space="preserve">AD0308</t>
  </si>
  <si>
    <t xml:space="preserve">AD0309</t>
  </si>
  <si>
    <t xml:space="preserve">AD0310</t>
  </si>
  <si>
    <t xml:space="preserve">AD0311</t>
  </si>
  <si>
    <t xml:space="preserve">AD0312</t>
  </si>
  <si>
    <t xml:space="preserve">AD0313</t>
  </si>
  <si>
    <t xml:space="preserve">AD0314</t>
  </si>
  <si>
    <t xml:space="preserve">AD0315</t>
  </si>
  <si>
    <t xml:space="preserve">AD0316</t>
  </si>
  <si>
    <t xml:space="preserve">AD0317</t>
  </si>
  <si>
    <t xml:space="preserve">AD0318</t>
  </si>
  <si>
    <t xml:space="preserve">AD0319</t>
  </si>
  <si>
    <t xml:space="preserve">AD0320</t>
  </si>
  <si>
    <t xml:space="preserve">AD0321</t>
  </si>
  <si>
    <t xml:space="preserve">AD0322</t>
  </si>
  <si>
    <t xml:space="preserve">AD0323</t>
  </si>
  <si>
    <t xml:space="preserve">AD0324</t>
  </si>
  <si>
    <t xml:space="preserve">AD0325</t>
  </si>
  <si>
    <t xml:space="preserve">AD0326</t>
  </si>
  <si>
    <t xml:space="preserve">AD0327</t>
  </si>
  <si>
    <t xml:space="preserve">AD0328</t>
  </si>
  <si>
    <t xml:space="preserve">AD0329</t>
  </si>
  <si>
    <t xml:space="preserve">AD0330</t>
  </si>
  <si>
    <t xml:space="preserve">AD0331</t>
  </si>
  <si>
    <t xml:space="preserve">AD0332</t>
  </si>
  <si>
    <t xml:space="preserve">AD0333</t>
  </si>
  <si>
    <t xml:space="preserve">AD0334</t>
  </si>
  <si>
    <t xml:space="preserve">AD0335</t>
  </si>
  <si>
    <t xml:space="preserve">AD0336</t>
  </si>
  <si>
    <t xml:space="preserve">AD0337</t>
  </si>
  <si>
    <t xml:space="preserve">AD0338</t>
  </si>
  <si>
    <t xml:space="preserve">AD0339</t>
  </si>
  <si>
    <t xml:space="preserve">AD0340</t>
  </si>
  <si>
    <t xml:space="preserve">AD0341</t>
  </si>
  <si>
    <t xml:space="preserve">AD0342</t>
  </si>
  <si>
    <t xml:space="preserve">AD0343</t>
  </si>
  <si>
    <t xml:space="preserve">AD0344</t>
  </si>
  <si>
    <t xml:space="preserve">AD0345</t>
  </si>
  <si>
    <t xml:space="preserve">AD0346</t>
  </si>
  <si>
    <t xml:space="preserve">AD0347</t>
  </si>
  <si>
    <t xml:space="preserve">AD0348</t>
  </si>
  <si>
    <t xml:space="preserve">AD0349</t>
  </si>
  <si>
    <t xml:space="preserve">AD0350</t>
  </si>
  <si>
    <t xml:space="preserve">AD0351</t>
  </si>
  <si>
    <t xml:space="preserve">AD0352</t>
  </si>
  <si>
    <t xml:space="preserve">AD0353</t>
  </si>
  <si>
    <t xml:space="preserve">AD0354</t>
  </si>
  <si>
    <t xml:space="preserve">AD0355</t>
  </si>
  <si>
    <t xml:space="preserve">AD0356</t>
  </si>
  <si>
    <t xml:space="preserve">AD0357</t>
  </si>
  <si>
    <t xml:space="preserve">AD0358</t>
  </si>
  <si>
    <t xml:space="preserve">AD0359</t>
  </si>
  <si>
    <t xml:space="preserve">AD0360</t>
  </si>
  <si>
    <t xml:space="preserve">AD0361</t>
  </si>
  <si>
    <t xml:space="preserve">AD0362</t>
  </si>
  <si>
    <t xml:space="preserve">AD0363</t>
  </si>
  <si>
    <t xml:space="preserve">AD0364</t>
  </si>
  <si>
    <t xml:space="preserve">AD0365</t>
  </si>
  <si>
    <t xml:space="preserve">AD0366</t>
  </si>
  <si>
    <t xml:space="preserve">AD0367</t>
  </si>
  <si>
    <t xml:space="preserve">AD0368</t>
  </si>
  <si>
    <t xml:space="preserve">AD0369</t>
  </si>
  <si>
    <t xml:space="preserve">AD0370</t>
  </si>
  <si>
    <t xml:space="preserve">AD0371</t>
  </si>
  <si>
    <t xml:space="preserve">AD0372</t>
  </si>
  <si>
    <t xml:space="preserve">AD0373</t>
  </si>
  <si>
    <t xml:space="preserve">AD0374</t>
  </si>
  <si>
    <t xml:space="preserve">AD0375</t>
  </si>
  <si>
    <t xml:space="preserve">AD0376</t>
  </si>
  <si>
    <t xml:space="preserve">AD0377</t>
  </si>
  <si>
    <t xml:space="preserve">AD0378</t>
  </si>
  <si>
    <t xml:space="preserve">AD0379</t>
  </si>
  <si>
    <t xml:space="preserve">AD0380</t>
  </si>
  <si>
    <t xml:space="preserve">AD0381</t>
  </si>
  <si>
    <t xml:space="preserve">AD0382</t>
  </si>
  <si>
    <t xml:space="preserve">AD0383</t>
  </si>
  <si>
    <t xml:space="preserve">AD0384</t>
  </si>
  <si>
    <t xml:space="preserve">AD0385</t>
  </si>
  <si>
    <t xml:space="preserve">AD0386</t>
  </si>
  <si>
    <t xml:space="preserve">AD0387</t>
  </si>
  <si>
    <t xml:space="preserve">AD0388</t>
  </si>
  <si>
    <t xml:space="preserve">AD0389</t>
  </si>
  <si>
    <t xml:space="preserve">AD0390</t>
  </si>
  <si>
    <t xml:space="preserve">AD0391</t>
  </si>
  <si>
    <t xml:space="preserve">AD0392</t>
  </si>
  <si>
    <t xml:space="preserve">AD0393</t>
  </si>
  <si>
    <t xml:space="preserve">AD0394</t>
  </si>
  <si>
    <t xml:space="preserve">AD0395</t>
  </si>
  <si>
    <t xml:space="preserve">AD0396</t>
  </si>
  <si>
    <t xml:space="preserve">AD0397</t>
  </si>
  <si>
    <t xml:space="preserve">AD0398</t>
  </si>
  <si>
    <t xml:space="preserve">AD0399</t>
  </si>
  <si>
    <t xml:space="preserve">AD0400</t>
  </si>
  <si>
    <t xml:space="preserve">AD0401</t>
  </si>
  <si>
    <t xml:space="preserve">AD0402</t>
  </si>
  <si>
    <t xml:space="preserve">AD0403</t>
  </si>
  <si>
    <t xml:space="preserve">AD0404</t>
  </si>
  <si>
    <t xml:space="preserve">AD0405</t>
  </si>
  <si>
    <t xml:space="preserve">AD0406</t>
  </si>
  <si>
    <t xml:space="preserve">AD0407</t>
  </si>
  <si>
    <t xml:space="preserve">AD0408</t>
  </si>
  <si>
    <t xml:space="preserve">AD0409</t>
  </si>
  <si>
    <t xml:space="preserve">AD0410</t>
  </si>
  <si>
    <t xml:space="preserve">AD0411</t>
  </si>
  <si>
    <t xml:space="preserve">AD0412</t>
  </si>
  <si>
    <t xml:space="preserve">AD0413</t>
  </si>
  <si>
    <t xml:space="preserve">AD0414</t>
  </si>
  <si>
    <t xml:space="preserve">AD0415</t>
  </si>
  <si>
    <t xml:space="preserve">AD0416</t>
  </si>
  <si>
    <t xml:space="preserve">AD0417</t>
  </si>
  <si>
    <t xml:space="preserve">AD0418</t>
  </si>
  <si>
    <t xml:space="preserve">AD0419</t>
  </si>
  <si>
    <t xml:space="preserve">AD0420</t>
  </si>
  <si>
    <t xml:space="preserve">AD0421</t>
  </si>
  <si>
    <t xml:space="preserve">AD0422</t>
  </si>
  <si>
    <t xml:space="preserve">AD0423</t>
  </si>
  <si>
    <t xml:space="preserve">AD0424</t>
  </si>
  <si>
    <t xml:space="preserve">AD0425</t>
  </si>
  <si>
    <t xml:space="preserve">AD0426</t>
  </si>
  <si>
    <t xml:space="preserve">AD0427</t>
  </si>
  <si>
    <t xml:space="preserve">AD0428</t>
  </si>
  <si>
    <t xml:space="preserve">AD0429</t>
  </si>
  <si>
    <t xml:space="preserve">AD0430</t>
  </si>
  <si>
    <t xml:space="preserve">AD0431</t>
  </si>
  <si>
    <t xml:space="preserve">AD0432</t>
  </si>
  <si>
    <t xml:space="preserve">AD0433</t>
  </si>
  <si>
    <t xml:space="preserve">AD0434</t>
  </si>
  <si>
    <t xml:space="preserve">AD0435</t>
  </si>
  <si>
    <t xml:space="preserve">AD0436</t>
  </si>
  <si>
    <t xml:space="preserve">AD0437</t>
  </si>
  <si>
    <t xml:space="preserve">AD0438</t>
  </si>
  <si>
    <t xml:space="preserve">AD0439</t>
  </si>
  <si>
    <t xml:space="preserve">AD0440</t>
  </si>
  <si>
    <t xml:space="preserve">AD0441</t>
  </si>
  <si>
    <t xml:space="preserve">AD0442</t>
  </si>
  <si>
    <t xml:space="preserve">AD0443</t>
  </si>
  <si>
    <t xml:space="preserve">AD0444</t>
  </si>
  <si>
    <t xml:space="preserve">AD0445</t>
  </si>
  <si>
    <t xml:space="preserve">AD0446</t>
  </si>
  <si>
    <t xml:space="preserve">AD0447</t>
  </si>
  <si>
    <t xml:space="preserve">AD0448</t>
  </si>
  <si>
    <t xml:space="preserve">AD0449</t>
  </si>
  <si>
    <t xml:space="preserve">AD0450</t>
  </si>
  <si>
    <t xml:space="preserve">AD0451</t>
  </si>
  <si>
    <t xml:space="preserve">AD0452</t>
  </si>
  <si>
    <t xml:space="preserve">AD0453</t>
  </si>
  <si>
    <t xml:space="preserve">AD0454</t>
  </si>
  <si>
    <t xml:space="preserve">AD0455</t>
  </si>
  <si>
    <t xml:space="preserve">AD0456</t>
  </si>
  <si>
    <t xml:space="preserve">AD0457</t>
  </si>
  <si>
    <t xml:space="preserve">AD0458</t>
  </si>
  <si>
    <t xml:space="preserve">AD0459</t>
  </si>
  <si>
    <t xml:space="preserve">AD0460</t>
  </si>
  <si>
    <t xml:space="preserve">AD0461</t>
  </si>
  <si>
    <t xml:space="preserve">AD0462</t>
  </si>
  <si>
    <t xml:space="preserve">AD0463</t>
  </si>
  <si>
    <t xml:space="preserve">AD0464</t>
  </si>
  <si>
    <t xml:space="preserve">AD0465</t>
  </si>
  <si>
    <t xml:space="preserve">AD0466</t>
  </si>
  <si>
    <t xml:space="preserve">AD0467</t>
  </si>
  <si>
    <t xml:space="preserve">AD0468</t>
  </si>
  <si>
    <t xml:space="preserve">AD0469</t>
  </si>
  <si>
    <t xml:space="preserve">AD0470</t>
  </si>
  <si>
    <t xml:space="preserve">AD0471</t>
  </si>
  <si>
    <t xml:space="preserve">AD0472</t>
  </si>
  <si>
    <t xml:space="preserve">AD0473</t>
  </si>
  <si>
    <t xml:space="preserve">AD0474</t>
  </si>
  <si>
    <t xml:space="preserve">AD0475</t>
  </si>
  <si>
    <t xml:space="preserve">AD0476</t>
  </si>
  <si>
    <t xml:space="preserve">AD0477</t>
  </si>
  <si>
    <t xml:space="preserve">AD0478</t>
  </si>
  <si>
    <t xml:space="preserve">AD0479</t>
  </si>
  <si>
    <t xml:space="preserve">AD0480</t>
  </si>
  <si>
    <t xml:space="preserve">AD0481</t>
  </si>
  <si>
    <t xml:space="preserve">AD0482</t>
  </si>
  <si>
    <t xml:space="preserve">AD0483</t>
  </si>
  <si>
    <t xml:space="preserve">AD0484</t>
  </si>
  <si>
    <t xml:space="preserve">AD0485</t>
  </si>
  <si>
    <t xml:space="preserve">AD0486</t>
  </si>
  <si>
    <t xml:space="preserve">AD0487</t>
  </si>
  <si>
    <t xml:space="preserve">AD0488</t>
  </si>
  <si>
    <t xml:space="preserve">AD0489</t>
  </si>
  <si>
    <t xml:space="preserve">AD0490</t>
  </si>
  <si>
    <t xml:space="preserve">AD0491</t>
  </si>
  <si>
    <t xml:space="preserve">AD0492</t>
  </si>
  <si>
    <t xml:space="preserve">AD0493</t>
  </si>
  <si>
    <t xml:space="preserve">AD0494</t>
  </si>
  <si>
    <t xml:space="preserve">AD0495</t>
  </si>
  <si>
    <t xml:space="preserve">AD0496</t>
  </si>
  <si>
    <t xml:space="preserve">AD0497</t>
  </si>
  <si>
    <t xml:space="preserve">AD0498</t>
  </si>
  <si>
    <t xml:space="preserve">AD0499</t>
  </si>
  <si>
    <t xml:space="preserve">AD0500</t>
  </si>
  <si>
    <t xml:space="preserve">AD0501</t>
  </si>
  <si>
    <t xml:space="preserve">AD0502</t>
  </si>
  <si>
    <t xml:space="preserve">AD0503</t>
  </si>
  <si>
    <t xml:space="preserve">AD0504</t>
  </si>
  <si>
    <t xml:space="preserve">AD0505</t>
  </si>
  <si>
    <t xml:space="preserve">AD0506</t>
  </si>
  <si>
    <t xml:space="preserve">AD0507</t>
  </si>
  <si>
    <t xml:space="preserve">AD0508</t>
  </si>
  <si>
    <t xml:space="preserve">AD0509</t>
  </si>
  <si>
    <t xml:space="preserve">AD0510</t>
  </si>
  <si>
    <t xml:space="preserve">AD0511</t>
  </si>
  <si>
    <t xml:space="preserve">AD0512</t>
  </si>
  <si>
    <t xml:space="preserve">AD0513</t>
  </si>
  <si>
    <t xml:space="preserve">AD0514</t>
  </si>
  <si>
    <t xml:space="preserve">AD0515</t>
  </si>
  <si>
    <t xml:space="preserve">AD0516</t>
  </si>
  <si>
    <t xml:space="preserve">AD0517</t>
  </si>
  <si>
    <t xml:space="preserve">AD0518</t>
  </si>
  <si>
    <t xml:space="preserve">AD0519</t>
  </si>
  <si>
    <t xml:space="preserve">AD0520</t>
  </si>
  <si>
    <t xml:space="preserve">Adverse Drug Reaction (ADR) Signal Analysis</t>
  </si>
  <si>
    <t xml:space="preserve">High-risk medicines, drug–symptom correlation, and onset timelines (synthetic data)</t>
  </si>
  <si>
    <t xml:space="preserve">⚠  Educational exercise on fully synthetic data. This sheet demonstrates a simplified Proportional Reporting Ratio (PRR) — the same style of disproportionality method used in real pharmacovigilance systems (e.g. WHO VigiBase, FDA FAERS). PRR ≥ 2 with ≥ 3 cases is a common screening threshold, but it flags a statistical association for further review — it is NOT proof of causation. Real ADR assessment needs clinical judgement and validated tools (e.g. the Naranjo scale, WHO-UMC causality categories). Do not use this workbook for real clinical or regulatory decisions.</t>
  </si>
  <si>
    <t xml:space="preserve">High-Risk Medicines (Overall ADR Rate)</t>
  </si>
  <si>
    <t xml:space="preserve">Prescribed (n)</t>
  </si>
  <si>
    <t xml:space="preserve">With Symptom (n)</t>
  </si>
  <si>
    <t xml:space="preserve">ADR Rate %</t>
  </si>
  <si>
    <t xml:space="preserve">Drug–Symptom Signal Detection (Simplified PRR)</t>
  </si>
  <si>
    <t xml:space="preserve">Cases</t>
  </si>
  <si>
    <t xml:space="preserve">Patients on Drug</t>
  </si>
  <si>
    <t xml:space="preserve">Rate on Drug %</t>
  </si>
  <si>
    <t xml:space="preserve">Background Rate %</t>
  </si>
  <si>
    <t xml:space="preserve">PRR</t>
  </si>
  <si>
    <t xml:space="preserve">Signal Flag</t>
  </si>
  <si>
    <t xml:space="preserve">*  “drug-exclusive” — this symptom was not observed on any other medication in the dataset, so a background rate could not be computed.</t>
  </si>
  <si>
    <t xml:space="preserve">Onset Timeline for Flagged Signals</t>
  </si>
  <si>
    <t xml:space="preserve">Avg. Days to Onset</t>
  </si>
  <si>
    <t xml:space="preserve">Onset Pattern (illustrative)</t>
  </si>
  <si>
    <t xml:space="preserve">Disease Prediction Data (Diabetes Risk — Synthetic)</t>
  </si>
  <si>
    <t xml:space="preserve">600 simulated patients with 6 risk factors and a diagnosis label. Rows are grouped Train (420, rows 5-424) then Test (180, rows 425-604) so the model on the next sheet can be fit on Train only and evaluated on unseen Test rows. Columns M-N are the model's predictions (computed from the fitted coefficients on the Model sheet).</t>
  </si>
  <si>
    <t xml:space="preserve">BMI</t>
  </si>
  <si>
    <t xml:space="preserve">Blood_Pressure</t>
  </si>
  <si>
    <t xml:space="preserve">Glucose_Level</t>
  </si>
  <si>
    <t xml:space="preserve">Family_History_Num</t>
  </si>
  <si>
    <t xml:space="preserve">Physical_Activity_Num</t>
  </si>
  <si>
    <t xml:space="preserve">Diabetes_Num</t>
  </si>
  <si>
    <t xml:space="preserve">Family_History</t>
  </si>
  <si>
    <t xml:space="preserve">Physical_Activity</t>
  </si>
  <si>
    <t xml:space="preserve">Diabetes_Diagnosis</t>
  </si>
  <si>
    <t xml:space="preserve">Split</t>
  </si>
  <si>
    <t xml:space="preserve">Predicted_Probability</t>
  </si>
  <si>
    <t xml:space="preserve">Predicted_Diagnosis</t>
  </si>
  <si>
    <t xml:space="preserve">DP0527</t>
  </si>
  <si>
    <t xml:space="preserve">No</t>
  </si>
  <si>
    <t xml:space="preserve">Train</t>
  </si>
  <si>
    <t xml:space="preserve">DP0420</t>
  </si>
  <si>
    <t xml:space="preserve">High</t>
  </si>
  <si>
    <t xml:space="preserve">DP0100</t>
  </si>
  <si>
    <t xml:space="preserve">DP0149</t>
  </si>
  <si>
    <t xml:space="preserve">Yes</t>
  </si>
  <si>
    <t xml:space="preserve">DP0038</t>
  </si>
  <si>
    <t xml:space="preserve">DP0175</t>
  </si>
  <si>
    <t xml:space="preserve">DP0498</t>
  </si>
  <si>
    <t xml:space="preserve">DP0384</t>
  </si>
  <si>
    <t xml:space="preserve">Low</t>
  </si>
  <si>
    <t xml:space="preserve">DP0365</t>
  </si>
  <si>
    <t xml:space="preserve">DP0280</t>
  </si>
  <si>
    <t xml:space="preserve">DP0435</t>
  </si>
  <si>
    <t xml:space="preserve">DP0304</t>
  </si>
  <si>
    <t xml:space="preserve">DP0229</t>
  </si>
  <si>
    <t xml:space="preserve">DP0327</t>
  </si>
  <si>
    <t xml:space="preserve">DP0078</t>
  </si>
  <si>
    <t xml:space="preserve">DP0476</t>
  </si>
  <si>
    <t xml:space="preserve">DP0332</t>
  </si>
  <si>
    <t xml:space="preserve">DP0276</t>
  </si>
  <si>
    <t xml:space="preserve">DP0357</t>
  </si>
  <si>
    <t xml:space="preserve">DP0254</t>
  </si>
  <si>
    <t xml:space="preserve">DP0506</t>
  </si>
  <si>
    <t xml:space="preserve">DP0166</t>
  </si>
  <si>
    <t xml:space="preserve">DP0354</t>
  </si>
  <si>
    <t xml:space="preserve">DP0048</t>
  </si>
  <si>
    <t xml:space="preserve">DP0486</t>
  </si>
  <si>
    <t xml:space="preserve">DP0103</t>
  </si>
  <si>
    <t xml:space="preserve">DP0191</t>
  </si>
  <si>
    <t xml:space="preserve">DP0290</t>
  </si>
  <si>
    <t xml:space="preserve">DP0001</t>
  </si>
  <si>
    <t xml:space="preserve">DP0509</t>
  </si>
  <si>
    <t xml:space="preserve">DP0233</t>
  </si>
  <si>
    <t xml:space="preserve">DP0279</t>
  </si>
  <si>
    <t xml:space="preserve">DP0055</t>
  </si>
  <si>
    <t xml:space="preserve">DP0174</t>
  </si>
  <si>
    <t xml:space="preserve">DP0040</t>
  </si>
  <si>
    <t xml:space="preserve">DP0075</t>
  </si>
  <si>
    <t xml:space="preserve">DP0150</t>
  </si>
  <si>
    <t xml:space="preserve">DP0570</t>
  </si>
  <si>
    <t xml:space="preserve">DP0599</t>
  </si>
  <si>
    <t xml:space="preserve">DP0494</t>
  </si>
  <si>
    <t xml:space="preserve">DP0568</t>
  </si>
  <si>
    <t xml:space="preserve">DP0456</t>
  </si>
  <si>
    <t xml:space="preserve">DP0426</t>
  </si>
  <si>
    <t xml:space="preserve">DP0017</t>
  </si>
  <si>
    <t xml:space="preserve">DP0226</t>
  </si>
  <si>
    <t xml:space="preserve">DP0267</t>
  </si>
  <si>
    <t xml:space="preserve">DP0123</t>
  </si>
  <si>
    <t xml:space="preserve">DP0026</t>
  </si>
  <si>
    <t xml:space="preserve">DP0133</t>
  </si>
  <si>
    <t xml:space="preserve">DP0282</t>
  </si>
  <si>
    <t xml:space="preserve">DP0018</t>
  </si>
  <si>
    <t xml:space="preserve">DP0165</t>
  </si>
  <si>
    <t xml:space="preserve">DP0503</t>
  </si>
  <si>
    <t xml:space="preserve">DP0556</t>
  </si>
  <si>
    <t xml:space="preserve">DP0372</t>
  </si>
  <si>
    <t xml:space="preserve">DP0346</t>
  </si>
  <si>
    <t xml:space="preserve">DP0171</t>
  </si>
  <si>
    <t xml:space="preserve">DP0157</t>
  </si>
  <si>
    <t xml:space="preserve">DP0452</t>
  </si>
  <si>
    <t xml:space="preserve">DP0334</t>
  </si>
  <si>
    <t xml:space="preserve">DP0360</t>
  </si>
  <si>
    <t xml:space="preserve">DP0508</t>
  </si>
  <si>
    <t xml:space="preserve">DP0172</t>
  </si>
  <si>
    <t xml:space="preserve">DP0004</t>
  </si>
  <si>
    <t xml:space="preserve">DP0262</t>
  </si>
  <si>
    <t xml:space="preserve">DP0127</t>
  </si>
  <si>
    <t xml:space="preserve">DP0250</t>
  </si>
  <si>
    <t xml:space="preserve">DP0333</t>
  </si>
  <si>
    <t xml:space="preserve">DP0398</t>
  </si>
  <si>
    <t xml:space="preserve">DP0569</t>
  </si>
  <si>
    <t xml:space="preserve">DP0394</t>
  </si>
  <si>
    <t xml:space="preserve">DP0512</t>
  </si>
  <si>
    <t xml:space="preserve">DP0288</t>
  </si>
  <si>
    <t xml:space="preserve">DP0590</t>
  </si>
  <si>
    <t xml:space="preserve">DP0355</t>
  </si>
  <si>
    <t xml:space="preserve">DP0092</t>
  </si>
  <si>
    <t xml:space="preserve">DP0537</t>
  </si>
  <si>
    <t xml:space="preserve">DP0228</t>
  </si>
  <si>
    <t xml:space="preserve">DP0128</t>
  </si>
  <si>
    <t xml:space="preserve">DP0444</t>
  </si>
  <si>
    <t xml:space="preserve">DP0059</t>
  </si>
  <si>
    <t xml:space="preserve">DP0437</t>
  </si>
  <si>
    <t xml:space="preserve">DP0538</t>
  </si>
  <si>
    <t xml:space="preserve">DP0126</t>
  </si>
  <si>
    <t xml:space="preserve">DP0046</t>
  </si>
  <si>
    <t xml:space="preserve">DP0184</t>
  </si>
  <si>
    <t xml:space="preserve">DP0478</t>
  </si>
  <si>
    <t xml:space="preserve">DP0321</t>
  </si>
  <si>
    <t xml:space="preserve">DP0539</t>
  </si>
  <si>
    <t xml:space="preserve">DP0331</t>
  </si>
  <si>
    <t xml:space="preserve">DP0156</t>
  </si>
  <si>
    <t xml:space="preserve">DP0285</t>
  </si>
  <si>
    <t xml:space="preserve">DP0132</t>
  </si>
  <si>
    <t xml:space="preserve">DP0137</t>
  </si>
  <si>
    <t xml:space="preserve">DP0120</t>
  </si>
  <si>
    <t xml:space="preserve">DP0266</t>
  </si>
  <si>
    <t xml:space="preserve">DP0540</t>
  </si>
  <si>
    <t xml:space="preserve">DP0210</t>
  </si>
  <si>
    <t xml:space="preserve">DP0313</t>
  </si>
  <si>
    <t xml:space="preserve">DP0492</t>
  </si>
  <si>
    <t xml:space="preserve">DP0202</t>
  </si>
  <si>
    <t xml:space="preserve">DP0079</t>
  </si>
  <si>
    <t xml:space="preserve">DP0268</t>
  </si>
  <si>
    <t xml:space="preserve">DP0029</t>
  </si>
  <si>
    <t xml:space="preserve">DP0013</t>
  </si>
  <si>
    <t xml:space="preserve">DP0472</t>
  </si>
  <si>
    <t xml:space="preserve">DP0467</t>
  </si>
  <si>
    <t xml:space="preserve">DP0045</t>
  </si>
  <si>
    <t xml:space="preserve">DP0507</t>
  </si>
  <si>
    <t xml:space="preserve">DP0060</t>
  </si>
  <si>
    <t xml:space="preserve">DP0389</t>
  </si>
  <si>
    <t xml:space="preserve">DP0330</t>
  </si>
  <si>
    <t xml:space="preserve">DP0423</t>
  </si>
  <si>
    <t xml:space="preserve">DP0042</t>
  </si>
  <si>
    <t xml:space="preserve">DP0401</t>
  </si>
  <si>
    <t xml:space="preserve">DP0204</t>
  </si>
  <si>
    <t xml:space="preserve">DP0011</t>
  </si>
  <si>
    <t xml:space="preserve">DP0526</t>
  </si>
  <si>
    <t xml:space="preserve">DP0443</t>
  </si>
  <si>
    <t xml:space="preserve">DP0206</t>
  </si>
  <si>
    <t xml:space="preserve">DP0212</t>
  </si>
  <si>
    <t xml:space="preserve">DP0343</t>
  </si>
  <si>
    <t xml:space="preserve">DP0104</t>
  </si>
  <si>
    <t xml:space="preserve">DP0419</t>
  </si>
  <si>
    <t xml:space="preserve">DP0069</t>
  </si>
  <si>
    <t xml:space="preserve">DP0418</t>
  </si>
  <si>
    <t xml:space="preserve">DP0163</t>
  </si>
  <si>
    <t xml:space="preserve">DP0563</t>
  </si>
  <si>
    <t xml:space="preserve">DP0322</t>
  </si>
  <si>
    <t xml:space="preserve">DP0407</t>
  </si>
  <si>
    <t xml:space="preserve">DP0088</t>
  </si>
  <si>
    <t xml:space="preserve">DP0106</t>
  </si>
  <si>
    <t xml:space="preserve">DP0585</t>
  </si>
  <si>
    <t xml:space="preserve">DP0446</t>
  </si>
  <si>
    <t xml:space="preserve">DP0236</t>
  </si>
  <si>
    <t xml:space="preserve">DP0023</t>
  </si>
  <si>
    <t xml:space="preserve">DP0337</t>
  </si>
  <si>
    <t xml:space="preserve">DP0223</t>
  </si>
  <si>
    <t xml:space="preserve">DP0375</t>
  </si>
  <si>
    <t xml:space="preserve">DP0096</t>
  </si>
  <si>
    <t xml:space="preserve">DP0052</t>
  </si>
  <si>
    <t xml:space="preserve">DP0253</t>
  </si>
  <si>
    <t xml:space="preserve">DP0119</t>
  </si>
  <si>
    <t xml:space="preserve">DP0044</t>
  </si>
  <si>
    <t xml:space="preserve">DP0269</t>
  </si>
  <si>
    <t xml:space="preserve">DP0147</t>
  </si>
  <si>
    <t xml:space="preserve">DP0170</t>
  </si>
  <si>
    <t xml:space="preserve">DP0565</t>
  </si>
  <si>
    <t xml:space="preserve">DP0072</t>
  </si>
  <si>
    <t xml:space="preserve">DP0402</t>
  </si>
  <si>
    <t xml:space="preserve">DP0329</t>
  </si>
  <si>
    <t xml:space="preserve">DP0027</t>
  </si>
  <si>
    <t xml:space="preserve">DP0371</t>
  </si>
  <si>
    <t xml:space="preserve">DP0429</t>
  </si>
  <si>
    <t xml:space="preserve">DP0136</t>
  </si>
  <si>
    <t xml:space="preserve">DP0600</t>
  </si>
  <si>
    <t xml:space="preserve">DP0395</t>
  </si>
  <si>
    <t xml:space="preserve">DP0564</t>
  </si>
  <si>
    <t xml:space="preserve">DP0520</t>
  </si>
  <si>
    <t xml:space="preserve">DP0314</t>
  </si>
  <si>
    <t xml:space="preserve">DP0082</t>
  </si>
  <si>
    <t xml:space="preserve">DP0415</t>
  </si>
  <si>
    <t xml:space="preserve">DP0261</t>
  </si>
  <si>
    <t xml:space="preserve">DP0438</t>
  </si>
  <si>
    <t xml:space="preserve">DP0293</t>
  </si>
  <si>
    <t xml:space="preserve">DP0362</t>
  </si>
  <si>
    <t xml:space="preserve">DP0436</t>
  </si>
  <si>
    <t xml:space="preserve">DP0020</t>
  </si>
  <si>
    <t xml:space="preserve">DP0584</t>
  </si>
  <si>
    <t xml:space="preserve">DP0473</t>
  </si>
  <si>
    <t xml:space="preserve">DP0405</t>
  </si>
  <si>
    <t xml:space="preserve">DP0449</t>
  </si>
  <si>
    <t xml:space="preserve">DP0576</t>
  </si>
  <si>
    <t xml:space="preserve">DP0528</t>
  </si>
  <si>
    <t xml:space="preserve">DP0522</t>
  </si>
  <si>
    <t xml:space="preserve">DP0047</t>
  </si>
  <si>
    <t xml:space="preserve">DP0002</t>
  </si>
  <si>
    <t xml:space="preserve">DP0474</t>
  </si>
  <si>
    <t xml:space="preserve">DP0209</t>
  </si>
  <si>
    <t xml:space="preserve">DP0144</t>
  </si>
  <si>
    <t xml:space="preserve">DP0032</t>
  </si>
  <si>
    <t xml:space="preserve">DP0246</t>
  </si>
  <si>
    <t xml:space="preserve">DP0021</t>
  </si>
  <si>
    <t xml:space="preserve">DP0495</t>
  </si>
  <si>
    <t xml:space="preserve">DP0403</t>
  </si>
  <si>
    <t xml:space="preserve">DP0484</t>
  </si>
  <si>
    <t xml:space="preserve">DP0589</t>
  </si>
  <si>
    <t xml:space="preserve">DP0326</t>
  </si>
  <si>
    <t xml:space="preserve">DP0525</t>
  </si>
  <si>
    <t xml:space="preserve">DP0573</t>
  </si>
  <si>
    <t xml:space="preserve">DP0257</t>
  </si>
  <si>
    <t xml:space="preserve">DP0517</t>
  </si>
  <si>
    <t xml:space="preserve">DP0225</t>
  </si>
  <si>
    <t xml:space="preserve">DP0162</t>
  </si>
  <si>
    <t xml:space="preserve">DP0249</t>
  </si>
  <si>
    <t xml:space="preserve">DP0097</t>
  </si>
  <si>
    <t xml:space="preserve">DP0369</t>
  </si>
  <si>
    <t xml:space="preserve">DP0117</t>
  </si>
  <si>
    <t xml:space="preserve">DP0364</t>
  </si>
  <si>
    <t xml:space="preserve">DP0113</t>
  </si>
  <si>
    <t xml:space="preserve">DP0039</t>
  </si>
  <si>
    <t xml:space="preserve">DP0232</t>
  </si>
  <si>
    <t xml:space="preserve">DP0286</t>
  </si>
  <si>
    <t xml:space="preserve">DP0312</t>
  </si>
  <si>
    <t xml:space="preserve">DP0251</t>
  </si>
  <si>
    <t xml:space="preserve">DP0130</t>
  </si>
  <si>
    <t xml:space="preserve">DP0471</t>
  </si>
  <si>
    <t xml:space="preserve">DP0430</t>
  </si>
  <si>
    <t xml:space="preserve">DP0399</t>
  </si>
  <si>
    <t xml:space="preserve">DP0112</t>
  </si>
  <si>
    <t xml:space="preserve">DP0016</t>
  </si>
  <si>
    <t xml:space="preserve">DP0451</t>
  </si>
  <si>
    <t xml:space="preserve">DP0053</t>
  </si>
  <si>
    <t xml:space="preserve">DP0425</t>
  </si>
  <si>
    <t xml:space="preserve">DP0110</t>
  </si>
  <si>
    <t xml:space="preserve">DP0385</t>
  </si>
  <si>
    <t xml:space="preserve">DP0453</t>
  </si>
  <si>
    <t xml:space="preserve">DP0396</t>
  </si>
  <si>
    <t xml:space="preserve">DP0108</t>
  </si>
  <si>
    <t xml:space="preserve">DP0215</t>
  </si>
  <si>
    <t xml:space="preserve">DP0499</t>
  </si>
  <si>
    <t xml:space="preserve">DP0086</t>
  </si>
  <si>
    <t xml:space="preserve">DP0306</t>
  </si>
  <si>
    <t xml:space="preserve">DP0510</t>
  </si>
  <si>
    <t xml:space="preserve">DP0197</t>
  </si>
  <si>
    <t xml:space="preserve">DP0557</t>
  </si>
  <si>
    <t xml:space="preserve">DP0125</t>
  </si>
  <si>
    <t xml:space="preserve">DP0468</t>
  </si>
  <si>
    <t xml:space="preserve">DP0325</t>
  </si>
  <si>
    <t xml:space="preserve">DP0287</t>
  </si>
  <si>
    <t xml:space="preserve">DP0164</t>
  </si>
  <si>
    <t xml:space="preserve">DP0411</t>
  </si>
  <si>
    <t xml:space="preserve">DP0338</t>
  </si>
  <si>
    <t xml:space="preserve">DP0301</t>
  </si>
  <si>
    <t xml:space="preserve">DP0393</t>
  </si>
  <si>
    <t xml:space="preserve">DP0231</t>
  </si>
  <si>
    <t xml:space="preserve">DP0536</t>
  </si>
  <si>
    <t xml:space="preserve">DP0367</t>
  </si>
  <si>
    <t xml:space="preserve">DP0553</t>
  </si>
  <si>
    <t xml:space="preserve">DP0566</t>
  </si>
  <si>
    <t xml:space="preserve">DP0392</t>
  </si>
  <si>
    <t xml:space="preserve">DP0518</t>
  </si>
  <si>
    <t xml:space="preserve">DP0464</t>
  </si>
  <si>
    <t xml:space="preserve">DP0440</t>
  </si>
  <si>
    <t xml:space="preserve">DP0482</t>
  </si>
  <si>
    <t xml:space="preserve">DP0502</t>
  </si>
  <si>
    <t xml:space="preserve">DP0111</t>
  </si>
  <si>
    <t xml:space="preserve">DP0594</t>
  </si>
  <si>
    <t xml:space="preserve">DP0511</t>
  </si>
  <si>
    <t xml:space="preserve">DP0529</t>
  </si>
  <si>
    <t xml:space="preserve">DP0353</t>
  </si>
  <si>
    <t xml:space="preserve">DP0341</t>
  </si>
  <si>
    <t xml:space="preserve">DP0289</t>
  </si>
  <si>
    <t xml:space="preserve">DP0377</t>
  </si>
  <si>
    <t xml:space="preserve">DP0179</t>
  </si>
  <si>
    <t xml:space="preserve">DP0317</t>
  </si>
  <si>
    <t xml:space="preserve">DP0376</t>
  </si>
  <si>
    <t xml:space="preserve">DP0283</t>
  </si>
  <si>
    <t xml:space="preserve">DP0309</t>
  </si>
  <si>
    <t xml:space="preserve">DP0049</t>
  </si>
  <si>
    <t xml:space="preserve">DP0571</t>
  </si>
  <si>
    <t xml:space="preserve">DP0275</t>
  </si>
  <si>
    <t xml:space="preserve">DP0311</t>
  </si>
  <si>
    <t xml:space="preserve">DP0181</t>
  </si>
  <si>
    <t xml:space="preserve">DP0178</t>
  </si>
  <si>
    <t xml:space="preserve">DP0408</t>
  </si>
  <si>
    <t xml:space="preserve">DP0459</t>
  </si>
  <si>
    <t xml:space="preserve">DP0561</t>
  </si>
  <si>
    <t xml:space="preserve">DP0383</t>
  </si>
  <si>
    <t xml:space="preserve">DP0370</t>
  </si>
  <si>
    <t xml:space="preserve">DP0089</t>
  </si>
  <si>
    <t xml:space="preserve">DP0441</t>
  </si>
  <si>
    <t xml:space="preserve">DP0216</t>
  </si>
  <si>
    <t xml:space="preserve">DP0374</t>
  </si>
  <si>
    <t xml:space="preserve">DP0477</t>
  </si>
  <si>
    <t xml:space="preserve">DP0500</t>
  </si>
  <si>
    <t xml:space="preserve">DP0356</t>
  </si>
  <si>
    <t xml:space="preserve">DP0475</t>
  </si>
  <si>
    <t xml:space="preserve">DP0432</t>
  </si>
  <si>
    <t xml:space="preserve">DP0093</t>
  </si>
  <si>
    <t xml:space="preserve">DP0222</t>
  </si>
  <si>
    <t xml:space="preserve">DP0035</t>
  </si>
  <si>
    <t xml:space="preserve">DP0535</t>
  </si>
  <si>
    <t xml:space="preserve">DP0030</t>
  </si>
  <si>
    <t xml:space="preserve">DP0139</t>
  </si>
  <si>
    <t xml:space="preserve">DP0050</t>
  </si>
  <si>
    <t xml:space="preserve">DP0012</t>
  </si>
  <si>
    <t xml:space="preserve">DP0390</t>
  </si>
  <si>
    <t xml:space="preserve">DP0388</t>
  </si>
  <si>
    <t xml:space="preserve">DP0318</t>
  </si>
  <si>
    <t xml:space="preserve">DP0422</t>
  </si>
  <si>
    <t xml:space="preserve">DP0105</t>
  </si>
  <si>
    <t xml:space="preserve">DP0577</t>
  </si>
  <si>
    <t xml:space="preserve">DP0248</t>
  </si>
  <si>
    <t xml:space="preserve">DP0588</t>
  </si>
  <si>
    <t xml:space="preserve">DP0291</t>
  </si>
  <si>
    <t xml:space="preserve">DP0091</t>
  </si>
  <si>
    <t xml:space="preserve">DP0586</t>
  </si>
  <si>
    <t xml:space="preserve">DP0007</t>
  </si>
  <si>
    <t xml:space="preserve">DP0463</t>
  </si>
  <si>
    <t xml:space="preserve">DP0414</t>
  </si>
  <si>
    <t xml:space="preserve">DP0270</t>
  </si>
  <si>
    <t xml:space="preserve">DP0598</t>
  </si>
  <si>
    <t xml:space="preserve">DP0358</t>
  </si>
  <si>
    <t xml:space="preserve">DP0258</t>
  </si>
  <si>
    <t xml:space="preserve">DP0010</t>
  </si>
  <si>
    <t xml:space="preserve">DP0084</t>
  </si>
  <si>
    <t xml:space="preserve">DP0572</t>
  </si>
  <si>
    <t xml:space="preserve">DP0387</t>
  </si>
  <si>
    <t xml:space="preserve">DP0335</t>
  </si>
  <si>
    <t xml:space="preserve">DP0416</t>
  </si>
  <si>
    <t xml:space="preserve">DP0183</t>
  </si>
  <si>
    <t xml:space="preserve">DP0118</t>
  </si>
  <si>
    <t xml:space="preserve">DP0061</t>
  </si>
  <si>
    <t xml:space="preserve">DP0413</t>
  </si>
  <si>
    <t xml:space="preserve">DP0058</t>
  </si>
  <si>
    <t xml:space="preserve">DP0109</t>
  </si>
  <si>
    <t xml:space="preserve">DP0397</t>
  </si>
  <si>
    <t xml:space="preserve">DP0224</t>
  </si>
  <si>
    <t xml:space="preserve">DP0339</t>
  </si>
  <si>
    <t xml:space="preserve">DP0188</t>
  </si>
  <si>
    <t xml:space="preserve">DP0505</t>
  </si>
  <si>
    <t xml:space="preserve">DP0359</t>
  </si>
  <si>
    <t xml:space="preserve">DP0504</t>
  </si>
  <si>
    <t xml:space="preserve">DP0516</t>
  </si>
  <si>
    <t xml:space="preserve">DP0177</t>
  </si>
  <si>
    <t xml:space="preserve">DP0597</t>
  </si>
  <si>
    <t xml:space="preserve">DP0366</t>
  </si>
  <si>
    <t xml:space="preserve">DP0219</t>
  </si>
  <si>
    <t xml:space="preserve">DP0221</t>
  </si>
  <si>
    <t xml:space="preserve">DP0514</t>
  </si>
  <si>
    <t xml:space="preserve">DP0277</t>
  </si>
  <si>
    <t xml:space="preserve">DP0567</t>
  </si>
  <si>
    <t xml:space="preserve">DP0574</t>
  </si>
  <si>
    <t xml:space="preserve">DP0131</t>
  </si>
  <si>
    <t xml:space="preserve">DP0400</t>
  </si>
  <si>
    <t xml:space="preserve">DP0161</t>
  </si>
  <si>
    <t xml:space="preserve">DP0575</t>
  </si>
  <si>
    <t xml:space="preserve">DP0211</t>
  </si>
  <si>
    <t xml:space="preserve">DP0213</t>
  </si>
  <si>
    <t xml:space="preserve">DP0158</t>
  </si>
  <si>
    <t xml:space="preserve">DP0382</t>
  </si>
  <si>
    <t xml:space="preserve">DP0544</t>
  </si>
  <si>
    <t xml:space="preserve">DP0014</t>
  </si>
  <si>
    <t xml:space="preserve">DP0036</t>
  </si>
  <si>
    <t xml:space="preserve">DP0315</t>
  </si>
  <si>
    <t xml:space="preserve">DP0073</t>
  </si>
  <si>
    <t xml:space="preserve">DP0098</t>
  </si>
  <si>
    <t xml:space="preserve">DP0238</t>
  </si>
  <si>
    <t xml:space="preserve">DP0320</t>
  </si>
  <si>
    <t xml:space="preserve">DP0218</t>
  </si>
  <si>
    <t xml:space="preserve">DP0252</t>
  </si>
  <si>
    <t xml:space="preserve">DP0005</t>
  </si>
  <si>
    <t xml:space="preserve">DP0483</t>
  </si>
  <si>
    <t xml:space="preserve">DP0037</t>
  </si>
  <si>
    <t xml:space="preserve">DP0101</t>
  </si>
  <si>
    <t xml:space="preserve">DP0336</t>
  </si>
  <si>
    <t xml:space="preserve">DP0247</t>
  </si>
  <si>
    <t xml:space="preserve">DP0051</t>
  </si>
  <si>
    <t xml:space="preserve">DP0198</t>
  </si>
  <si>
    <t xml:space="preserve">DP0200</t>
  </si>
  <si>
    <t xml:space="preserve">DP0028</t>
  </si>
  <si>
    <t xml:space="preserve">DP0031</t>
  </si>
  <si>
    <t xml:space="preserve">DP0297</t>
  </si>
  <si>
    <t xml:space="preserve">DP0265</t>
  </si>
  <si>
    <t xml:space="preserve">DP0579</t>
  </si>
  <si>
    <t xml:space="preserve">DP0434</t>
  </si>
  <si>
    <t xml:space="preserve">DP0458</t>
  </si>
  <si>
    <t xml:space="preserve">DP0361</t>
  </si>
  <si>
    <t xml:space="preserve">DP0530</t>
  </si>
  <si>
    <t xml:space="preserve">DP0124</t>
  </si>
  <si>
    <t xml:space="preserve">DP0470</t>
  </si>
  <si>
    <t xml:space="preserve">DP0448</t>
  </si>
  <si>
    <t xml:space="preserve">DP0533</t>
  </si>
  <si>
    <t xml:space="preserve">DP0205</t>
  </si>
  <si>
    <t xml:space="preserve">DP0349</t>
  </si>
  <si>
    <t xml:space="preserve">DP0308</t>
  </si>
  <si>
    <t xml:space="preserve">DP0155</t>
  </si>
  <si>
    <t xml:space="preserve">DP0134</t>
  </si>
  <si>
    <t xml:space="preserve">DP0417</t>
  </si>
  <si>
    <t xml:space="preserve">DP0490</t>
  </si>
  <si>
    <t xml:space="preserve">DP0497</t>
  </si>
  <si>
    <t xml:space="preserve">DP0551</t>
  </si>
  <si>
    <t xml:space="preserve">DP0298</t>
  </si>
  <si>
    <t xml:space="preserve">DP0159</t>
  </si>
  <si>
    <t xml:space="preserve">DP0256</t>
  </si>
  <si>
    <t xml:space="preserve">DP0169</t>
  </si>
  <si>
    <t xml:space="preserve">DP0194</t>
  </si>
  <si>
    <t xml:space="preserve">DP0085</t>
  </si>
  <si>
    <t xml:space="preserve">DP0235</t>
  </si>
  <si>
    <t xml:space="preserve">DP0466</t>
  </si>
  <si>
    <t xml:space="preserve">DP0391</t>
  </si>
  <si>
    <t xml:space="preserve">DP0176</t>
  </si>
  <si>
    <t xml:space="preserve">DP0300</t>
  </si>
  <si>
    <t xml:space="preserve">DP0406</t>
  </si>
  <si>
    <t xml:space="preserve">DP0549</t>
  </si>
  <si>
    <t xml:space="preserve">DP0591</t>
  </si>
  <si>
    <t xml:space="preserve">DP0076</t>
  </si>
  <si>
    <t xml:space="preserve">DP0116</t>
  </si>
  <si>
    <t xml:space="preserve">DP0182</t>
  </si>
  <si>
    <t xml:space="preserve">DP0074</t>
  </si>
  <si>
    <t xml:space="preserve">DP0348</t>
  </si>
  <si>
    <t xml:space="preserve">DP0501</t>
  </si>
  <si>
    <t xml:space="preserve">DP0542</t>
  </si>
  <si>
    <t xml:space="preserve">DP0094</t>
  </si>
  <si>
    <t xml:space="preserve">DP0173</t>
  </si>
  <si>
    <t xml:space="preserve">DP0469</t>
  </si>
  <si>
    <t xml:space="preserve">DP0581</t>
  </si>
  <si>
    <t xml:space="preserve">DP0217</t>
  </si>
  <si>
    <t xml:space="preserve">DP0545</t>
  </si>
  <si>
    <t xml:space="preserve">DP0559</t>
  </si>
  <si>
    <t xml:space="preserve">DP0186</t>
  </si>
  <si>
    <t xml:space="preserve">DP0240</t>
  </si>
  <si>
    <t xml:space="preserve">DP0532</t>
  </si>
  <si>
    <t xml:space="preserve">DP0493</t>
  </si>
  <si>
    <t xml:space="preserve">DP0273</t>
  </si>
  <si>
    <t xml:space="preserve">DP0344</t>
  </si>
  <si>
    <t xml:space="preserve">DP0195</t>
  </si>
  <si>
    <t xml:space="preserve">DP0070</t>
  </si>
  <si>
    <t xml:space="preserve">DP0244</t>
  </si>
  <si>
    <t xml:space="preserve">DP0347</t>
  </si>
  <si>
    <t xml:space="preserve">Test</t>
  </si>
  <si>
    <t xml:space="preserve">DP0135</t>
  </si>
  <si>
    <t xml:space="preserve">DP0515</t>
  </si>
  <si>
    <t xml:space="preserve">DP0192</t>
  </si>
  <si>
    <t xml:space="preserve">DP0596</t>
  </si>
  <si>
    <t xml:space="preserve">DP0019</t>
  </si>
  <si>
    <t xml:space="preserve">DP0066</t>
  </si>
  <si>
    <t xml:space="preserve">DP0439</t>
  </si>
  <si>
    <t xml:space="preserve">DP0220</t>
  </si>
  <si>
    <t xml:space="preserve">DP0386</t>
  </si>
  <si>
    <t xml:space="preserve">DP0278</t>
  </si>
  <si>
    <t xml:space="preserve">DP0145</t>
  </si>
  <si>
    <t xml:space="preserve">DP0274</t>
  </si>
  <si>
    <t xml:space="preserve">DP0496</t>
  </si>
  <si>
    <t xml:space="preserve">DP0259</t>
  </si>
  <si>
    <t xml:space="preserve">DP0316</t>
  </si>
  <si>
    <t xml:space="preserve">DP0203</t>
  </si>
  <si>
    <t xml:space="preserve">DP0595</t>
  </si>
  <si>
    <t xml:space="preserve">DP0583</t>
  </si>
  <si>
    <t xml:space="preserve">DP0592</t>
  </si>
  <si>
    <t xml:space="preserve">DP0296</t>
  </si>
  <si>
    <t xml:space="preserve">DP0555</t>
  </si>
  <si>
    <t xml:space="preserve">DP0487</t>
  </si>
  <si>
    <t xml:space="preserve">DP0302</t>
  </si>
  <si>
    <t xml:space="preserve">DP0547</t>
  </si>
  <si>
    <t xml:space="preserve">DP0062</t>
  </si>
  <si>
    <t xml:space="preserve">DP0541</t>
  </si>
  <si>
    <t xml:space="preserve">DP0099</t>
  </si>
  <si>
    <t xml:space="preserve">DP0352</t>
  </si>
  <si>
    <t xml:space="preserve">DP0152</t>
  </si>
  <si>
    <t xml:space="preserve">DP0412</t>
  </si>
  <si>
    <t xml:space="preserve">DP0148</t>
  </si>
  <si>
    <t xml:space="preserve">DP0328</t>
  </si>
  <si>
    <t xml:space="preserve">DP0491</t>
  </si>
  <si>
    <t xml:space="preserve">DP0083</t>
  </si>
  <si>
    <t xml:space="preserve">DP0340</t>
  </si>
  <si>
    <t xml:space="preserve">DP0154</t>
  </si>
  <si>
    <t xml:space="preserve">DP0180</t>
  </si>
  <si>
    <t xml:space="preserve">DP0033</t>
  </si>
  <si>
    <t xml:space="preserve">DP0193</t>
  </si>
  <si>
    <t xml:space="preserve">DP0071</t>
  </si>
  <si>
    <t xml:space="preserve">DP0025</t>
  </si>
  <si>
    <t xml:space="preserve">DP0009</t>
  </si>
  <si>
    <t xml:space="preserve">DP0129</t>
  </si>
  <si>
    <t xml:space="preserve">DP0303</t>
  </si>
  <si>
    <t xml:space="preserve">DP0593</t>
  </si>
  <si>
    <t xml:space="preserve">DP0534</t>
  </si>
  <si>
    <t xml:space="preserve">DP0115</t>
  </si>
  <si>
    <t xml:space="preserve">DP0305</t>
  </si>
  <si>
    <t xml:space="preserve">DP0143</t>
  </si>
  <si>
    <t xml:space="preserve">DP0122</t>
  </si>
  <si>
    <t xml:space="preserve">DP0373</t>
  </si>
  <si>
    <t xml:space="preserve">DP0241</t>
  </si>
  <si>
    <t xml:space="preserve">DP0292</t>
  </si>
  <si>
    <t xml:space="preserve">DP0409</t>
  </si>
  <si>
    <t xml:space="preserve">DP0323</t>
  </si>
  <si>
    <t xml:space="preserve">DP0227</t>
  </si>
  <si>
    <t xml:space="preserve">DP0114</t>
  </si>
  <si>
    <t xml:space="preserve">DP0562</t>
  </si>
  <si>
    <t xml:space="preserve">DP0271</t>
  </si>
  <si>
    <t xml:space="preserve">DP0299</t>
  </si>
  <si>
    <t xml:space="preserve">DP0081</t>
  </si>
  <si>
    <t xml:space="preserve">DP0185</t>
  </si>
  <si>
    <t xml:space="preserve">DP0378</t>
  </si>
  <si>
    <t xml:space="preserve">DP0167</t>
  </si>
  <si>
    <t xml:space="preserve">DP0363</t>
  </si>
  <si>
    <t xml:space="preserve">DP0428</t>
  </si>
  <si>
    <t xml:space="preserve">DP0380</t>
  </si>
  <si>
    <t xml:space="preserve">DP0480</t>
  </si>
  <si>
    <t xml:space="preserve">DP0003</t>
  </si>
  <si>
    <t xml:space="preserve">DP0008</t>
  </si>
  <si>
    <t xml:space="preserve">DP0067</t>
  </si>
  <si>
    <t xml:space="preserve">DP0199</t>
  </si>
  <si>
    <t xml:space="preserve">DP0433</t>
  </si>
  <si>
    <t xml:space="preserve">DP0310</t>
  </si>
  <si>
    <t xml:space="preserve">DP0550</t>
  </si>
  <si>
    <t xml:space="preserve">DP0034</t>
  </si>
  <si>
    <t xml:space="preserve">DP0242</t>
  </si>
  <si>
    <t xml:space="preserve">DP0455</t>
  </si>
  <si>
    <t xml:space="preserve">DP0489</t>
  </si>
  <si>
    <t xml:space="preserve">DP0488</t>
  </si>
  <si>
    <t xml:space="preserve">DP0015</t>
  </si>
  <si>
    <t xml:space="preserve">DP0442</t>
  </si>
  <si>
    <t xml:space="preserve">DP0457</t>
  </si>
  <si>
    <t xml:space="preserve">DP0168</t>
  </si>
  <si>
    <t xml:space="preserve">DP0090</t>
  </si>
  <si>
    <t xml:space="preserve">DP0151</t>
  </si>
  <si>
    <t xml:space="preserve">DP0548</t>
  </si>
  <si>
    <t xml:space="preserve">DP0087</t>
  </si>
  <si>
    <t xml:space="preserve">DP0543</t>
  </si>
  <si>
    <t xml:space="preserve">DP0295</t>
  </si>
  <si>
    <t xml:space="preserve">DP0064</t>
  </si>
  <si>
    <t xml:space="preserve">DP0421</t>
  </si>
  <si>
    <t xml:space="preserve">DP0578</t>
  </si>
  <si>
    <t xml:space="preserve">DP0582</t>
  </si>
  <si>
    <t xml:space="preserve">DP0461</t>
  </si>
  <si>
    <t xml:space="preserve">DP0587</t>
  </si>
  <si>
    <t xml:space="preserve">DP0160</t>
  </si>
  <si>
    <t xml:space="preserve">DP0237</t>
  </si>
  <si>
    <t xml:space="preserve">DP0342</t>
  </si>
  <si>
    <t xml:space="preserve">DP0454</t>
  </si>
  <si>
    <t xml:space="preserve">DP0146</t>
  </si>
  <si>
    <t xml:space="preserve">DP0208</t>
  </si>
  <si>
    <t xml:space="preserve">DP0102</t>
  </si>
  <si>
    <t xml:space="preserve">DP0264</t>
  </si>
  <si>
    <t xml:space="preserve">DP0552</t>
  </si>
  <si>
    <t xml:space="preserve">DP0546</t>
  </si>
  <si>
    <t xml:space="preserve">DP0554</t>
  </si>
  <si>
    <t xml:space="preserve">DP0234</t>
  </si>
  <si>
    <t xml:space="preserve">DP0207</t>
  </si>
  <si>
    <t xml:space="preserve">DP0445</t>
  </si>
  <si>
    <t xml:space="preserve">DP0521</t>
  </si>
  <si>
    <t xml:space="preserve">DP0424</t>
  </si>
  <si>
    <t xml:space="preserve">DP0479</t>
  </si>
  <si>
    <t xml:space="preserve">DP0272</t>
  </si>
  <si>
    <t xml:space="preserve">DP0196</t>
  </si>
  <si>
    <t xml:space="preserve">DP0077</t>
  </si>
  <si>
    <t xml:space="preserve">DP0142</t>
  </si>
  <si>
    <t xml:space="preserve">DP0447</t>
  </si>
  <si>
    <t xml:space="preserve">DP0462</t>
  </si>
  <si>
    <t xml:space="preserve">DP0141</t>
  </si>
  <si>
    <t xml:space="preserve">DP0153</t>
  </si>
  <si>
    <t xml:space="preserve">DP0519</t>
  </si>
  <si>
    <t xml:space="preserve">DP0307</t>
  </si>
  <si>
    <t xml:space="preserve">DP0558</t>
  </si>
  <si>
    <t xml:space="preserve">DP0024</t>
  </si>
  <si>
    <t xml:space="preserve">DP0006</t>
  </si>
  <si>
    <t xml:space="preserve">DP0187</t>
  </si>
  <si>
    <t xml:space="preserve">DP0068</t>
  </si>
  <si>
    <t xml:space="preserve">DP0080</t>
  </si>
  <si>
    <t xml:space="preserve">DP0063</t>
  </si>
  <si>
    <t xml:space="preserve">DP0404</t>
  </si>
  <si>
    <t xml:space="preserve">DP0022</t>
  </si>
  <si>
    <t xml:space="preserve">DP0427</t>
  </si>
  <si>
    <t xml:space="preserve">DP0485</t>
  </si>
  <si>
    <t xml:space="preserve">DP0368</t>
  </si>
  <si>
    <t xml:space="preserve">DP0524</t>
  </si>
  <si>
    <t xml:space="preserve">DP0513</t>
  </si>
  <si>
    <t xml:space="preserve">DP0140</t>
  </si>
  <si>
    <t xml:space="preserve">DP0381</t>
  </si>
  <si>
    <t xml:space="preserve">DP0043</t>
  </si>
  <si>
    <t xml:space="preserve">DP0107</t>
  </si>
  <si>
    <t xml:space="preserve">DP0255</t>
  </si>
  <si>
    <t xml:space="preserve">DP0138</t>
  </si>
  <si>
    <t xml:space="preserve">DP0243</t>
  </si>
  <si>
    <t xml:space="preserve">DP0580</t>
  </si>
  <si>
    <t xml:space="preserve">DP0095</t>
  </si>
  <si>
    <t xml:space="preserve">DP0190</t>
  </si>
  <si>
    <t xml:space="preserve">DP0379</t>
  </si>
  <si>
    <t xml:space="preserve">DP0281</t>
  </si>
  <si>
    <t xml:space="preserve">DP0481</t>
  </si>
  <si>
    <t xml:space="preserve">DP0465</t>
  </si>
  <si>
    <t xml:space="preserve">DP0531</t>
  </si>
  <si>
    <t xml:space="preserve">DP0230</t>
  </si>
  <si>
    <t xml:space="preserve">DP0065</t>
  </si>
  <si>
    <t xml:space="preserve">DP0345</t>
  </si>
  <si>
    <t xml:space="preserve">DP0560</t>
  </si>
  <si>
    <t xml:space="preserve">DP0054</t>
  </si>
  <si>
    <t xml:space="preserve">DP0260</t>
  </si>
  <si>
    <t xml:space="preserve">DP0245</t>
  </si>
  <si>
    <t xml:space="preserve">DP0214</t>
  </si>
  <si>
    <t xml:space="preserve">DP0351</t>
  </si>
  <si>
    <t xml:space="preserve">DP0523</t>
  </si>
  <si>
    <t xml:space="preserve">DP0410</t>
  </si>
  <si>
    <t xml:space="preserve">DP0201</t>
  </si>
  <si>
    <t xml:space="preserve">DP0284</t>
  </si>
  <si>
    <t xml:space="preserve">DP0057</t>
  </si>
  <si>
    <t xml:space="preserve">DP0431</t>
  </si>
  <si>
    <t xml:space="preserve">DP0239</t>
  </si>
  <si>
    <t xml:space="preserve">DP0263</t>
  </si>
  <si>
    <t xml:space="preserve">DP0294</t>
  </si>
  <si>
    <t xml:space="preserve">DP0319</t>
  </si>
  <si>
    <t xml:space="preserve">DP0450</t>
  </si>
  <si>
    <t xml:space="preserve">DP0189</t>
  </si>
  <si>
    <t xml:space="preserve">DP0324</t>
  </si>
  <si>
    <t xml:space="preserve">DP0460</t>
  </si>
  <si>
    <t xml:space="preserve">DP0350</t>
  </si>
  <si>
    <t xml:space="preserve">DP0056</t>
  </si>
  <si>
    <t xml:space="preserve">DP0041</t>
  </si>
  <si>
    <t xml:space="preserve">DP0121</t>
  </si>
  <si>
    <t xml:space="preserve">Disease Prediction Model — Diabetes Risk</t>
  </si>
  <si>
    <t xml:space="preserve">A simple Linear Probability Model, fit and evaluated with Excel formulas</t>
  </si>
  <si>
    <t xml:space="preserve">⚠  Educational exercise on fully synthetic data. This model is a Linear Probability Model (ordinary least-squares regression on a 0/1 outcome, fit with Excel's LINEST) — a simplified, fully-transparent stand-in for logistic regression that's achievable natively in Excel. Coefficients are fit on the 420 Training rows only and evaluated on the 180 held-out Test rows below, exactly like a real train/test workflow. This is a teaching demonstration, not a validated clinical tool.</t>
  </si>
  <si>
    <t xml:space="preserve">Model Coefficients (fit on Training data, n=420)</t>
  </si>
  <si>
    <t xml:space="preserve">Risk Factor</t>
  </si>
  <si>
    <t xml:space="preserve">Coefficient</t>
  </si>
  <si>
    <t xml:space="preserve">Intercept</t>
  </si>
  <si>
    <t xml:space="preserve">Blood Pressure</t>
  </si>
  <si>
    <t xml:space="preserve">Glucose Level</t>
  </si>
  <si>
    <t xml:space="preserve">Family History (0/1)</t>
  </si>
  <si>
    <t xml:space="preserve">Physical Activity (0-2)</t>
  </si>
  <si>
    <t xml:space="preserve">Model Fit: R² (training data)</t>
  </si>
  <si>
    <t xml:space="preserve">How to read this: each coefficient is the estimated change in predicted diabetes probability for a 1-unit increase in that risk factor, holding the others constant. Positive = raises risk; negative = lowers risk.</t>
  </si>
  <si>
    <t xml:space="preserve">Confusion Matrix — Test Set (n=180, held out)</t>
  </si>
  <si>
    <t xml:space="preserve">Actual: No</t>
  </si>
  <si>
    <t xml:space="preserve">Actual: Yes</t>
  </si>
  <si>
    <t xml:space="preserve">Predicted: No</t>
  </si>
  <si>
    <t xml:space="preserve">Predicted: Yes</t>
  </si>
  <si>
    <t xml:space="preserve">Evaluation Metrics (Test Set)</t>
  </si>
  <si>
    <t xml:space="preserve">Metric</t>
  </si>
  <si>
    <t xml:space="preserve">Value</t>
  </si>
  <si>
    <t xml:space="preserve">Accuracy</t>
  </si>
  <si>
    <t xml:space="preserve">Precision</t>
  </si>
  <si>
    <t xml:space="preserve">Recall (Sensitivity)</t>
  </si>
  <si>
    <t xml:space="preserve">F1 Score</t>
  </si>
</sst>
</file>

<file path=xl/styles.xml><?xml version="1.0" encoding="utf-8"?>
<styleSheet xmlns="http://schemas.openxmlformats.org/spreadsheetml/2006/main">
  <numFmts count="12">
    <numFmt numFmtId="164" formatCode="General"/>
    <numFmt numFmtId="165" formatCode="0"/>
    <numFmt numFmtId="166" formatCode="yyyy\-mm\-dd"/>
    <numFmt numFmtId="167" formatCode="General"/>
    <numFmt numFmtId="168" formatCode="0.0%"/>
    <numFmt numFmtId="169" formatCode="0.0"/>
    <numFmt numFmtId="170" formatCode="\₹#,##0.00"/>
    <numFmt numFmtId="171" formatCode="\₹#,##0"/>
    <numFmt numFmtId="172" formatCode="\+0.0%;\-0.0%"/>
    <numFmt numFmtId="173" formatCode="\₹#,##0.0"/>
    <numFmt numFmtId="174" formatCode="0.000"/>
    <numFmt numFmtId="175" formatCode="0.00000"/>
  </numFmts>
  <fonts count="19">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1"/>
      <color rgb="FF555555"/>
      <name val="Arial"/>
      <family val="0"/>
      <charset val="1"/>
    </font>
    <font>
      <b val="true"/>
      <sz val="12"/>
      <color rgb="FF1F4E78"/>
      <name val="Arial"/>
      <family val="0"/>
      <charset val="1"/>
    </font>
    <font>
      <sz val="11"/>
      <color rgb="FF000000"/>
      <name val="Arial"/>
      <family val="0"/>
      <charset val="1"/>
    </font>
    <font>
      <b val="true"/>
      <sz val="11"/>
      <color rgb="FFFFFFFF"/>
      <name val="Arial"/>
      <family val="0"/>
      <charset val="1"/>
    </font>
    <font>
      <b val="true"/>
      <sz val="11"/>
      <color rgb="FF000000"/>
      <name val="Arial"/>
      <family val="0"/>
      <charset val="1"/>
    </font>
    <font>
      <b val="true"/>
      <sz val="12"/>
      <color rgb="FFFFFFFF"/>
      <name val="Arial"/>
      <family val="0"/>
      <charset val="1"/>
    </font>
    <font>
      <b val="true"/>
      <sz val="11"/>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1F4E78"/>
      <name val="Arial"/>
      <family val="0"/>
      <charset val="1"/>
    </font>
    <font>
      <i val="true"/>
      <sz val="10"/>
      <color rgb="FF555555"/>
      <name val="Arial"/>
      <family val="0"/>
      <charset val="1"/>
    </font>
    <font>
      <b val="true"/>
      <i val="true"/>
      <sz val="10"/>
      <color rgb="FF9C5700"/>
      <name val="Arial"/>
      <family val="0"/>
      <charset val="1"/>
    </font>
    <font>
      <i val="true"/>
      <sz val="9"/>
      <color rgb="FF777777"/>
      <name val="Arial"/>
      <family val="0"/>
      <charset val="1"/>
    </font>
  </fonts>
  <fills count="5">
    <fill>
      <patternFill patternType="none"/>
    </fill>
    <fill>
      <patternFill patternType="gray125"/>
    </fill>
    <fill>
      <patternFill patternType="solid">
        <fgColor rgb="FF2E86A6"/>
        <bgColor rgb="FF4F81BD"/>
      </patternFill>
    </fill>
    <fill>
      <patternFill patternType="solid">
        <fgColor rgb="FF1F4E78"/>
        <bgColor rgb="FF003366"/>
      </patternFill>
    </fill>
    <fill>
      <patternFill patternType="solid">
        <fgColor rgb="FFFFF2CC"/>
        <bgColor rgb="FFF9F9F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center"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E86A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1"/>
        <color rgb="FF1E7B34"/>
      </font>
    </dxf>
    <dxf>
      <font>
        <b val="1"/>
        <color rgb="FFC00000"/>
      </font>
    </dxf>
  </dxfs>
  <colors>
    <indexedColors>
      <rgbColor rgb="FF000000"/>
      <rgbColor rgb="FFFFFFFF"/>
      <rgbColor rgb="FFC00000"/>
      <rgbColor rgb="FF00FF00"/>
      <rgbColor rgb="FF0000FF"/>
      <rgbColor rgb="FFFFFF00"/>
      <rgbColor rgb="FFFF00FF"/>
      <rgbColor rgb="FF00FFFF"/>
      <rgbColor rgb="FF800000"/>
      <rgbColor rgb="FF1E7B34"/>
      <rgbColor rgb="FF000080"/>
      <rgbColor rgb="FF808000"/>
      <rgbColor rgb="FF800080"/>
      <rgbColor rgb="FF008080"/>
      <rgbColor rgb="FFB7B7B7"/>
      <rgbColor rgb="FF878787"/>
      <rgbColor rgb="FF93A9CE"/>
      <rgbColor rgb="FFBE4B48"/>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672A8"/>
      <rgbColor rgb="FF33CCCC"/>
      <rgbColor rgb="FF9BBB59"/>
      <rgbColor rgb="FFFFCC00"/>
      <rgbColor rgb="FFFF9900"/>
      <rgbColor rgb="FFFF6600"/>
      <rgbColor rgb="FF777777"/>
      <rgbColor rgb="FF4F81BD"/>
      <rgbColor rgb="FF003366"/>
      <rgbColor rgb="FF2E86A6"/>
      <rgbColor rgb="FF003300"/>
      <rgbColor rgb="FF333300"/>
      <rgbColor rgb="FF9C5700"/>
      <rgbColor rgb="FFC0504D"/>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Most Common Diseases</a:t>
            </a:r>
          </a:p>
        </c:rich>
      </c:tx>
      <c:overlay val="0"/>
      <c:spPr>
        <a:noFill/>
        <a:ln w="0">
          <a:noFill/>
        </a:ln>
      </c:spPr>
    </c:title>
    <c:autoTitleDeleted val="0"/>
    <c:plotArea>
      <c:barChart>
        <c:barDir val="col"/>
        <c:grouping val="clustered"/>
        <c:varyColors val="0"/>
        <c:ser>
          <c:idx val="0"/>
          <c:order val="0"/>
          <c:tx>
            <c:strRef>
              <c:f>'Analysis Summary'!C20</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Summary'!$B$21:$B$35</c:f>
              <c:strCache>
                <c:ptCount val="15"/>
                <c:pt idx="0">
                  <c:v>Hypertension</c:v>
                </c:pt>
                <c:pt idx="1">
                  <c:v>Diabetes</c:v>
                </c:pt>
                <c:pt idx="2">
                  <c:v>Flu</c:v>
                </c:pt>
                <c:pt idx="3">
                  <c:v>Migraine</c:v>
                </c:pt>
                <c:pt idx="4">
                  <c:v>Asthma</c:v>
                </c:pt>
                <c:pt idx="5">
                  <c:v>Anemia</c:v>
                </c:pt>
                <c:pt idx="6">
                  <c:v>Arthritis</c:v>
                </c:pt>
                <c:pt idx="7">
                  <c:v>Bronchitis</c:v>
                </c:pt>
                <c:pt idx="8">
                  <c:v>Obesity</c:v>
                </c:pt>
                <c:pt idx="9">
                  <c:v>Allergy</c:v>
                </c:pt>
                <c:pt idx="10">
                  <c:v>Not Specified</c:v>
                </c:pt>
                <c:pt idx="11">
                  <c:v>Thyroid Disorder</c:v>
                </c:pt>
                <c:pt idx="12">
                  <c:v>Depression</c:v>
                </c:pt>
                <c:pt idx="13">
                  <c:v>Covid-19</c:v>
                </c:pt>
                <c:pt idx="14">
                  <c:v>Gastritis</c:v>
                </c:pt>
              </c:strCache>
            </c:strRef>
          </c:cat>
          <c:val>
            <c:numRef>
              <c:f>'Analysis Summary'!$C$21:$C$35</c:f>
              <c:numCache>
                <c:formatCode>General</c:formatCode>
                <c:ptCount val="15"/>
                <c:pt idx="0">
                  <c:v>43</c:v>
                </c:pt>
                <c:pt idx="1">
                  <c:v>30</c:v>
                </c:pt>
                <c:pt idx="2">
                  <c:v>22</c:v>
                </c:pt>
                <c:pt idx="3">
                  <c:v>19</c:v>
                </c:pt>
                <c:pt idx="4">
                  <c:v>18</c:v>
                </c:pt>
                <c:pt idx="5">
                  <c:v>16</c:v>
                </c:pt>
                <c:pt idx="6">
                  <c:v>14</c:v>
                </c:pt>
                <c:pt idx="7">
                  <c:v>14</c:v>
                </c:pt>
                <c:pt idx="8">
                  <c:v>12</c:v>
                </c:pt>
                <c:pt idx="9">
                  <c:v>10</c:v>
                </c:pt>
                <c:pt idx="10">
                  <c:v>9</c:v>
                </c:pt>
                <c:pt idx="11">
                  <c:v>8</c:v>
                </c:pt>
                <c:pt idx="12">
                  <c:v>7</c:v>
                </c:pt>
                <c:pt idx="13">
                  <c:v>5</c:v>
                </c:pt>
                <c:pt idx="14">
                  <c:v>3</c:v>
                </c:pt>
              </c:numCache>
            </c:numRef>
          </c:val>
        </c:ser>
        <c:gapWidth val="150"/>
        <c:overlap val="0"/>
        <c:axId val="67435035"/>
        <c:axId val="83228073"/>
      </c:barChart>
      <c:catAx>
        <c:axId val="674350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Disease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228073"/>
        <c:crosses val="autoZero"/>
        <c:auto val="1"/>
        <c:lblAlgn val="ctr"/>
        <c:lblOffset val="100"/>
        <c:noMultiLvlLbl val="0"/>
      </c:catAx>
      <c:valAx>
        <c:axId val="832280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350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Gender Distribution</a:t>
            </a:r>
          </a:p>
        </c:rich>
      </c:tx>
      <c:overlay val="0"/>
      <c:spPr>
        <a:noFill/>
        <a:ln w="0">
          <a:noFill/>
        </a:ln>
      </c:spPr>
    </c:title>
    <c:autoTitleDeleted val="0"/>
    <c:plotArea>
      <c:pieChart>
        <c:varyColors val="1"/>
        <c:ser>
          <c:idx val="0"/>
          <c:order val="0"/>
          <c:tx>
            <c:strRef>
              <c:f>'Analysis Summary'!C14</c:f>
              <c:strCache>
                <c:ptCount val="1"/>
                <c:pt idx="0">
                  <c:v>Patient 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'Analysis Summary'!$B$15:$B$17</c:f>
              <c:strCache>
                <c:ptCount val="3"/>
                <c:pt idx="0">
                  <c:v>Male</c:v>
                </c:pt>
                <c:pt idx="1">
                  <c:v>Female</c:v>
                </c:pt>
                <c:pt idx="2">
                  <c:v>Unknown</c:v>
                </c:pt>
              </c:strCache>
            </c:strRef>
          </c:cat>
          <c:val>
            <c:numRef>
              <c:f>'Analysis Summary'!$C$15:$C$17</c:f>
              <c:numCache>
                <c:formatCode>General</c:formatCode>
                <c:ptCount val="3"/>
                <c:pt idx="0">
                  <c:v>114</c:v>
                </c:pt>
                <c:pt idx="1">
                  <c:v>110</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Disease Distribution</a:t>
            </a:r>
          </a:p>
        </c:rich>
      </c:tx>
      <c:overlay val="0"/>
      <c:spPr>
        <a:noFill/>
        <a:ln w="0">
          <a:noFill/>
        </a:ln>
      </c:spPr>
    </c:title>
    <c:autoTitleDeleted val="0"/>
    <c:plotArea>
      <c:barChart>
        <c:barDir val="col"/>
        <c:grouping val="clustered"/>
        <c:varyColors val="0"/>
        <c:ser>
          <c:idx val="0"/>
          <c:order val="0"/>
          <c:tx>
            <c:strRef>
              <c:f>Visualizations!C6</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Visualizations!$B$7:$B$21</c:f>
              <c:strCache>
                <c:ptCount val="15"/>
                <c:pt idx="0">
                  <c:v>Hypertension</c:v>
                </c:pt>
                <c:pt idx="1">
                  <c:v>Diabetes</c:v>
                </c:pt>
                <c:pt idx="2">
                  <c:v>Flu</c:v>
                </c:pt>
                <c:pt idx="3">
                  <c:v>Migraine</c:v>
                </c:pt>
                <c:pt idx="4">
                  <c:v>Asthma</c:v>
                </c:pt>
                <c:pt idx="5">
                  <c:v>Anemia</c:v>
                </c:pt>
                <c:pt idx="6">
                  <c:v>Arthritis</c:v>
                </c:pt>
                <c:pt idx="7">
                  <c:v>Bronchitis</c:v>
                </c:pt>
                <c:pt idx="8">
                  <c:v>Obesity</c:v>
                </c:pt>
                <c:pt idx="9">
                  <c:v>Allergy</c:v>
                </c:pt>
                <c:pt idx="10">
                  <c:v>Not Specified</c:v>
                </c:pt>
                <c:pt idx="11">
                  <c:v>Thyroid Disorder</c:v>
                </c:pt>
                <c:pt idx="12">
                  <c:v>Depression</c:v>
                </c:pt>
                <c:pt idx="13">
                  <c:v>Covid-19</c:v>
                </c:pt>
                <c:pt idx="14">
                  <c:v>Gastritis</c:v>
                </c:pt>
              </c:strCache>
            </c:strRef>
          </c:cat>
          <c:val>
            <c:numRef>
              <c:f>Visualizations!$C$7:$C$21</c:f>
              <c:numCache>
                <c:formatCode>General</c:formatCode>
                <c:ptCount val="15"/>
                <c:pt idx="0">
                  <c:v>43</c:v>
                </c:pt>
                <c:pt idx="1">
                  <c:v>30</c:v>
                </c:pt>
                <c:pt idx="2">
                  <c:v>22</c:v>
                </c:pt>
                <c:pt idx="3">
                  <c:v>19</c:v>
                </c:pt>
                <c:pt idx="4">
                  <c:v>18</c:v>
                </c:pt>
                <c:pt idx="5">
                  <c:v>16</c:v>
                </c:pt>
                <c:pt idx="6">
                  <c:v>14</c:v>
                </c:pt>
                <c:pt idx="7">
                  <c:v>14</c:v>
                </c:pt>
                <c:pt idx="8">
                  <c:v>12</c:v>
                </c:pt>
                <c:pt idx="9">
                  <c:v>10</c:v>
                </c:pt>
                <c:pt idx="10">
                  <c:v>9</c:v>
                </c:pt>
                <c:pt idx="11">
                  <c:v>8</c:v>
                </c:pt>
                <c:pt idx="12">
                  <c:v>7</c:v>
                </c:pt>
                <c:pt idx="13">
                  <c:v>5</c:v>
                </c:pt>
                <c:pt idx="14">
                  <c:v>3</c:v>
                </c:pt>
              </c:numCache>
            </c:numRef>
          </c:val>
        </c:ser>
        <c:gapWidth val="150"/>
        <c:overlap val="0"/>
        <c:axId val="47555384"/>
        <c:axId val="86532979"/>
      </c:barChart>
      <c:catAx>
        <c:axId val="475553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532979"/>
        <c:crosses val="autoZero"/>
        <c:auto val="1"/>
        <c:lblAlgn val="ctr"/>
        <c:lblOffset val="100"/>
        <c:noMultiLvlLbl val="0"/>
      </c:catAx>
      <c:valAx>
        <c:axId val="865329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553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 Distribution</a:t>
            </a:r>
          </a:p>
        </c:rich>
      </c:tx>
      <c:overlay val="0"/>
      <c:spPr>
        <a:noFill/>
        <a:ln w="0">
          <a:noFill/>
        </a:ln>
      </c:spPr>
    </c:title>
    <c:autoTitleDeleted val="0"/>
    <c:plotArea>
      <c:barChart>
        <c:barDir val="col"/>
        <c:grouping val="clustered"/>
        <c:varyColors val="0"/>
        <c:ser>
          <c:idx val="0"/>
          <c:order val="0"/>
          <c:tx>
            <c:strRef>
              <c:f>Visualizations!C25</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Visualizations!$B$26:$B$35</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Visualizations!$C$26:$C$35</c:f>
              <c:numCache>
                <c:formatCode>General</c:formatCode>
                <c:ptCount val="10"/>
                <c:pt idx="0">
                  <c:v>3</c:v>
                </c:pt>
                <c:pt idx="1">
                  <c:v>12</c:v>
                </c:pt>
                <c:pt idx="2">
                  <c:v>28</c:v>
                </c:pt>
                <c:pt idx="3">
                  <c:v>38</c:v>
                </c:pt>
                <c:pt idx="4">
                  <c:v>62</c:v>
                </c:pt>
                <c:pt idx="5">
                  <c:v>41</c:v>
                </c:pt>
                <c:pt idx="6">
                  <c:v>24</c:v>
                </c:pt>
                <c:pt idx="7">
                  <c:v>11</c:v>
                </c:pt>
                <c:pt idx="8">
                  <c:v>10</c:v>
                </c:pt>
                <c:pt idx="9">
                  <c:v>1</c:v>
                </c:pt>
              </c:numCache>
            </c:numRef>
          </c:val>
        </c:ser>
        <c:gapWidth val="150"/>
        <c:overlap val="0"/>
        <c:axId val="88328689"/>
        <c:axId val="71275705"/>
      </c:barChart>
      <c:catAx>
        <c:axId val="8832868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 Range (years)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75705"/>
        <c:crosses val="autoZero"/>
        <c:auto val="1"/>
        <c:lblAlgn val="ctr"/>
        <c:lblOffset val="100"/>
        <c:noMultiLvlLbl val="0"/>
      </c:catAx>
      <c:valAx>
        <c:axId val="7127570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3286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Gender Ratio</a:t>
            </a:r>
          </a:p>
        </c:rich>
      </c:tx>
      <c:overlay val="0"/>
      <c:spPr>
        <a:noFill/>
        <a:ln w="0">
          <a:noFill/>
        </a:ln>
      </c:spPr>
    </c:title>
    <c:autoTitleDeleted val="0"/>
    <c:plotArea>
      <c:pieChart>
        <c:varyColors val="1"/>
        <c:ser>
          <c:idx val="0"/>
          <c:order val="0"/>
          <c:tx>
            <c:strRef>
              <c:f>Visualizations!C39</c:f>
              <c:strCache>
                <c:ptCount val="1"/>
                <c:pt idx="0">
                  <c:v>Patient 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Visualizations!$B$40:$B$42</c:f>
              <c:strCache>
                <c:ptCount val="3"/>
                <c:pt idx="0">
                  <c:v>Male</c:v>
                </c:pt>
                <c:pt idx="1">
                  <c:v>Female</c:v>
                </c:pt>
                <c:pt idx="2">
                  <c:v>Unknown</c:v>
                </c:pt>
              </c:strCache>
            </c:strRef>
          </c:cat>
          <c:val>
            <c:numRef>
              <c:f>Visualizations!$C$40:$C$42</c:f>
              <c:numCache>
                <c:formatCode>General</c:formatCode>
                <c:ptCount val="3"/>
                <c:pt idx="0">
                  <c:v>114</c:v>
                </c:pt>
                <c:pt idx="1">
                  <c:v>110</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Medication Usage</a:t>
            </a:r>
          </a:p>
        </c:rich>
      </c:tx>
      <c:overlay val="0"/>
      <c:spPr>
        <a:noFill/>
        <a:ln w="0">
          <a:noFill/>
        </a:ln>
      </c:spPr>
    </c:title>
    <c:autoTitleDeleted val="0"/>
    <c:plotArea>
      <c:barChart>
        <c:barDir val="bar"/>
        <c:grouping val="clustered"/>
        <c:varyColors val="0"/>
        <c:ser>
          <c:idx val="0"/>
          <c:order val="0"/>
          <c:tx>
            <c:strRef>
              <c:f>Visualizations!C46</c:f>
              <c:strCache>
                <c:ptCount val="1"/>
                <c:pt idx="0">
                  <c:v>Times Prescribed</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Visualizations!$B$47:$B$61</c:f>
              <c:strCache>
                <c:ptCount val="15"/>
                <c:pt idx="0">
                  <c:v>Amlodipine</c:v>
                </c:pt>
                <c:pt idx="1">
                  <c:v>Metformin</c:v>
                </c:pt>
                <c:pt idx="2">
                  <c:v>Sumatriptan</c:v>
                </c:pt>
                <c:pt idx="3">
                  <c:v>Paracetamol</c:v>
                </c:pt>
                <c:pt idx="4">
                  <c:v>Salbutamol</c:v>
                </c:pt>
                <c:pt idx="5">
                  <c:v>Ibuprofen</c:v>
                </c:pt>
                <c:pt idx="6">
                  <c:v>Ferrous Sulfate</c:v>
                </c:pt>
                <c:pt idx="7">
                  <c:v>Azithromycin</c:v>
                </c:pt>
                <c:pt idx="8">
                  <c:v>Not Specified</c:v>
                </c:pt>
                <c:pt idx="9">
                  <c:v>Orlistat</c:v>
                </c:pt>
                <c:pt idx="10">
                  <c:v>Cetirizine</c:v>
                </c:pt>
                <c:pt idx="11">
                  <c:v>Levothyroxine</c:v>
                </c:pt>
                <c:pt idx="12">
                  <c:v>Sertraline</c:v>
                </c:pt>
                <c:pt idx="13">
                  <c:v>Favipiravir</c:v>
                </c:pt>
                <c:pt idx="14">
                  <c:v>Omeprazole</c:v>
                </c:pt>
              </c:strCache>
            </c:strRef>
          </c:cat>
          <c:val>
            <c:numRef>
              <c:f>Visualizations!$C$47:$C$61</c:f>
              <c:numCache>
                <c:formatCode>General</c:formatCode>
                <c:ptCount val="15"/>
                <c:pt idx="0">
                  <c:v>42</c:v>
                </c:pt>
                <c:pt idx="1">
                  <c:v>30</c:v>
                </c:pt>
                <c:pt idx="2">
                  <c:v>21</c:v>
                </c:pt>
                <c:pt idx="3">
                  <c:v>19</c:v>
                </c:pt>
                <c:pt idx="4">
                  <c:v>18</c:v>
                </c:pt>
                <c:pt idx="5">
                  <c:v>16</c:v>
                </c:pt>
                <c:pt idx="6">
                  <c:v>16</c:v>
                </c:pt>
                <c:pt idx="7">
                  <c:v>13</c:v>
                </c:pt>
                <c:pt idx="8">
                  <c:v>11</c:v>
                </c:pt>
                <c:pt idx="9">
                  <c:v>11</c:v>
                </c:pt>
                <c:pt idx="10">
                  <c:v>10</c:v>
                </c:pt>
                <c:pt idx="11">
                  <c:v>8</c:v>
                </c:pt>
                <c:pt idx="12">
                  <c:v>7</c:v>
                </c:pt>
                <c:pt idx="13">
                  <c:v>5</c:v>
                </c:pt>
                <c:pt idx="14">
                  <c:v>3</c:v>
                </c:pt>
              </c:numCache>
            </c:numRef>
          </c:val>
        </c:ser>
        <c:gapWidth val="150"/>
        <c:overlap val="0"/>
        <c:axId val="29911900"/>
        <c:axId val="18998846"/>
      </c:barChart>
      <c:catAx>
        <c:axId val="29911900"/>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Times Prescribed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98846"/>
        <c:crosses val="autoZero"/>
        <c:auto val="1"/>
        <c:lblAlgn val="ctr"/>
        <c:lblOffset val="100"/>
        <c:noMultiLvlLbl val="0"/>
      </c:catAx>
      <c:valAx>
        <c:axId val="1899884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1190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Top-Selling Medicines by Revenue</a:t>
            </a:r>
          </a:p>
        </c:rich>
      </c:tx>
      <c:overlay val="0"/>
      <c:spPr>
        <a:noFill/>
        <a:ln w="0">
          <a:noFill/>
        </a:ln>
      </c:spPr>
    </c:title>
    <c:autoTitleDeleted val="0"/>
    <c:plotArea>
      <c:barChart>
        <c:barDir val="col"/>
        <c:grouping val="clustered"/>
        <c:varyColors val="0"/>
        <c:ser>
          <c:idx val="0"/>
          <c:order val="0"/>
          <c:tx>
            <c:strRef>
              <c:f>'Pharmacy Sales Analysis'!D6</c:f>
              <c:strCache>
                <c:ptCount val="1"/>
                <c:pt idx="0">
                  <c:v>Total Revenue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Analysis'!$B$7:$B$20</c:f>
              <c:strCache>
                <c:ptCount val="14"/>
                <c:pt idx="0">
                  <c:v>Sumatriptan</c:v>
                </c:pt>
                <c:pt idx="1">
                  <c:v>Orlistat</c:v>
                </c:pt>
                <c:pt idx="2">
                  <c:v>Salbutamol</c:v>
                </c:pt>
                <c:pt idx="3">
                  <c:v>Azithromycin</c:v>
                </c:pt>
                <c:pt idx="4">
                  <c:v>Amlodipine</c:v>
                </c:pt>
                <c:pt idx="5">
                  <c:v>Metformin</c:v>
                </c:pt>
                <c:pt idx="6">
                  <c:v>Sertraline</c:v>
                </c:pt>
                <c:pt idx="7">
                  <c:v>Favipiravir</c:v>
                </c:pt>
                <c:pt idx="8">
                  <c:v>Ferrous Sulfate</c:v>
                </c:pt>
                <c:pt idx="9">
                  <c:v>Ibuprofen</c:v>
                </c:pt>
                <c:pt idx="10">
                  <c:v>Paracetamol</c:v>
                </c:pt>
                <c:pt idx="11">
                  <c:v>Omeprazole</c:v>
                </c:pt>
                <c:pt idx="12">
                  <c:v>Cetirizine</c:v>
                </c:pt>
                <c:pt idx="13">
                  <c:v>Levothyroxine</c:v>
                </c:pt>
              </c:strCache>
            </c:strRef>
          </c:cat>
          <c:val>
            <c:numRef>
              <c:f>'Pharmacy Sales Analysis'!$D$7:$D$20</c:f>
              <c:numCache>
                <c:formatCode>\₹#,##0</c:formatCode>
                <c:ptCount val="14"/>
                <c:pt idx="0">
                  <c:v>22266.14</c:v>
                </c:pt>
                <c:pt idx="1">
                  <c:v>20085.71</c:v>
                </c:pt>
                <c:pt idx="2">
                  <c:v>15120.41</c:v>
                </c:pt>
                <c:pt idx="3">
                  <c:v>9182.09</c:v>
                </c:pt>
                <c:pt idx="4">
                  <c:v>8832.63</c:v>
                </c:pt>
                <c:pt idx="5">
                  <c:v>8424.16</c:v>
                </c:pt>
                <c:pt idx="6">
                  <c:v>8102.92</c:v>
                </c:pt>
                <c:pt idx="7">
                  <c:v>6788.02</c:v>
                </c:pt>
                <c:pt idx="8">
                  <c:v>4834.08</c:v>
                </c:pt>
                <c:pt idx="9">
                  <c:v>4332.04</c:v>
                </c:pt>
                <c:pt idx="10">
                  <c:v>3934.25</c:v>
                </c:pt>
                <c:pt idx="11">
                  <c:v>3059.99</c:v>
                </c:pt>
                <c:pt idx="12">
                  <c:v>1709.93</c:v>
                </c:pt>
                <c:pt idx="13">
                  <c:v>1210.71</c:v>
                </c:pt>
              </c:numCache>
            </c:numRef>
          </c:val>
        </c:ser>
        <c:gapWidth val="150"/>
        <c:overlap val="0"/>
        <c:axId val="35503941"/>
        <c:axId val="43484747"/>
      </c:barChart>
      <c:catAx>
        <c:axId val="355039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484747"/>
        <c:crosses val="autoZero"/>
        <c:auto val="1"/>
        <c:lblAlgn val="ctr"/>
        <c:lblOffset val="100"/>
        <c:noMultiLvlLbl val="0"/>
      </c:catAx>
      <c:valAx>
        <c:axId val="434847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5039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'Pharmacy Sales Analysis'!C25</c:f>
              <c:strCache>
                <c:ptCount val="1"/>
                <c:pt idx="0">
                  <c:v>Revenue</c:v>
                </c:pt>
              </c:strCache>
            </c:strRef>
          </c:tx>
          <c:spPr>
            <a:solidFill>
              <a:srgbClr val="be4b48"/>
            </a:solidFill>
            <a:ln w="47520">
              <a:solidFill>
                <a:srgbClr val="be4b48"/>
              </a:solidFill>
              <a:round/>
            </a:ln>
          </c:spPr>
          <c:marker>
            <c:symbol val="circle"/>
            <c:size val="6"/>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Analysis'!$B$26:$B$37</c:f>
              <c:strCache>
                <c:ptCount val="12"/>
                <c:pt idx="0">
                  <c:v>Sep-2025</c:v>
                </c:pt>
                <c:pt idx="1">
                  <c:v>Oct-2025</c:v>
                </c:pt>
                <c:pt idx="2">
                  <c:v>Nov-2025</c:v>
                </c:pt>
                <c:pt idx="3">
                  <c:v>Dec-2025</c:v>
                </c:pt>
                <c:pt idx="4">
                  <c:v>Jan-2026</c:v>
                </c:pt>
                <c:pt idx="5">
                  <c:v>Feb-2026</c:v>
                </c:pt>
                <c:pt idx="6">
                  <c:v>Mar-2026</c:v>
                </c:pt>
                <c:pt idx="7">
                  <c:v>Apr-2026</c:v>
                </c:pt>
                <c:pt idx="8">
                  <c:v>May-2026</c:v>
                </c:pt>
                <c:pt idx="9">
                  <c:v>Jun-2026</c:v>
                </c:pt>
                <c:pt idx="10">
                  <c:v>Jul-2026</c:v>
                </c:pt>
                <c:pt idx="11">
                  <c:v>Aug-2026</c:v>
                </c:pt>
              </c:strCache>
            </c:strRef>
          </c:cat>
          <c:val>
            <c:numRef>
              <c:f>'Pharmacy Sales Analysis'!$C$26:$C$37</c:f>
              <c:numCache>
                <c:formatCode>\₹#,##0</c:formatCode>
                <c:ptCount val="12"/>
                <c:pt idx="0">
                  <c:v>6151.24</c:v>
                </c:pt>
                <c:pt idx="1">
                  <c:v>5640.03</c:v>
                </c:pt>
                <c:pt idx="2">
                  <c:v>10409.97</c:v>
                </c:pt>
                <c:pt idx="3">
                  <c:v>6230.9</c:v>
                </c:pt>
                <c:pt idx="4">
                  <c:v>8785.45</c:v>
                </c:pt>
                <c:pt idx="5">
                  <c:v>9982.32</c:v>
                </c:pt>
                <c:pt idx="6">
                  <c:v>12241.83</c:v>
                </c:pt>
                <c:pt idx="7">
                  <c:v>10492.72</c:v>
                </c:pt>
                <c:pt idx="8">
                  <c:v>12543.01</c:v>
                </c:pt>
                <c:pt idx="9">
                  <c:v>11142.52</c:v>
                </c:pt>
                <c:pt idx="10">
                  <c:v>14877.2</c:v>
                </c:pt>
                <c:pt idx="11">
                  <c:v>9385.89</c:v>
                </c:pt>
              </c:numCache>
            </c:numRef>
          </c:val>
          <c:smooth val="0"/>
        </c:ser>
        <c:hiLowLines>
          <c:spPr>
            <a:ln w="0">
              <a:noFill/>
            </a:ln>
          </c:spPr>
        </c:hiLowLines>
        <c:marker val="1"/>
        <c:axId val="98839902"/>
        <c:axId val="27336103"/>
      </c:lineChart>
      <c:catAx>
        <c:axId val="988399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336103"/>
        <c:crosses val="autoZero"/>
        <c:auto val="1"/>
        <c:lblAlgn val="ctr"/>
        <c:lblOffset val="100"/>
        <c:noMultiLvlLbl val="0"/>
      </c:catAx>
      <c:valAx>
        <c:axId val="273361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399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Share: Branded vs. Generic</a:t>
            </a:r>
          </a:p>
        </c:rich>
      </c:tx>
      <c:overlay val="0"/>
      <c:spPr>
        <a:noFill/>
        <a:ln w="0">
          <a:noFill/>
        </a:ln>
      </c:spPr>
    </c:title>
    <c:autoTitleDeleted val="0"/>
    <c:plotArea>
      <c:pieChart>
        <c:varyColors val="1"/>
        <c:ser>
          <c:idx val="0"/>
          <c:order val="0"/>
          <c:tx>
            <c:strRef>
              <c:f>'Pharmacy Sales Analysis'!D40</c:f>
              <c:strCache>
                <c:ptCount val="1"/>
                <c:pt idx="0">
                  <c:v>Total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'Pharmacy Sales Analysis'!$B$41:$B$42</c:f>
              <c:strCache>
                <c:ptCount val="2"/>
                <c:pt idx="0">
                  <c:v>Branded</c:v>
                </c:pt>
                <c:pt idx="1">
                  <c:v>Generic</c:v>
                </c:pt>
              </c:strCache>
            </c:strRef>
          </c:cat>
          <c:val>
            <c:numRef>
              <c:f>'Pharmacy Sales Analysis'!$D$41:$D$42</c:f>
              <c:numCache>
                <c:formatCode>\₹#,##0</c:formatCode>
                <c:ptCount val="2"/>
                <c:pt idx="0">
                  <c:v>68008.99</c:v>
                </c:pt>
                <c:pt idx="1">
                  <c:v>49874.09</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Unit Price: Branded vs. Generic</a:t>
            </a:r>
          </a:p>
        </c:rich>
      </c:tx>
      <c:overlay val="0"/>
      <c:spPr>
        <a:noFill/>
        <a:ln w="0">
          <a:noFill/>
        </a:ln>
      </c:spPr>
    </c:title>
    <c:autoTitleDeleted val="0"/>
    <c:plotArea>
      <c:barChart>
        <c:barDir val="col"/>
        <c:grouping val="clustered"/>
        <c:varyColors val="0"/>
        <c:ser>
          <c:idx val="0"/>
          <c:order val="0"/>
          <c:tx>
            <c:strRef>
              <c:f>'Pharmacy Sales Analysis'!F40</c:f>
              <c:strCache>
                <c:ptCount val="1"/>
                <c:pt idx="0">
                  <c:v>Avg. Unit Price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Analysis'!$B$41:$B$42</c:f>
              <c:strCache>
                <c:ptCount val="2"/>
                <c:pt idx="0">
                  <c:v>Branded</c:v>
                </c:pt>
                <c:pt idx="1">
                  <c:v>Generic</c:v>
                </c:pt>
              </c:strCache>
            </c:strRef>
          </c:cat>
          <c:val>
            <c:numRef>
              <c:f>'Pharmacy Sales Analysis'!$F$41:$F$42</c:f>
              <c:numCache>
                <c:formatCode>\₹#,##0.0</c:formatCode>
                <c:ptCount val="2"/>
                <c:pt idx="0">
                  <c:v>88.4380701754386</c:v>
                </c:pt>
                <c:pt idx="1">
                  <c:v>39.1247422680412</c:v>
                </c:pt>
              </c:numCache>
            </c:numRef>
          </c:val>
        </c:ser>
        <c:gapWidth val="150"/>
        <c:overlap val="0"/>
        <c:axId val="4036895"/>
        <c:axId val="66789753"/>
      </c:barChart>
      <c:catAx>
        <c:axId val="40368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789753"/>
        <c:crosses val="autoZero"/>
        <c:auto val="1"/>
        <c:lblAlgn val="ctr"/>
        <c:lblOffset val="100"/>
        <c:noMultiLvlLbl val="0"/>
      </c:catAx>
      <c:valAx>
        <c:axId val="6678975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Unit Price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68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ADR Rate by Medication</a:t>
            </a:r>
          </a:p>
        </c:rich>
      </c:tx>
      <c:overlay val="0"/>
      <c:spPr>
        <a:noFill/>
        <a:ln w="0">
          <a:noFill/>
        </a:ln>
      </c:spPr>
    </c:title>
    <c:autoTitleDeleted val="0"/>
    <c:plotArea>
      <c:barChart>
        <c:barDir val="col"/>
        <c:grouping val="clustered"/>
        <c:varyColors val="0"/>
        <c:ser>
          <c:idx val="0"/>
          <c:order val="0"/>
          <c:tx>
            <c:strRef>
              <c:f>'ADR Signal Analysis'!E8</c:f>
              <c:strCache>
                <c:ptCount val="1"/>
                <c:pt idx="0">
                  <c:v>ADR Rate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Analysis'!$B$9:$B$22</c:f>
              <c:strCache>
                <c:ptCount val="14"/>
                <c:pt idx="0">
                  <c:v>Orlistat</c:v>
                </c:pt>
                <c:pt idx="1">
                  <c:v>Metformin</c:v>
                </c:pt>
                <c:pt idx="2">
                  <c:v>Ferrous Sulfate</c:v>
                </c:pt>
                <c:pt idx="3">
                  <c:v>Amlodipine</c:v>
                </c:pt>
                <c:pt idx="4">
                  <c:v>Sertraline</c:v>
                </c:pt>
                <c:pt idx="5">
                  <c:v>Salbutamol</c:v>
                </c:pt>
                <c:pt idx="6">
                  <c:v>Omeprazole</c:v>
                </c:pt>
                <c:pt idx="7">
                  <c:v>Ibuprofen</c:v>
                </c:pt>
                <c:pt idx="8">
                  <c:v>Azithromycin</c:v>
                </c:pt>
                <c:pt idx="9">
                  <c:v>Cetirizine</c:v>
                </c:pt>
                <c:pt idx="10">
                  <c:v>Favipiravir</c:v>
                </c:pt>
                <c:pt idx="11">
                  <c:v>Sumatriptan</c:v>
                </c:pt>
                <c:pt idx="12">
                  <c:v>Paracetamol</c:v>
                </c:pt>
                <c:pt idx="13">
                  <c:v>Levothyroxine</c:v>
                </c:pt>
              </c:strCache>
            </c:strRef>
          </c:cat>
          <c:val>
            <c:numRef>
              <c:f>'ADR Signal Analysis'!$E$9:$E$22</c:f>
              <c:numCache>
                <c:formatCode>0.0%</c:formatCode>
                <c:ptCount val="14"/>
                <c:pt idx="0">
                  <c:v>0.487804878048781</c:v>
                </c:pt>
                <c:pt idx="1">
                  <c:v>0.352941176470588</c:v>
                </c:pt>
                <c:pt idx="2">
                  <c:v>0.333333333333333</c:v>
                </c:pt>
                <c:pt idx="3">
                  <c:v>0.311111111111111</c:v>
                </c:pt>
                <c:pt idx="4">
                  <c:v>0.296296296296296</c:v>
                </c:pt>
                <c:pt idx="5">
                  <c:v>0.241379310344828</c:v>
                </c:pt>
                <c:pt idx="6">
                  <c:v>0.235294117647059</c:v>
                </c:pt>
                <c:pt idx="7">
                  <c:v>0.2</c:v>
                </c:pt>
                <c:pt idx="8">
                  <c:v>0.189189189189189</c:v>
                </c:pt>
                <c:pt idx="9">
                  <c:v>0.175</c:v>
                </c:pt>
                <c:pt idx="10">
                  <c:v>0.166666666666667</c:v>
                </c:pt>
                <c:pt idx="11">
                  <c:v>0.105263157894737</c:v>
                </c:pt>
                <c:pt idx="12">
                  <c:v>0.1</c:v>
                </c:pt>
                <c:pt idx="13">
                  <c:v>0.0606060606060606</c:v>
                </c:pt>
              </c:numCache>
            </c:numRef>
          </c:val>
        </c:ser>
        <c:gapWidth val="150"/>
        <c:overlap val="0"/>
        <c:axId val="3402130"/>
        <c:axId val="43169396"/>
      </c:barChart>
      <c:catAx>
        <c:axId val="34021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169396"/>
        <c:crosses val="autoZero"/>
        <c:auto val="1"/>
        <c:lblAlgn val="ctr"/>
        <c:lblOffset val="100"/>
        <c:noMultiLvlLbl val="0"/>
      </c:catAx>
      <c:valAx>
        <c:axId val="431693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ADR Rate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021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Rate on Drug vs. Background Rate (flagged pairs)</a:t>
            </a:r>
          </a:p>
        </c:rich>
      </c:tx>
      <c:overlay val="0"/>
      <c:spPr>
        <a:noFill/>
        <a:ln w="0">
          <a:noFill/>
        </a:ln>
      </c:spPr>
    </c:title>
    <c:autoTitleDeleted val="0"/>
    <c:plotArea>
      <c:barChart>
        <c:barDir val="bar"/>
        <c:grouping val="clustered"/>
        <c:varyColors val="0"/>
        <c:ser>
          <c:idx val="0"/>
          <c:order val="0"/>
          <c:tx>
            <c:strRef>
              <c:f>'ADR Signal Analysis'!F26</c:f>
              <c:strCache>
                <c:ptCount val="1"/>
                <c:pt idx="0">
                  <c:v>Rate on Drug %</c:v>
                </c:pt>
              </c:strCache>
            </c:strRef>
          </c:tx>
          <c:spPr>
            <a:solidFill>
              <a:srgbClr val="4672a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Analysis'!$J$27:$J$43</c:f>
              <c:strCache>
                <c:ptCount val="17"/>
                <c:pt idx="0">
                  <c:v>Ferrous Sulfate – Constipation</c:v>
                </c:pt>
                <c:pt idx="1">
                  <c:v>Salbutamol – Tremor</c:v>
                </c:pt>
                <c:pt idx="2">
                  <c:v>Orlistat – Vomiting</c:v>
                </c:pt>
                <c:pt idx="3">
                  <c:v>Omeprazole – Headache</c:v>
                </c:pt>
                <c:pt idx="4">
                  <c:v>Sertraline – Dry Mouth</c:v>
                </c:pt>
                <c:pt idx="5">
                  <c:v>Cetirizine – Drowsiness</c:v>
                </c:pt>
                <c:pt idx="6">
                  <c:v>Amlodipine – Swelling</c:v>
                </c:pt>
                <c:pt idx="7">
                  <c:v>Orlistat – Fatigue</c:v>
                </c:pt>
                <c:pt idx="8">
                  <c:v>Orlistat – Diarrhea</c:v>
                </c:pt>
                <c:pt idx="9">
                  <c:v>Amlodipine – Dizziness</c:v>
                </c:pt>
                <c:pt idx="10">
                  <c:v>Ferrous Sulfate – Nausea</c:v>
                </c:pt>
                <c:pt idx="11">
                  <c:v>Metformin – Diarrhea</c:v>
                </c:pt>
                <c:pt idx="12">
                  <c:v>Azithromycin – Diarrhea</c:v>
                </c:pt>
                <c:pt idx="13">
                  <c:v>Ibuprofen – Nausea</c:v>
                </c:pt>
                <c:pt idx="14">
                  <c:v>Metformin – Nausea</c:v>
                </c:pt>
                <c:pt idx="15">
                  <c:v>Omeprazole – Nausea</c:v>
                </c:pt>
                <c:pt idx="16">
                  <c:v>Favipiravir – Nausea</c:v>
                </c:pt>
              </c:strCache>
            </c:strRef>
          </c:cat>
          <c:val>
            <c:numRef>
              <c:f>'ADR Signal Analysis'!$F$27:$F$43</c:f>
              <c:numCache>
                <c:formatCode>0.0%</c:formatCode>
                <c:ptCount val="17"/>
                <c:pt idx="0">
                  <c:v>0.111111111111111</c:v>
                </c:pt>
                <c:pt idx="1">
                  <c:v>0.137931034482759</c:v>
                </c:pt>
                <c:pt idx="2">
                  <c:v>0.121951219512195</c:v>
                </c:pt>
                <c:pt idx="3">
                  <c:v>0.117647058823529</c:v>
                </c:pt>
                <c:pt idx="4">
                  <c:v>0.148148148148148</c:v>
                </c:pt>
                <c:pt idx="5">
                  <c:v>0.075</c:v>
                </c:pt>
                <c:pt idx="6">
                  <c:v>0.111111111111111</c:v>
                </c:pt>
                <c:pt idx="7">
                  <c:v>0.0731707317073171</c:v>
                </c:pt>
                <c:pt idx="8">
                  <c:v>0.219512195121951</c:v>
                </c:pt>
                <c:pt idx="9">
                  <c:v>0.133333333333333</c:v>
                </c:pt>
                <c:pt idx="10">
                  <c:v>0.2</c:v>
                </c:pt>
                <c:pt idx="11">
                  <c:v>0.147058823529412</c:v>
                </c:pt>
                <c:pt idx="12">
                  <c:v>0.108108108108108</c:v>
                </c:pt>
                <c:pt idx="13">
                  <c:v>0.142857142857143</c:v>
                </c:pt>
                <c:pt idx="14">
                  <c:v>0.0882352941176471</c:v>
                </c:pt>
                <c:pt idx="15">
                  <c:v>0.0882352941176471</c:v>
                </c:pt>
                <c:pt idx="16">
                  <c:v>0.0714285714285714</c:v>
                </c:pt>
              </c:numCache>
            </c:numRef>
          </c:val>
        </c:ser>
        <c:ser>
          <c:idx val="1"/>
          <c:order val="1"/>
          <c:tx>
            <c:strRef>
              <c:f>'ADR Signal Analysis'!G26</c:f>
              <c:strCache>
                <c:ptCount val="1"/>
                <c:pt idx="0">
                  <c:v>Background Rate %</c:v>
                </c:pt>
              </c:strCache>
            </c:strRef>
          </c:tx>
          <c:spPr>
            <a:solidFill>
              <a:srgbClr val="93a9ce"/>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Analysis'!$J$27:$J$43</c:f>
              <c:strCache>
                <c:ptCount val="17"/>
                <c:pt idx="0">
                  <c:v>Ferrous Sulfate – Constipation</c:v>
                </c:pt>
                <c:pt idx="1">
                  <c:v>Salbutamol – Tremor</c:v>
                </c:pt>
                <c:pt idx="2">
                  <c:v>Orlistat – Vomiting</c:v>
                </c:pt>
                <c:pt idx="3">
                  <c:v>Omeprazole – Headache</c:v>
                </c:pt>
                <c:pt idx="4">
                  <c:v>Sertraline – Dry Mouth</c:v>
                </c:pt>
                <c:pt idx="5">
                  <c:v>Cetirizine – Drowsiness</c:v>
                </c:pt>
                <c:pt idx="6">
                  <c:v>Amlodipine – Swelling</c:v>
                </c:pt>
                <c:pt idx="7">
                  <c:v>Orlistat – Fatigue</c:v>
                </c:pt>
                <c:pt idx="8">
                  <c:v>Orlistat – Diarrhea</c:v>
                </c:pt>
                <c:pt idx="9">
                  <c:v>Amlodipine – Dizziness</c:v>
                </c:pt>
                <c:pt idx="10">
                  <c:v>Ferrous Sulfate – Nausea</c:v>
                </c:pt>
                <c:pt idx="11">
                  <c:v>Metformin – Diarrhea</c:v>
                </c:pt>
                <c:pt idx="12">
                  <c:v>Azithromycin – Diarrhea</c:v>
                </c:pt>
                <c:pt idx="13">
                  <c:v>Ibuprofen – Nausea</c:v>
                </c:pt>
                <c:pt idx="14">
                  <c:v>Metformin – Nausea</c:v>
                </c:pt>
                <c:pt idx="15">
                  <c:v>Omeprazole – Nausea</c:v>
                </c:pt>
                <c:pt idx="16">
                  <c:v>Favipiravir – Nausea</c:v>
                </c:pt>
              </c:strCache>
            </c:strRef>
          </c:cat>
          <c:val>
            <c:numRef>
              <c:f>'ADR Signal Analysis'!$G$27:$G$43</c:f>
              <c:numCache>
                <c:formatCode>0.0%</c:formatCode>
                <c:ptCount val="17"/>
                <c:pt idx="0">
                  <c:v>0</c:v>
                </c:pt>
                <c:pt idx="1">
                  <c:v>0</c:v>
                </c:pt>
                <c:pt idx="2">
                  <c:v>0.00208768267223382</c:v>
                </c:pt>
                <c:pt idx="3">
                  <c:v>0.00411522633744856</c:v>
                </c:pt>
                <c:pt idx="4">
                  <c:v>0.00608519269776876</c:v>
                </c:pt>
                <c:pt idx="5">
                  <c:v>0.00416666666666667</c:v>
                </c:pt>
                <c:pt idx="6">
                  <c:v>0.00631578947368421</c:v>
                </c:pt>
                <c:pt idx="7">
                  <c:v>0.00417536534446764</c:v>
                </c:pt>
                <c:pt idx="8">
                  <c:v>0.022964509394572</c:v>
                </c:pt>
                <c:pt idx="9">
                  <c:v>0.0147368421052632</c:v>
                </c:pt>
                <c:pt idx="10">
                  <c:v>0.0378947368421053</c:v>
                </c:pt>
                <c:pt idx="11">
                  <c:v>0.0308641975308642</c:v>
                </c:pt>
                <c:pt idx="12">
                  <c:v>0.0331262939958592</c:v>
                </c:pt>
                <c:pt idx="13">
                  <c:v>0.045360824742268</c:v>
                </c:pt>
                <c:pt idx="14">
                  <c:v>0.0493827160493827</c:v>
                </c:pt>
                <c:pt idx="15">
                  <c:v>0.0493827160493827</c:v>
                </c:pt>
                <c:pt idx="16">
                  <c:v>0.0502092050209205</c:v>
                </c:pt>
              </c:numCache>
            </c:numRef>
          </c:val>
        </c:ser>
        <c:gapWidth val="150"/>
        <c:overlap val="0"/>
        <c:axId val="39124676"/>
        <c:axId val="92767678"/>
      </c:barChart>
      <c:catAx>
        <c:axId val="39124676"/>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767678"/>
        <c:crosses val="autoZero"/>
        <c:auto val="1"/>
        <c:lblAlgn val="ctr"/>
        <c:lblOffset val="100"/>
        <c:noMultiLvlLbl val="0"/>
      </c:catAx>
      <c:valAx>
        <c:axId val="9276767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1246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Days to Onset (flagged pairs)</a:t>
            </a:r>
          </a:p>
        </c:rich>
      </c:tx>
      <c:overlay val="0"/>
      <c:spPr>
        <a:noFill/>
        <a:ln w="0">
          <a:noFill/>
        </a:ln>
      </c:spPr>
    </c:title>
    <c:autoTitleDeleted val="0"/>
    <c:plotArea>
      <c:barChart>
        <c:barDir val="bar"/>
        <c:grouping val="clustered"/>
        <c:varyColors val="0"/>
        <c:ser>
          <c:idx val="0"/>
          <c:order val="0"/>
          <c:tx>
            <c:strRef>
              <c:f>'ADR Signal Analysis'!E47</c:f>
              <c:strCache>
                <c:ptCount val="1"/>
                <c:pt idx="0">
                  <c:v>Avg. Days to Onset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Analysis'!$J$48:$J$64</c:f>
              <c:strCache>
                <c:ptCount val="17"/>
                <c:pt idx="0">
                  <c:v>Ferrous Sulfate – Constipation</c:v>
                </c:pt>
                <c:pt idx="1">
                  <c:v>Salbutamol – Tremor</c:v>
                </c:pt>
                <c:pt idx="2">
                  <c:v>Orlistat – Vomiting</c:v>
                </c:pt>
                <c:pt idx="3">
                  <c:v>Omeprazole – Headache</c:v>
                </c:pt>
                <c:pt idx="4">
                  <c:v>Sertraline – Dry Mouth</c:v>
                </c:pt>
                <c:pt idx="5">
                  <c:v>Cetirizine – Drowsiness</c:v>
                </c:pt>
                <c:pt idx="6">
                  <c:v>Amlodipine – Swelling</c:v>
                </c:pt>
                <c:pt idx="7">
                  <c:v>Orlistat – Fatigue</c:v>
                </c:pt>
                <c:pt idx="8">
                  <c:v>Orlistat – Diarrhea</c:v>
                </c:pt>
                <c:pt idx="9">
                  <c:v>Amlodipine – Dizziness</c:v>
                </c:pt>
                <c:pt idx="10">
                  <c:v>Ferrous Sulfate – Nausea</c:v>
                </c:pt>
                <c:pt idx="11">
                  <c:v>Metformin – Diarrhea</c:v>
                </c:pt>
                <c:pt idx="12">
                  <c:v>Azithromycin – Diarrhea</c:v>
                </c:pt>
                <c:pt idx="13">
                  <c:v>Ibuprofen – Nausea</c:v>
                </c:pt>
                <c:pt idx="14">
                  <c:v>Metformin – Nausea</c:v>
                </c:pt>
                <c:pt idx="15">
                  <c:v>Omeprazole – Nausea</c:v>
                </c:pt>
                <c:pt idx="16">
                  <c:v>Favipiravir – Nausea</c:v>
                </c:pt>
              </c:strCache>
            </c:strRef>
          </c:cat>
          <c:val>
            <c:numRef>
              <c:f>'ADR Signal Analysis'!$E$48:$E$64</c:f>
              <c:numCache>
                <c:formatCode>General</c:formatCode>
                <c:ptCount val="17"/>
                <c:pt idx="0">
                  <c:v>7.4</c:v>
                </c:pt>
                <c:pt idx="1">
                  <c:v>7</c:v>
                </c:pt>
                <c:pt idx="2">
                  <c:v>8.4</c:v>
                </c:pt>
                <c:pt idx="3">
                  <c:v>5.3</c:v>
                </c:pt>
                <c:pt idx="4">
                  <c:v>6.5</c:v>
                </c:pt>
                <c:pt idx="5">
                  <c:v>10</c:v>
                </c:pt>
                <c:pt idx="6">
                  <c:v>7.2</c:v>
                </c:pt>
                <c:pt idx="7">
                  <c:v>66.3</c:v>
                </c:pt>
                <c:pt idx="8">
                  <c:v>4.3</c:v>
                </c:pt>
                <c:pt idx="9">
                  <c:v>5.3</c:v>
                </c:pt>
                <c:pt idx="10">
                  <c:v>3.8</c:v>
                </c:pt>
                <c:pt idx="11">
                  <c:v>5.6</c:v>
                </c:pt>
                <c:pt idx="12">
                  <c:v>17.3</c:v>
                </c:pt>
                <c:pt idx="13">
                  <c:v>7.4</c:v>
                </c:pt>
                <c:pt idx="14">
                  <c:v>13.3</c:v>
                </c:pt>
                <c:pt idx="15">
                  <c:v>9.3</c:v>
                </c:pt>
                <c:pt idx="16">
                  <c:v>5.3</c:v>
                </c:pt>
              </c:numCache>
            </c:numRef>
          </c:val>
        </c:ser>
        <c:gapWidth val="150"/>
        <c:overlap val="0"/>
        <c:axId val="49645258"/>
        <c:axId val="67427297"/>
      </c:barChart>
      <c:catAx>
        <c:axId val="4964525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27297"/>
        <c:crosses val="autoZero"/>
        <c:auto val="1"/>
        <c:lblAlgn val="ctr"/>
        <c:lblOffset val="100"/>
        <c:noMultiLvlLbl val="0"/>
      </c:catAx>
      <c:valAx>
        <c:axId val="6742729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6452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Factor Coefficients</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'Disease Prediction Model'!$B$10:$B$15</c:f>
              <c:strCache>
                <c:ptCount val="6"/>
                <c:pt idx="0">
                  <c:v>Age</c:v>
                </c:pt>
                <c:pt idx="1">
                  <c:v>BMI</c:v>
                </c:pt>
                <c:pt idx="2">
                  <c:v>Blood Pressure</c:v>
                </c:pt>
                <c:pt idx="3">
                  <c:v>Glucose Level</c:v>
                </c:pt>
                <c:pt idx="4">
                  <c:v>Family History (0/1)</c:v>
                </c:pt>
                <c:pt idx="5">
                  <c:v>Physical Activity (0-2)</c:v>
                </c:pt>
              </c:strCache>
            </c:strRef>
          </c:cat>
          <c:val>
            <c:numRef>
              <c:f>'Disease Prediction Model'!$C$10:$C$15</c:f>
              <c:numCache>
                <c:formatCode>0.00000</c:formatCode>
                <c:ptCount val="6"/>
                <c:pt idx="0">
                  <c:v>0.00292</c:v>
                </c:pt>
                <c:pt idx="1">
                  <c:v>0.01139</c:v>
                </c:pt>
                <c:pt idx="2">
                  <c:v>0.00358</c:v>
                </c:pt>
                <c:pt idx="3">
                  <c:v>0.00926</c:v>
                </c:pt>
                <c:pt idx="4">
                  <c:v>0.13224</c:v>
                </c:pt>
                <c:pt idx="5">
                  <c:v>-0.10086</c:v>
                </c:pt>
              </c:numCache>
            </c:numRef>
          </c:val>
        </c:ser>
        <c:gapWidth val="150"/>
        <c:overlap val="0"/>
        <c:axId val="54818358"/>
        <c:axId val="29796319"/>
      </c:barChart>
      <c:catAx>
        <c:axId val="548183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96319"/>
        <c:crosses val="autoZero"/>
        <c:auto val="1"/>
        <c:lblAlgn val="ctr"/>
        <c:lblOffset val="100"/>
        <c:noMultiLvlLbl val="0"/>
      </c:catAx>
      <c:valAx>
        <c:axId val="29796319"/>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183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Model Evaluation Metrics</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'Disease Prediction Model'!$B$27:$B$30</c:f>
              <c:strCache>
                <c:ptCount val="4"/>
                <c:pt idx="0">
                  <c:v>Accuracy</c:v>
                </c:pt>
                <c:pt idx="1">
                  <c:v>Precision</c:v>
                </c:pt>
                <c:pt idx="2">
                  <c:v>Recall (Sensitivity)</c:v>
                </c:pt>
                <c:pt idx="3">
                  <c:v>F1 Score</c:v>
                </c:pt>
              </c:strCache>
            </c:strRef>
          </c:cat>
          <c:val>
            <c:numRef>
              <c:f>'Disease Prediction Model'!$C$27:$C$30</c:f>
              <c:numCache>
                <c:formatCode>0.0%</c:formatCode>
                <c:ptCount val="4"/>
                <c:pt idx="0">
                  <c:v>0.738888888888889</c:v>
                </c:pt>
                <c:pt idx="1">
                  <c:v>0.742857142857143</c:v>
                </c:pt>
                <c:pt idx="2">
                  <c:v>0.40625</c:v>
                </c:pt>
                <c:pt idx="3">
                  <c:v>0.525252525252525</c:v>
                </c:pt>
              </c:numCache>
            </c:numRef>
          </c:val>
        </c:ser>
        <c:gapWidth val="150"/>
        <c:overlap val="0"/>
        <c:axId val="60113058"/>
        <c:axId val="60004049"/>
      </c:barChart>
      <c:catAx>
        <c:axId val="601130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004049"/>
        <c:crosses val="autoZero"/>
        <c:auto val="1"/>
        <c:lblAlgn val="ctr"/>
        <c:lblOffset val="100"/>
        <c:noMultiLvlLbl val="0"/>
      </c:catAx>
      <c:valAx>
        <c:axId val="600040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Score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1130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
</Relationships>
</file>

<file path=xl/drawings/_rels/drawing3.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
</Relationships>
</file>

<file path=xl/drawings/_rels/drawing4.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
</Relationships>
</file>

<file path=xl/drawings/_rels/drawing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xdr:row>
      <xdr:rowOff>131040</xdr:rowOff>
    </xdr:from>
    <xdr:to>
      <xdr:col>16</xdr:col>
      <xdr:colOff>364320</xdr:colOff>
      <xdr:row>21</xdr:row>
      <xdr:rowOff>132120</xdr:rowOff>
    </xdr:to>
    <xdr:graphicFrame>
      <xdr:nvGraphicFramePr>
        <xdr:cNvPr id="0" name="Chart 1"/>
        <xdr:cNvGraphicFramePr/>
      </xdr:nvGraphicFramePr>
      <xdr:xfrm>
        <a:off x="6814080" y="9525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130680</xdr:rowOff>
    </xdr:from>
    <xdr:to>
      <xdr:col>13</xdr:col>
      <xdr:colOff>38880</xdr:colOff>
      <xdr:row>41</xdr:row>
      <xdr:rowOff>131760</xdr:rowOff>
    </xdr:to>
    <xdr:graphicFrame>
      <xdr:nvGraphicFramePr>
        <xdr:cNvPr id="1" name="Chart 2"/>
        <xdr:cNvGraphicFramePr/>
      </xdr:nvGraphicFramePr>
      <xdr:xfrm>
        <a:off x="6814080" y="476244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131040</xdr:rowOff>
    </xdr:from>
    <xdr:to>
      <xdr:col>18</xdr:col>
      <xdr:colOff>113040</xdr:colOff>
      <xdr:row>20</xdr:row>
      <xdr:rowOff>132120</xdr:rowOff>
    </xdr:to>
    <xdr:graphicFrame>
      <xdr:nvGraphicFramePr>
        <xdr:cNvPr id="2" name="Chart 1"/>
        <xdr:cNvGraphicFramePr/>
      </xdr:nvGraphicFramePr>
      <xdr:xfrm>
        <a:off x="5852160" y="76212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130680</xdr:rowOff>
    </xdr:from>
    <xdr:to>
      <xdr:col>18</xdr:col>
      <xdr:colOff>113040</xdr:colOff>
      <xdr:row>40</xdr:row>
      <xdr:rowOff>132120</xdr:rowOff>
    </xdr:to>
    <xdr:graphicFrame>
      <xdr:nvGraphicFramePr>
        <xdr:cNvPr id="3" name="Chart 2"/>
        <xdr:cNvGraphicFramePr/>
      </xdr:nvGraphicFramePr>
      <xdr:xfrm>
        <a:off x="5852160" y="457200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43</xdr:row>
      <xdr:rowOff>130680</xdr:rowOff>
    </xdr:from>
    <xdr:to>
      <xdr:col>14</xdr:col>
      <xdr:colOff>399240</xdr:colOff>
      <xdr:row>60</xdr:row>
      <xdr:rowOff>131760</xdr:rowOff>
    </xdr:to>
    <xdr:graphicFrame>
      <xdr:nvGraphicFramePr>
        <xdr:cNvPr id="4" name="Chart 3"/>
        <xdr:cNvGraphicFramePr/>
      </xdr:nvGraphicFramePr>
      <xdr:xfrm>
        <a:off x="5852160" y="8381880"/>
        <a:ext cx="46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63</xdr:row>
      <xdr:rowOff>131040</xdr:rowOff>
    </xdr:from>
    <xdr:to>
      <xdr:col>18</xdr:col>
      <xdr:colOff>113040</xdr:colOff>
      <xdr:row>82</xdr:row>
      <xdr:rowOff>111240</xdr:rowOff>
    </xdr:to>
    <xdr:graphicFrame>
      <xdr:nvGraphicFramePr>
        <xdr:cNvPr id="5" name="Chart 4"/>
        <xdr:cNvGraphicFramePr/>
      </xdr:nvGraphicFramePr>
      <xdr:xfrm>
        <a:off x="5852160" y="12192120"/>
        <a:ext cx="683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131040</xdr:rowOff>
    </xdr:from>
    <xdr:to>
      <xdr:col>18</xdr:col>
      <xdr:colOff>113040</xdr:colOff>
      <xdr:row>20</xdr:row>
      <xdr:rowOff>132120</xdr:rowOff>
    </xdr:to>
    <xdr:graphicFrame>
      <xdr:nvGraphicFramePr>
        <xdr:cNvPr id="6" name="Chart 1"/>
        <xdr:cNvGraphicFramePr/>
      </xdr:nvGraphicFramePr>
      <xdr:xfrm>
        <a:off x="7307640" y="76212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130680</xdr:rowOff>
    </xdr:from>
    <xdr:to>
      <xdr:col>18</xdr:col>
      <xdr:colOff>113040</xdr:colOff>
      <xdr:row>40</xdr:row>
      <xdr:rowOff>132120</xdr:rowOff>
    </xdr:to>
    <xdr:graphicFrame>
      <xdr:nvGraphicFramePr>
        <xdr:cNvPr id="7" name="Chart 2"/>
        <xdr:cNvGraphicFramePr/>
      </xdr:nvGraphicFramePr>
      <xdr:xfrm>
        <a:off x="7307640" y="457200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43</xdr:row>
      <xdr:rowOff>130680</xdr:rowOff>
    </xdr:from>
    <xdr:to>
      <xdr:col>14</xdr:col>
      <xdr:colOff>39240</xdr:colOff>
      <xdr:row>60</xdr:row>
      <xdr:rowOff>131760</xdr:rowOff>
    </xdr:to>
    <xdr:graphicFrame>
      <xdr:nvGraphicFramePr>
        <xdr:cNvPr id="8" name="Chart 3"/>
        <xdr:cNvGraphicFramePr/>
      </xdr:nvGraphicFramePr>
      <xdr:xfrm>
        <a:off x="7307640" y="8381880"/>
        <a:ext cx="43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43</xdr:row>
      <xdr:rowOff>130680</xdr:rowOff>
    </xdr:from>
    <xdr:to>
      <xdr:col>18</xdr:col>
      <xdr:colOff>542160</xdr:colOff>
      <xdr:row>60</xdr:row>
      <xdr:rowOff>131760</xdr:rowOff>
    </xdr:to>
    <xdr:graphicFrame>
      <xdr:nvGraphicFramePr>
        <xdr:cNvPr id="9" name="Chart 4"/>
        <xdr:cNvGraphicFramePr/>
      </xdr:nvGraphicFramePr>
      <xdr:xfrm>
        <a:off x="10976760" y="8381880"/>
        <a:ext cx="35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5</xdr:row>
      <xdr:rowOff>130680</xdr:rowOff>
    </xdr:from>
    <xdr:to>
      <xdr:col>21</xdr:col>
      <xdr:colOff>113040</xdr:colOff>
      <xdr:row>22</xdr:row>
      <xdr:rowOff>131760</xdr:rowOff>
    </xdr:to>
    <xdr:graphicFrame>
      <xdr:nvGraphicFramePr>
        <xdr:cNvPr id="10" name="Chart 1"/>
        <xdr:cNvGraphicFramePr/>
      </xdr:nvGraphicFramePr>
      <xdr:xfrm>
        <a:off x="11418480" y="173340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25</xdr:row>
      <xdr:rowOff>131040</xdr:rowOff>
    </xdr:from>
    <xdr:to>
      <xdr:col>21</xdr:col>
      <xdr:colOff>113040</xdr:colOff>
      <xdr:row>46</xdr:row>
      <xdr:rowOff>90000</xdr:rowOff>
    </xdr:to>
    <xdr:graphicFrame>
      <xdr:nvGraphicFramePr>
        <xdr:cNvPr id="11" name="Chart 2"/>
        <xdr:cNvGraphicFramePr/>
      </xdr:nvGraphicFramePr>
      <xdr:xfrm>
        <a:off x="11418480" y="5543640"/>
        <a:ext cx="683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47</xdr:row>
      <xdr:rowOff>130680</xdr:rowOff>
    </xdr:from>
    <xdr:to>
      <xdr:col>21</xdr:col>
      <xdr:colOff>113040</xdr:colOff>
      <xdr:row>68</xdr:row>
      <xdr:rowOff>89640</xdr:rowOff>
    </xdr:to>
    <xdr:graphicFrame>
      <xdr:nvGraphicFramePr>
        <xdr:cNvPr id="12" name="Chart 3"/>
        <xdr:cNvGraphicFramePr/>
      </xdr:nvGraphicFramePr>
      <xdr:xfrm>
        <a:off x="11418480" y="9734400"/>
        <a:ext cx="6839640" cy="39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xdr:row>
      <xdr:rowOff>130680</xdr:rowOff>
    </xdr:from>
    <xdr:to>
      <xdr:col>17</xdr:col>
      <xdr:colOff>256320</xdr:colOff>
      <xdr:row>21</xdr:row>
      <xdr:rowOff>160560</xdr:rowOff>
    </xdr:to>
    <xdr:graphicFrame>
      <xdr:nvGraphicFramePr>
        <xdr:cNvPr id="13" name="Chart 1"/>
        <xdr:cNvGraphicFramePr/>
      </xdr:nvGraphicFramePr>
      <xdr:xfrm>
        <a:off x="7025760" y="1685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23</xdr:row>
      <xdr:rowOff>130680</xdr:rowOff>
    </xdr:from>
    <xdr:to>
      <xdr:col>17</xdr:col>
      <xdr:colOff>256320</xdr:colOff>
      <xdr:row>40</xdr:row>
      <xdr:rowOff>132120</xdr:rowOff>
    </xdr:to>
    <xdr:graphicFrame>
      <xdr:nvGraphicFramePr>
        <xdr:cNvPr id="14" name="Chart 2"/>
        <xdr:cNvGraphicFramePr/>
      </xdr:nvGraphicFramePr>
      <xdr:xfrm>
        <a:off x="7025760" y="527688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ADRPatientTable" displayName="ADRPatientTable" ref="A4:G524" headerRowCount="1" totalsRowCount="0" totalsRowShown="0">
  <autoFilter ref="A4:G524"/>
  <tableColumns count="7">
    <tableColumn id="1" name="PatientID"/>
    <tableColumn id="2" name="Medication"/>
    <tableColumn id="3" name="Medication_Start_Date"/>
    <tableColumn id="4" name="Symptom"/>
    <tableColumn id="5" name="Symptom_Onset_Date"/>
    <tableColumn id="6" name="Days_to_Onset"/>
    <tableColumn id="7" name="Severity"/>
  </tableColumns>
</table>
</file>

<file path=xl/tables/table2.xml><?xml version="1.0" encoding="utf-8"?>
<table xmlns="http://schemas.openxmlformats.org/spreadsheetml/2006/main" id="2" name="CleanedDataTable" displayName="CleanedDataTable" ref="A1:H231" headerRowCount="1" totalsRowCount="0" totalsRowShown="0">
  <autoFilter ref="A1:H231"/>
  <tableColumns count="8">
    <tableColumn id="1" name="PatientID"/>
    <tableColumn id="2" name="Name"/>
    <tableColumn id="3" name="Age"/>
    <tableColumn id="4" name="Gender"/>
    <tableColumn id="5" name="Disease"/>
    <tableColumn id="6" name="Medication"/>
    <tableColumn id="7" name="Dosage_mg"/>
    <tableColumn id="8" name="Admission_Date"/>
  </tableColumns>
</table>
</file>

<file path=xl/tables/table3.xml><?xml version="1.0" encoding="utf-8"?>
<table xmlns="http://schemas.openxmlformats.org/spreadsheetml/2006/main" id="3" name="DiseasePredictionTable" displayName="DiseasePredictionTable" ref="A4:N604" headerRowCount="1" totalsRowCount="0" totalsRowShown="0">
  <autoFilter ref="A4:N604"/>
  <tableColumns count="14">
    <tableColumn id="1" name="PatientID"/>
    <tableColumn id="2" name="Age"/>
    <tableColumn id="3" name="BMI"/>
    <tableColumn id="4" name="Blood_Pressure"/>
    <tableColumn id="5" name="Glucose_Level"/>
    <tableColumn id="6" name="Family_History_Num"/>
    <tableColumn id="7" name="Physical_Activity_Num"/>
    <tableColumn id="8" name="Diabetes_Num"/>
    <tableColumn id="9" name="Family_History"/>
    <tableColumn id="10" name="Physical_Activity"/>
    <tableColumn id="11" name="Diabetes_Diagnosis"/>
    <tableColumn id="12" name="Split"/>
    <tableColumn id="13" name="Predicted_Probability"/>
    <tableColumn id="14" name="Predicted_Diagnosis"/>
  </tableColumns>
</table>
</file>

<file path=xl/tables/table4.xml><?xml version="1.0" encoding="utf-8"?>
<table xmlns="http://schemas.openxmlformats.org/spreadsheetml/2006/main" id="4" name="PharmacySalesTable" displayName="PharmacySalesTable" ref="A4:H620" headerRowCount="1" totalsRowCount="0" totalsRowShown="0">
  <autoFilter ref="A4:H620"/>
  <tableColumns count="8">
    <tableColumn id="1" name="TransactionID"/>
    <tableColumn id="2" name="Sale_Date"/>
    <tableColumn id="3" name="Medicine"/>
    <tableColumn id="4" name="Brand_Type"/>
    <tableColumn id="5" name="Product_Name"/>
    <tableColumn id="6" name="Quantity_Sold"/>
    <tableColumn id="7" name="Unit_Price"/>
    <tableColumn id="8" name="Revenue"/>
  </tableColumns>
</table>
</file>

<file path=xl/tables/table5.xml><?xml version="1.0" encoding="utf-8"?>
<table xmlns="http://schemas.openxmlformats.org/spreadsheetml/2006/main" id="5" name="RawDataTable" displayName="RawDataTable" ref="A1:J251" headerRowCount="1" totalsRowCount="0" totalsRowShown="0">
  <autoFilter ref="A1:J251"/>
  <tableColumns count="10">
    <tableColumn id="1" name="PatientID"/>
    <tableColumn id="2" name="Name"/>
    <tableColumn id="3" name="Age"/>
    <tableColumn id="4" name="Gender"/>
    <tableColumn id="5" name="Disease"/>
    <tableColumn id="6" name="Medication"/>
    <tableColumn id="7" name="Dosage_mg"/>
    <tableColumn id="8" name="Admission_Date"/>
    <tableColumn id="9" name="RowKey (helper)"/>
    <tableColumn id="10" name="Duplicate_Fla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5" hidden="false" customHeight="true" outlineLevel="0" collapsed="false">
      <c r="B6" s="4" t="s">
        <v>3</v>
      </c>
    </row>
    <row r="8" customFormat="false" ht="15" hidden="false" customHeight="false" outlineLevel="0" collapsed="false">
      <c r="B8" s="3" t="s">
        <v>4</v>
      </c>
    </row>
    <row r="9" customFormat="false" ht="45" hidden="false" customHeight="true" outlineLevel="0" collapsed="false">
      <c r="B9" s="4" t="s">
        <v>5</v>
      </c>
    </row>
    <row r="11" customFormat="false" ht="15" hidden="false" customHeight="false" outlineLevel="0" collapsed="false">
      <c r="B11" s="3" t="s">
        <v>6</v>
      </c>
    </row>
    <row r="12" customFormat="false" ht="31.5" hidden="false" customHeight="true" outlineLevel="0" collapsed="false">
      <c r="B12" s="4" t="s">
        <v>7</v>
      </c>
    </row>
    <row r="13" customFormat="false" ht="31.5" hidden="false" customHeight="true" outlineLevel="0" collapsed="false">
      <c r="B13" s="4" t="s">
        <v>8</v>
      </c>
    </row>
    <row r="14" customFormat="false" ht="31.5" hidden="false" customHeight="true" outlineLevel="0" collapsed="false">
      <c r="B14" s="4" t="s">
        <v>9</v>
      </c>
    </row>
    <row r="15" customFormat="false" ht="31.5" hidden="false" customHeight="true" outlineLevel="0" collapsed="false">
      <c r="B15" s="4" t="s">
        <v>10</v>
      </c>
    </row>
    <row r="16" customFormat="false" ht="31.5" hidden="false" customHeight="true" outlineLevel="0" collapsed="false">
      <c r="B16" s="4" t="s">
        <v>11</v>
      </c>
    </row>
    <row r="18" customFormat="false" ht="15" hidden="false" customHeight="false" outlineLevel="0" collapsed="false">
      <c r="B18" s="3" t="s">
        <v>12</v>
      </c>
    </row>
    <row r="19" customFormat="false" ht="27.75" hidden="false" customHeight="true" outlineLevel="0" collapsed="false">
      <c r="B19" s="4" t="s">
        <v>13</v>
      </c>
    </row>
    <row r="20" customFormat="false" ht="27.75" hidden="false" customHeight="true" outlineLevel="0" collapsed="false">
      <c r="B20" s="4" t="s">
        <v>14</v>
      </c>
    </row>
    <row r="21" customFormat="false" ht="27.75" hidden="false" customHeight="true" outlineLevel="0" collapsed="false">
      <c r="B21" s="4" t="s">
        <v>15</v>
      </c>
    </row>
    <row r="22" customFormat="false" ht="27.75" hidden="false" customHeight="true" outlineLevel="0" collapsed="false">
      <c r="B22" s="4" t="s">
        <v>16</v>
      </c>
    </row>
    <row r="23" customFormat="false" ht="27.75" hidden="false" customHeight="true" outlineLevel="0" collapsed="false">
      <c r="B23" s="4" t="s">
        <v>17</v>
      </c>
    </row>
    <row r="24" customFormat="false" ht="27.75" hidden="false" customHeight="true" outlineLevel="0" collapsed="false">
      <c r="B24" s="4" t="s">
        <v>18</v>
      </c>
    </row>
    <row r="25" customFormat="false" ht="27.75" hidden="false" customHeight="true" outlineLevel="0" collapsed="false">
      <c r="B25" s="4" t="s">
        <v>19</v>
      </c>
    </row>
    <row r="27" customFormat="false" ht="15" hidden="false" customHeight="false" outlineLevel="0" collapsed="false">
      <c r="B27" s="3" t="s">
        <v>20</v>
      </c>
    </row>
    <row r="28" customFormat="false" ht="45" hidden="false" customHeight="true" outlineLevel="0" collapsed="false">
      <c r="B28" s="4" t="s">
        <v>21</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4" min="3" style="0" width="20"/>
    <col collapsed="false" customWidth="true" hidden="false" outlineLevel="0" max="5" min="5" style="0" width="42"/>
    <col collapsed="false" customWidth="true" hidden="false" outlineLevel="0" max="6" min="6" style="0" width="20"/>
  </cols>
  <sheetData>
    <row r="2" customFormat="false" ht="19.7" hidden="false" customHeight="false" outlineLevel="0" collapsed="false">
      <c r="B2" s="1" t="s">
        <v>22</v>
      </c>
    </row>
    <row r="3" customFormat="false" ht="15" hidden="false" customHeight="false" outlineLevel="0" collapsed="false">
      <c r="B3" s="2" t="s">
        <v>23</v>
      </c>
    </row>
    <row r="5" customFormat="false" ht="15" hidden="false" customHeight="false" outlineLevel="0" collapsed="false">
      <c r="B5" s="5" t="s">
        <v>24</v>
      </c>
      <c r="C5" s="5" t="s">
        <v>25</v>
      </c>
      <c r="D5" s="5" t="s">
        <v>26</v>
      </c>
      <c r="E5" s="5" t="s">
        <v>27</v>
      </c>
      <c r="F5" s="5" t="s">
        <v>28</v>
      </c>
    </row>
    <row r="6" customFormat="false" ht="25.5" hidden="false" customHeight="true" outlineLevel="0" collapsed="false">
      <c r="B6" s="6" t="s">
        <v>29</v>
      </c>
      <c r="C6" s="7" t="s">
        <v>30</v>
      </c>
      <c r="D6" s="7" t="s">
        <v>31</v>
      </c>
      <c r="E6" s="7" t="s">
        <v>32</v>
      </c>
      <c r="F6" s="7" t="s">
        <v>33</v>
      </c>
    </row>
    <row r="7" customFormat="false" ht="25.5" hidden="false" customHeight="true" outlineLevel="0" collapsed="false">
      <c r="B7" s="6" t="s">
        <v>34</v>
      </c>
      <c r="C7" s="7" t="s">
        <v>35</v>
      </c>
      <c r="D7" s="7" t="s">
        <v>36</v>
      </c>
      <c r="E7" s="7" t="s">
        <v>37</v>
      </c>
      <c r="F7" s="7" t="s">
        <v>38</v>
      </c>
    </row>
    <row r="8" customFormat="false" ht="25.5" hidden="false" customHeight="true" outlineLevel="0" collapsed="false">
      <c r="B8" s="6" t="s">
        <v>39</v>
      </c>
      <c r="C8" s="7" t="s">
        <v>40</v>
      </c>
      <c r="D8" s="7" t="s">
        <v>41</v>
      </c>
      <c r="E8" s="7" t="s">
        <v>42</v>
      </c>
      <c r="F8" s="7" t="s">
        <v>43</v>
      </c>
    </row>
    <row r="9" customFormat="false" ht="25.5" hidden="false" customHeight="true" outlineLevel="0" collapsed="false">
      <c r="B9" s="6" t="s">
        <v>44</v>
      </c>
      <c r="C9" s="7" t="s">
        <v>35</v>
      </c>
      <c r="D9" s="7" t="s">
        <v>36</v>
      </c>
      <c r="E9" s="7" t="s">
        <v>45</v>
      </c>
      <c r="F9" s="7" t="s">
        <v>46</v>
      </c>
    </row>
    <row r="10" customFormat="false" ht="25.5" hidden="false" customHeight="true" outlineLevel="0" collapsed="false">
      <c r="B10" s="6" t="s">
        <v>47</v>
      </c>
      <c r="C10" s="7" t="s">
        <v>35</v>
      </c>
      <c r="D10" s="7" t="s">
        <v>36</v>
      </c>
      <c r="E10" s="7" t="s">
        <v>48</v>
      </c>
      <c r="F10" s="7" t="s">
        <v>49</v>
      </c>
    </row>
    <row r="11" customFormat="false" ht="25.5" hidden="false" customHeight="true" outlineLevel="0" collapsed="false">
      <c r="B11" s="6" t="s">
        <v>50</v>
      </c>
      <c r="C11" s="7" t="s">
        <v>35</v>
      </c>
      <c r="D11" s="7" t="s">
        <v>36</v>
      </c>
      <c r="E11" s="7" t="s">
        <v>51</v>
      </c>
      <c r="F11" s="7" t="s">
        <v>52</v>
      </c>
    </row>
    <row r="12" customFormat="false" ht="25.5" hidden="false" customHeight="true" outlineLevel="0" collapsed="false">
      <c r="B12" s="6" t="s">
        <v>53</v>
      </c>
      <c r="C12" s="7" t="s">
        <v>54</v>
      </c>
      <c r="D12" s="7" t="s">
        <v>55</v>
      </c>
      <c r="E12" s="7" t="s">
        <v>56</v>
      </c>
      <c r="F12" s="7" t="s">
        <v>57</v>
      </c>
    </row>
    <row r="13" customFormat="false" ht="25.5" hidden="false" customHeight="true" outlineLevel="0" collapsed="false">
      <c r="B13" s="6" t="s">
        <v>58</v>
      </c>
      <c r="C13" s="7" t="s">
        <v>59</v>
      </c>
      <c r="D13" s="7" t="s">
        <v>60</v>
      </c>
      <c r="E13" s="7" t="s">
        <v>61</v>
      </c>
      <c r="F13" s="7" t="s">
        <v>62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7"/>
    <col collapsed="false" customWidth="true" hidden="false" outlineLevel="0" max="4" min="4" style="0" width="10"/>
    <col collapsed="false" customWidth="true" hidden="false" outlineLevel="0" max="6" min="5" style="0" width="16"/>
    <col collapsed="false" customWidth="true" hidden="false" outlineLevel="0" max="7" min="7" style="0" width="11"/>
    <col collapsed="false" customWidth="true" hidden="false" outlineLevel="0" max="8" min="8" style="0" width="15"/>
    <col collapsed="false" customWidth="true" hidden="false" outlineLevel="0" max="9" min="9" style="0" width="40"/>
    <col collapsed="false" customWidth="true" hidden="false" outlineLevel="0" max="10" min="10" style="0" width="14"/>
  </cols>
  <sheetData>
    <row r="1" customFormat="false" ht="15" hidden="false" customHeight="false" outlineLevel="0" collapsed="false">
      <c r="A1" s="5" t="s">
        <v>29</v>
      </c>
      <c r="B1" s="5" t="s">
        <v>34</v>
      </c>
      <c r="C1" s="5" t="s">
        <v>39</v>
      </c>
      <c r="D1" s="5" t="s">
        <v>44</v>
      </c>
      <c r="E1" s="5" t="s">
        <v>47</v>
      </c>
      <c r="F1" s="5" t="s">
        <v>50</v>
      </c>
      <c r="G1" s="5" t="s">
        <v>53</v>
      </c>
      <c r="H1" s="5" t="s">
        <v>58</v>
      </c>
      <c r="I1" s="5" t="s">
        <v>63</v>
      </c>
      <c r="J1" s="5" t="s">
        <v>64</v>
      </c>
    </row>
    <row r="2" customFormat="false" ht="15" hidden="false" customHeight="false" outlineLevel="0" collapsed="false">
      <c r="A2" s="8" t="s">
        <v>65</v>
      </c>
      <c r="B2" s="8" t="s">
        <v>66</v>
      </c>
      <c r="C2" s="9" t="n">
        <v>58</v>
      </c>
      <c r="D2" s="8" t="s">
        <v>67</v>
      </c>
      <c r="E2" s="8" t="s">
        <v>68</v>
      </c>
      <c r="F2" s="8" t="s">
        <v>69</v>
      </c>
      <c r="G2" s="9" t="n">
        <v>320</v>
      </c>
      <c r="H2" s="10" t="n">
        <v>45731</v>
      </c>
      <c r="I2" s="8" t="str">
        <f aca="false">A2&amp;"|"&amp;B2&amp;"|"&amp;C2&amp;"|"&amp;D2&amp;"|"&amp;E2&amp;"|"&amp;F2&amp;"|"&amp;G2&amp;"|"&amp;H2</f>
        <v>PT0137|Rohit Nair|58|M|Arthritis|Ibuprofen|320|45731</v>
      </c>
      <c r="J2" s="8" t="str">
        <f aca="false">IF(COUNTIF($I$2:I2,I2)&gt;1,"Duplicate","Unique")</f>
        <v>Unique</v>
      </c>
    </row>
    <row r="3" customFormat="false" ht="15" hidden="false" customHeight="false" outlineLevel="0" collapsed="false">
      <c r="A3" s="8" t="s">
        <v>70</v>
      </c>
      <c r="B3" s="8" t="s">
        <v>71</v>
      </c>
      <c r="C3" s="9" t="n">
        <v>55</v>
      </c>
      <c r="D3" s="8" t="s">
        <v>46</v>
      </c>
      <c r="E3" s="8" t="s">
        <v>72</v>
      </c>
      <c r="F3" s="8" t="s">
        <v>73</v>
      </c>
      <c r="G3" s="9" t="n">
        <v>755</v>
      </c>
      <c r="H3" s="10" t="n">
        <v>45596</v>
      </c>
      <c r="I3" s="8" t="str">
        <f aca="false">A3&amp;"|"&amp;B3&amp;"|"&amp;C3&amp;"|"&amp;D3&amp;"|"&amp;E3&amp;"|"&amp;F3&amp;"|"&amp;G3&amp;"|"&amp;H3</f>
        <v>PT0035|Alok Mishra|55|Male|Diabetes| Metformin |755|45596</v>
      </c>
      <c r="J3" s="8" t="str">
        <f aca="false">IF(COUNTIF($I$2:I3,I3)&gt;1,"Duplicate","Unique")</f>
        <v>Unique</v>
      </c>
    </row>
    <row r="4" customFormat="false" ht="15" hidden="false" customHeight="false" outlineLevel="0" collapsed="false">
      <c r="A4" s="8" t="s">
        <v>74</v>
      </c>
      <c r="B4" s="8" t="s">
        <v>75</v>
      </c>
      <c r="C4" s="9" t="n">
        <v>50</v>
      </c>
      <c r="D4" s="8" t="s">
        <v>76</v>
      </c>
      <c r="E4" s="8" t="s">
        <v>77</v>
      </c>
      <c r="F4" s="8" t="s">
        <v>78</v>
      </c>
      <c r="G4" s="9" t="n">
        <v>75</v>
      </c>
      <c r="H4" s="10" t="n">
        <v>45690</v>
      </c>
      <c r="I4" s="8" t="str">
        <f aca="false">A4&amp;"|"&amp;B4&amp;"|"&amp;C4&amp;"|"&amp;D4&amp;"|"&amp;E4&amp;"|"&amp;F4&amp;"|"&amp;G4&amp;"|"&amp;H4</f>
        <v>PT0214|Vinod Chauhan|50| Male| Depression |SERTRALINE|75|45690</v>
      </c>
      <c r="J4" s="8" t="str">
        <f aca="false">IF(COUNTIF($I$2:I4,I4)&gt;1,"Duplicate","Unique")</f>
        <v>Unique</v>
      </c>
    </row>
    <row r="5" customFormat="false" ht="15" hidden="false" customHeight="false" outlineLevel="0" collapsed="false">
      <c r="A5" s="8" t="s">
        <v>79</v>
      </c>
      <c r="B5" s="8" t="s">
        <v>80</v>
      </c>
      <c r="C5" s="9" t="n">
        <v>58</v>
      </c>
      <c r="D5" s="8" t="s">
        <v>81</v>
      </c>
      <c r="E5" s="8" t="s">
        <v>82</v>
      </c>
      <c r="F5" s="8"/>
      <c r="G5" s="9" t="n">
        <v>765</v>
      </c>
      <c r="H5" s="10" t="n">
        <v>45794</v>
      </c>
      <c r="I5" s="8" t="str">
        <f aca="false">A5&amp;"|"&amp;B5&amp;"|"&amp;C5&amp;"|"&amp;D5&amp;"|"&amp;E5&amp;"|"&amp;F5&amp;"|"&amp;G5&amp;"|"&amp;H5</f>
        <v>PT0088|Payal Shukla|58|female|Diabetes  ||765|45794</v>
      </c>
      <c r="J5" s="8" t="str">
        <f aca="false">IF(COUNTIF($I$2:I5,I5)&gt;1,"Duplicate","Unique")</f>
        <v>Unique</v>
      </c>
    </row>
    <row r="6" customFormat="false" ht="15" hidden="false" customHeight="false" outlineLevel="0" collapsed="false">
      <c r="A6" s="8" t="s">
        <v>83</v>
      </c>
      <c r="B6" s="8" t="s">
        <v>84</v>
      </c>
      <c r="C6" s="9" t="n">
        <v>39</v>
      </c>
      <c r="D6" s="8" t="s">
        <v>85</v>
      </c>
      <c r="E6" s="8" t="s">
        <v>86</v>
      </c>
      <c r="F6" s="8" t="s">
        <v>87</v>
      </c>
      <c r="G6" s="9" t="n">
        <v>550</v>
      </c>
      <c r="H6" s="10" t="n">
        <v>45697</v>
      </c>
      <c r="I6" s="8" t="str">
        <f aca="false">A6&amp;"|"&amp;B6&amp;"|"&amp;C6&amp;"|"&amp;D6&amp;"|"&amp;E6&amp;"|"&amp;F6&amp;"|"&amp;G6&amp;"|"&amp;H6</f>
        <v>PT0198|Sanjay Shukla|39|MALE| Flu |Paracetamol  |550|45697</v>
      </c>
      <c r="J6" s="8" t="str">
        <f aca="false">IF(COUNTIF($I$2:I6,I6)&gt;1,"Duplicate","Unique")</f>
        <v>Unique</v>
      </c>
    </row>
    <row r="7" customFormat="false" ht="15" hidden="false" customHeight="false" outlineLevel="0" collapsed="false">
      <c r="A7" s="8" t="s">
        <v>88</v>
      </c>
      <c r="B7" s="8" t="s">
        <v>89</v>
      </c>
      <c r="C7" s="9" t="n">
        <v>55</v>
      </c>
      <c r="D7" s="8" t="s">
        <v>90</v>
      </c>
      <c r="E7" s="8" t="s">
        <v>91</v>
      </c>
      <c r="F7" s="8" t="s">
        <v>92</v>
      </c>
      <c r="G7" s="9" t="n">
        <v>820</v>
      </c>
      <c r="H7" s="10" t="n">
        <v>46152</v>
      </c>
      <c r="I7" s="8" t="str">
        <f aca="false">A7&amp;"|"&amp;B7&amp;"|"&amp;C7&amp;"|"&amp;D7&amp;"|"&amp;E7&amp;"|"&amp;F7&amp;"|"&amp;G7&amp;"|"&amp;H7</f>
        <v>PT0002|Priya Gupta|55|Female| Diabetes |metformin|820|46152</v>
      </c>
      <c r="J7" s="8" t="str">
        <f aca="false">IF(COUNTIF($I$2:I7,I7)&gt;1,"Duplicate","Unique")</f>
        <v>Unique</v>
      </c>
    </row>
    <row r="8" customFormat="false" ht="15" hidden="false" customHeight="false" outlineLevel="0" collapsed="false">
      <c r="A8" s="8" t="s">
        <v>93</v>
      </c>
      <c r="B8" s="8" t="s">
        <v>94</v>
      </c>
      <c r="C8" s="9" t="n">
        <v>74</v>
      </c>
      <c r="D8" s="8" t="s">
        <v>95</v>
      </c>
      <c r="E8" s="8" t="s">
        <v>96</v>
      </c>
      <c r="F8" s="8" t="s">
        <v>97</v>
      </c>
      <c r="G8" s="9" t="n">
        <v>10</v>
      </c>
      <c r="H8" s="10" t="n">
        <v>46258</v>
      </c>
      <c r="I8" s="8" t="str">
        <f aca="false">A8&amp;"|"&amp;B8&amp;"|"&amp;C8&amp;"|"&amp;D8&amp;"|"&amp;E8&amp;"|"&amp;F8&amp;"|"&amp;G8&amp;"|"&amp;H8</f>
        <v>PT0142|Ritu Pandey|74|F|HYPERTENSION|amlodipine|10|46258</v>
      </c>
      <c r="J8" s="8" t="str">
        <f aca="false">IF(COUNTIF($I$2:I8,I8)&gt;1,"Duplicate","Unique")</f>
        <v>Unique</v>
      </c>
    </row>
    <row r="9" customFormat="false" ht="15" hidden="false" customHeight="false" outlineLevel="0" collapsed="false">
      <c r="A9" s="8" t="s">
        <v>98</v>
      </c>
      <c r="B9" s="8" t="s">
        <v>99</v>
      </c>
      <c r="C9" s="9" t="n">
        <v>45</v>
      </c>
      <c r="D9" s="8"/>
      <c r="E9" s="8" t="s">
        <v>100</v>
      </c>
      <c r="F9" s="8" t="s">
        <v>101</v>
      </c>
      <c r="G9" s="9" t="n">
        <v>10</v>
      </c>
      <c r="H9" s="10" t="n">
        <v>45565</v>
      </c>
      <c r="I9" s="8" t="str">
        <f aca="false">A9&amp;"|"&amp;B9&amp;"|"&amp;C9&amp;"|"&amp;D9&amp;"|"&amp;E9&amp;"|"&amp;F9&amp;"|"&amp;G9&amp;"|"&amp;H9</f>
        <v>PT0150|Suresh Joshi|45||hypertension|AMLODIPINE|10|45565</v>
      </c>
      <c r="J9" s="8" t="str">
        <f aca="false">IF(COUNTIF($I$2:I9,I9)&gt;1,"Duplicate","Unique")</f>
        <v>Unique</v>
      </c>
    </row>
    <row r="10" customFormat="false" ht="15" hidden="false" customHeight="false" outlineLevel="0" collapsed="false">
      <c r="A10" s="8" t="s">
        <v>102</v>
      </c>
      <c r="B10" s="8" t="s">
        <v>103</v>
      </c>
      <c r="C10" s="9" t="n">
        <v>23</v>
      </c>
      <c r="D10" s="8" t="s">
        <v>104</v>
      </c>
      <c r="E10" s="8" t="s">
        <v>105</v>
      </c>
      <c r="F10" s="8" t="s">
        <v>106</v>
      </c>
      <c r="G10" s="9" t="n">
        <v>185</v>
      </c>
      <c r="H10" s="10" t="n">
        <v>45791</v>
      </c>
      <c r="I10" s="8" t="str">
        <f aca="false">A10&amp;"|"&amp;B10&amp;"|"&amp;C10&amp;"|"&amp;D10&amp;"|"&amp;E10&amp;"|"&amp;F10&amp;"|"&amp;G10&amp;"|"&amp;H10</f>
        <v>PT0074|Sarita Reddy|23| Female| Asthma |SALBUTAMOL|185|45791</v>
      </c>
      <c r="J10" s="8" t="str">
        <f aca="false">IF(COUNTIF($I$2:I10,I10)&gt;1,"Duplicate","Unique")</f>
        <v>Unique</v>
      </c>
    </row>
    <row r="11" customFormat="false" ht="15" hidden="false" customHeight="false" outlineLevel="0" collapsed="false">
      <c r="A11" s="8" t="s">
        <v>107</v>
      </c>
      <c r="B11" s="8" t="s">
        <v>108</v>
      </c>
      <c r="C11" s="9" t="n">
        <v>59</v>
      </c>
      <c r="D11" s="8" t="s">
        <v>109</v>
      </c>
      <c r="E11" s="8" t="s">
        <v>100</v>
      </c>
      <c r="F11" s="8" t="s">
        <v>110</v>
      </c>
      <c r="G11" s="9" t="n">
        <v>5</v>
      </c>
      <c r="H11" s="10" t="n">
        <v>45891</v>
      </c>
      <c r="I11" s="8" t="str">
        <f aca="false">A11&amp;"|"&amp;B11&amp;"|"&amp;C11&amp;"|"&amp;D11&amp;"|"&amp;E11&amp;"|"&amp;F11&amp;"|"&amp;G11&amp;"|"&amp;H11</f>
        <v>PT0095|Preeti Agarwal|59|f|hypertension| Amlodipine |5|45891</v>
      </c>
      <c r="J11" s="8" t="str">
        <f aca="false">IF(COUNTIF($I$2:I11,I11)&gt;1,"Duplicate","Unique")</f>
        <v>Unique</v>
      </c>
    </row>
    <row r="12" customFormat="false" ht="15" hidden="false" customHeight="false" outlineLevel="0" collapsed="false">
      <c r="A12" s="8" t="s">
        <v>111</v>
      </c>
      <c r="B12" s="8" t="s">
        <v>112</v>
      </c>
      <c r="C12" s="9" t="n">
        <v>48</v>
      </c>
      <c r="D12" s="8" t="s">
        <v>113</v>
      </c>
      <c r="E12" s="8" t="s">
        <v>114</v>
      </c>
      <c r="F12" s="8" t="s">
        <v>115</v>
      </c>
      <c r="G12" s="9" t="n">
        <v>265</v>
      </c>
      <c r="H12" s="10" t="n">
        <v>45770</v>
      </c>
      <c r="I12" s="8" t="str">
        <f aca="false">A12&amp;"|"&amp;B12&amp;"|"&amp;C12&amp;"|"&amp;D12&amp;"|"&amp;E12&amp;"|"&amp;F12&amp;"|"&amp;G12&amp;"|"&amp;H12</f>
        <v>PT0011|Gopal Rao|48|male|bronchitis|Azithromycin|265|45770</v>
      </c>
      <c r="J12" s="8" t="str">
        <f aca="false">IF(COUNTIF($I$2:I12,I12)&gt;1,"Duplicate","Unique")</f>
        <v>Unique</v>
      </c>
    </row>
    <row r="13" customFormat="false" ht="15" hidden="false" customHeight="false" outlineLevel="0" collapsed="false">
      <c r="A13" s="8" t="s">
        <v>116</v>
      </c>
      <c r="B13" s="8" t="s">
        <v>117</v>
      </c>
      <c r="C13" s="9" t="n">
        <v>57</v>
      </c>
      <c r="D13" s="8" t="s">
        <v>46</v>
      </c>
      <c r="E13" s="8"/>
      <c r="F13" s="8" t="s">
        <v>118</v>
      </c>
      <c r="G13" s="9"/>
      <c r="H13" s="10" t="n">
        <v>45584</v>
      </c>
      <c r="I13" s="8" t="str">
        <f aca="false">A13&amp;"|"&amp;B13&amp;"|"&amp;C13&amp;"|"&amp;D13&amp;"|"&amp;E13&amp;"|"&amp;F13&amp;"|"&amp;G13&amp;"|"&amp;H13</f>
        <v>PT0015|Arjun Rathore|57|Male||salbutamol||45584</v>
      </c>
      <c r="J13" s="8" t="str">
        <f aca="false">IF(COUNTIF($I$2:I13,I13)&gt;1,"Duplicate","Unique")</f>
        <v>Unique</v>
      </c>
    </row>
    <row r="14" customFormat="false" ht="15" hidden="false" customHeight="false" outlineLevel="0" collapsed="false">
      <c r="A14" s="8" t="s">
        <v>119</v>
      </c>
      <c r="B14" s="8" t="s">
        <v>120</v>
      </c>
      <c r="C14" s="9" t="n">
        <v>69</v>
      </c>
      <c r="D14" s="8" t="s">
        <v>121</v>
      </c>
      <c r="E14" s="8" t="s">
        <v>122</v>
      </c>
      <c r="F14" s="8" t="s">
        <v>52</v>
      </c>
      <c r="G14" s="9" t="n">
        <v>10</v>
      </c>
      <c r="H14" s="10" t="n">
        <v>45947</v>
      </c>
      <c r="I14" s="8" t="str">
        <f aca="false">A14&amp;"|"&amp;B14&amp;"|"&amp;C14&amp;"|"&amp;D14&amp;"|"&amp;E14&amp;"|"&amp;F14&amp;"|"&amp;G14&amp;"|"&amp;H14</f>
        <v>PT0182|Lata Sharma|69|FEMALE| Hypertension |Amlodipine|10|45947</v>
      </c>
      <c r="J14" s="8" t="str">
        <f aca="false">IF(COUNTIF($I$2:I14,I14)&gt;1,"Duplicate","Unique")</f>
        <v>Unique</v>
      </c>
    </row>
    <row r="15" customFormat="false" ht="15" hidden="false" customHeight="false" outlineLevel="0" collapsed="false">
      <c r="A15" s="8" t="s">
        <v>123</v>
      </c>
      <c r="B15" s="8" t="s">
        <v>124</v>
      </c>
      <c r="C15" s="9" t="n">
        <v>60</v>
      </c>
      <c r="D15" s="8" t="s">
        <v>81</v>
      </c>
      <c r="E15" s="8" t="s">
        <v>125</v>
      </c>
      <c r="F15" s="8" t="s">
        <v>126</v>
      </c>
      <c r="G15" s="9" t="n">
        <v>585</v>
      </c>
      <c r="H15" s="10" t="n">
        <v>45797</v>
      </c>
      <c r="I15" s="8" t="str">
        <f aca="false">A15&amp;"|"&amp;B15&amp;"|"&amp;C15&amp;"|"&amp;D15&amp;"|"&amp;E15&amp;"|"&amp;F15&amp;"|"&amp;G15&amp;"|"&amp;H15</f>
        <v>PT0203|Usha Verma|60|female|diabetes|Metformin  |585|45797</v>
      </c>
      <c r="J15" s="8" t="str">
        <f aca="false">IF(COUNTIF($I$2:I15,I15)&gt;1,"Duplicate","Unique")</f>
        <v>Unique</v>
      </c>
    </row>
    <row r="16" customFormat="false" ht="15" hidden="false" customHeight="false" outlineLevel="0" collapsed="false">
      <c r="A16" s="8" t="s">
        <v>127</v>
      </c>
      <c r="B16" s="8" t="s">
        <v>128</v>
      </c>
      <c r="C16" s="9" t="n">
        <v>56</v>
      </c>
      <c r="D16" s="8" t="s">
        <v>113</v>
      </c>
      <c r="E16" s="8" t="s">
        <v>100</v>
      </c>
      <c r="F16" s="8" t="s">
        <v>52</v>
      </c>
      <c r="G16" s="9" t="n">
        <v>10</v>
      </c>
      <c r="H16" s="10" t="n">
        <v>45647</v>
      </c>
      <c r="I16" s="8" t="str">
        <f aca="false">A16&amp;"|"&amp;B16&amp;"|"&amp;C16&amp;"|"&amp;D16&amp;"|"&amp;E16&amp;"|"&amp;F16&amp;"|"&amp;G16&amp;"|"&amp;H16</f>
        <v>PT0032|Gopal Singh|56|male|hypertension|Amlodipine|10|45647</v>
      </c>
      <c r="J16" s="8" t="str">
        <f aca="false">IF(COUNTIF($I$2:I16,I16)&gt;1,"Duplicate","Unique")</f>
        <v>Unique</v>
      </c>
    </row>
    <row r="17" customFormat="false" ht="15" hidden="false" customHeight="false" outlineLevel="0" collapsed="false">
      <c r="A17" s="8" t="s">
        <v>129</v>
      </c>
      <c r="B17" s="8" t="s">
        <v>130</v>
      </c>
      <c r="C17" s="9" t="n">
        <v>40</v>
      </c>
      <c r="D17" s="8" t="s">
        <v>131</v>
      </c>
      <c r="E17" s="8" t="s">
        <v>96</v>
      </c>
      <c r="F17" s="8"/>
      <c r="G17" s="9" t="n">
        <v>10</v>
      </c>
      <c r="H17" s="10"/>
      <c r="I17" s="8" t="str">
        <f aca="false">A17&amp;"|"&amp;B17&amp;"|"&amp;C17&amp;"|"&amp;D17&amp;"|"&amp;E17&amp;"|"&amp;F17&amp;"|"&amp;G17&amp;"|"&amp;H17</f>
        <v>PT0151|Swati Verma|40|Female |HYPERTENSION||10|</v>
      </c>
      <c r="J17" s="8" t="str">
        <f aca="false">IF(COUNTIF($I$2:I17,I17)&gt;1,"Duplicate","Unique")</f>
        <v>Unique</v>
      </c>
    </row>
    <row r="18" customFormat="false" ht="15" hidden="false" customHeight="false" outlineLevel="0" collapsed="false">
      <c r="A18" s="8" t="s">
        <v>132</v>
      </c>
      <c r="B18" s="8" t="s">
        <v>133</v>
      </c>
      <c r="C18" s="9" t="n">
        <v>37</v>
      </c>
      <c r="D18" s="8" t="s">
        <v>46</v>
      </c>
      <c r="E18" s="8" t="s">
        <v>134</v>
      </c>
      <c r="F18" s="8" t="s">
        <v>135</v>
      </c>
      <c r="G18" s="9" t="n">
        <v>75</v>
      </c>
      <c r="H18" s="10" t="n">
        <v>45631</v>
      </c>
      <c r="I18" s="8" t="str">
        <f aca="false">A18&amp;"|"&amp;B18&amp;"|"&amp;C18&amp;"|"&amp;D18&amp;"|"&amp;E18&amp;"|"&amp;F18&amp;"|"&amp;G18&amp;"|"&amp;H18</f>
        <v>PT0069|Karan Kumar|37|Male| Migraine |Sumatriptan  |75|45631</v>
      </c>
      <c r="J18" s="8" t="str">
        <f aca="false">IF(COUNTIF($I$2:I18,I18)&gt;1,"Duplicate","Unique")</f>
        <v>Unique</v>
      </c>
    </row>
    <row r="19" customFormat="false" ht="15" hidden="false" customHeight="false" outlineLevel="0" collapsed="false">
      <c r="A19" s="8" t="s">
        <v>136</v>
      </c>
      <c r="B19" s="8" t="s">
        <v>137</v>
      </c>
      <c r="C19" s="9" t="n">
        <v>43</v>
      </c>
      <c r="D19" s="8" t="s">
        <v>85</v>
      </c>
      <c r="E19" s="8" t="s">
        <v>138</v>
      </c>
      <c r="F19" s="8" t="s">
        <v>139</v>
      </c>
      <c r="G19" s="9" t="n">
        <v>75</v>
      </c>
      <c r="H19" s="10" t="n">
        <v>45638</v>
      </c>
      <c r="I19" s="8" t="str">
        <f aca="false">A19&amp;"|"&amp;B19&amp;"|"&amp;C19&amp;"|"&amp;D19&amp;"|"&amp;E19&amp;"|"&amp;F19&amp;"|"&amp;G19&amp;"|"&amp;H19</f>
        <v>PT0144|Ramesh Reddy|43|MALE|THYROID DISORDER| Levothyroxine |75|45638</v>
      </c>
      <c r="J19" s="8" t="str">
        <f aca="false">IF(COUNTIF($I$2:I19,I19)&gt;1,"Duplicate","Unique")</f>
        <v>Unique</v>
      </c>
    </row>
    <row r="20" customFormat="false" ht="15" hidden="false" customHeight="false" outlineLevel="0" collapsed="false">
      <c r="A20" s="8" t="s">
        <v>140</v>
      </c>
      <c r="B20" s="8" t="s">
        <v>141</v>
      </c>
      <c r="C20" s="9" t="n">
        <v>59</v>
      </c>
      <c r="D20" s="8" t="s">
        <v>121</v>
      </c>
      <c r="E20" s="8" t="s">
        <v>91</v>
      </c>
      <c r="F20" s="8" t="s">
        <v>126</v>
      </c>
      <c r="G20" s="9" t="n">
        <v>970</v>
      </c>
      <c r="H20" s="10" t="n">
        <v>46031</v>
      </c>
      <c r="I20" s="8" t="str">
        <f aca="false">A20&amp;"|"&amp;B20&amp;"|"&amp;C20&amp;"|"&amp;D20&amp;"|"&amp;E20&amp;"|"&amp;F20&amp;"|"&amp;G20&amp;"|"&amp;H20</f>
        <v>PT0108|Divya Kumar|59|FEMALE| Diabetes |Metformin  |970|46031</v>
      </c>
      <c r="J20" s="8" t="str">
        <f aca="false">IF(COUNTIF($I$2:I20,I20)&gt;1,"Duplicate","Unique")</f>
        <v>Unique</v>
      </c>
    </row>
    <row r="21" customFormat="false" ht="15" hidden="false" customHeight="false" outlineLevel="0" collapsed="false">
      <c r="A21" s="8" t="s">
        <v>142</v>
      </c>
      <c r="B21" s="8" t="s">
        <v>143</v>
      </c>
      <c r="C21" s="9" t="n">
        <v>31</v>
      </c>
      <c r="D21" s="8" t="s">
        <v>81</v>
      </c>
      <c r="E21" s="8" t="s">
        <v>144</v>
      </c>
      <c r="F21" s="8" t="s">
        <v>145</v>
      </c>
      <c r="G21" s="9" t="n">
        <v>75</v>
      </c>
      <c r="H21" s="10" t="n">
        <v>46155</v>
      </c>
      <c r="I21" s="8" t="str">
        <f aca="false">A21&amp;"|"&amp;B21&amp;"|"&amp;C21&amp;"|"&amp;D21&amp;"|"&amp;E21&amp;"|"&amp;F21&amp;"|"&amp;G21&amp;"|"&amp;H21</f>
        <v>PT0218|Swati Choudhary|31|female|MIGRAINE|Sumatriptan|75|46155</v>
      </c>
      <c r="J21" s="8" t="str">
        <f aca="false">IF(COUNTIF($I$2:I21,I21)&gt;1,"Duplicate","Unique")</f>
        <v>Unique</v>
      </c>
    </row>
    <row r="22" customFormat="false" ht="15" hidden="false" customHeight="false" outlineLevel="0" collapsed="false">
      <c r="A22" s="8" t="s">
        <v>146</v>
      </c>
      <c r="B22" s="8" t="s">
        <v>147</v>
      </c>
      <c r="C22" s="9" t="n">
        <v>52</v>
      </c>
      <c r="D22" s="8" t="s">
        <v>121</v>
      </c>
      <c r="E22" s="8" t="s">
        <v>148</v>
      </c>
      <c r="F22" s="8" t="s">
        <v>149</v>
      </c>
      <c r="G22" s="9" t="n">
        <v>80</v>
      </c>
      <c r="H22" s="10" t="n">
        <v>46079</v>
      </c>
      <c r="I22" s="8" t="str">
        <f aca="false">A22&amp;"|"&amp;B22&amp;"|"&amp;C22&amp;"|"&amp;D22&amp;"|"&amp;E22&amp;"|"&amp;F22&amp;"|"&amp;G22&amp;"|"&amp;H22</f>
        <v>PT0162|Pooja Rao|52|FEMALE|Depression| Sertraline |80|46079</v>
      </c>
      <c r="J22" s="8" t="str">
        <f aca="false">IF(COUNTIF($I$2:I22,I22)&gt;1,"Duplicate","Unique")</f>
        <v>Unique</v>
      </c>
    </row>
    <row r="23" customFormat="false" ht="15" hidden="false" customHeight="false" outlineLevel="0" collapsed="false">
      <c r="A23" s="8" t="s">
        <v>150</v>
      </c>
      <c r="B23" s="8" t="s">
        <v>151</v>
      </c>
      <c r="C23" s="9" t="n">
        <v>50</v>
      </c>
      <c r="D23" s="8" t="s">
        <v>109</v>
      </c>
      <c r="E23" s="8" t="s">
        <v>105</v>
      </c>
      <c r="F23" s="8" t="s">
        <v>106</v>
      </c>
      <c r="G23" s="9" t="n">
        <v>145</v>
      </c>
      <c r="H23" s="10" t="n">
        <v>45582</v>
      </c>
      <c r="I23" s="8" t="str">
        <f aca="false">A23&amp;"|"&amp;B23&amp;"|"&amp;C23&amp;"|"&amp;D23&amp;"|"&amp;E23&amp;"|"&amp;F23&amp;"|"&amp;G23&amp;"|"&amp;H23</f>
        <v>PT0202|Suman Choudhary|50|f| Asthma |SALBUTAMOL|145|45582</v>
      </c>
      <c r="J23" s="8" t="str">
        <f aca="false">IF(COUNTIF($I$2:I23,I23)&gt;1,"Duplicate","Unique")</f>
        <v>Unique</v>
      </c>
    </row>
    <row r="24" customFormat="false" ht="15" hidden="false" customHeight="false" outlineLevel="0" collapsed="false">
      <c r="A24" s="8" t="s">
        <v>152</v>
      </c>
      <c r="B24" s="8" t="s">
        <v>133</v>
      </c>
      <c r="C24" s="9" t="n">
        <v>48</v>
      </c>
      <c r="D24" s="8" t="s">
        <v>76</v>
      </c>
      <c r="E24" s="8" t="s">
        <v>153</v>
      </c>
      <c r="F24" s="8" t="s">
        <v>154</v>
      </c>
      <c r="G24" s="9" t="n">
        <v>250</v>
      </c>
      <c r="H24" s="10" t="n">
        <v>45957</v>
      </c>
      <c r="I24" s="8" t="str">
        <f aca="false">A24&amp;"|"&amp;B24&amp;"|"&amp;C24&amp;"|"&amp;D24&amp;"|"&amp;E24&amp;"|"&amp;F24&amp;"|"&amp;G24&amp;"|"&amp;H24</f>
        <v>PT0055|Karan Kumar|48| Male| Anemia |Ferrous Sulfate|250|45957</v>
      </c>
      <c r="J24" s="8" t="str">
        <f aca="false">IF(COUNTIF($I$2:I24,I24)&gt;1,"Duplicate","Unique")</f>
        <v>Unique</v>
      </c>
    </row>
    <row r="25" customFormat="false" ht="15" hidden="false" customHeight="false" outlineLevel="0" collapsed="false">
      <c r="A25" s="8" t="s">
        <v>155</v>
      </c>
      <c r="B25" s="8" t="s">
        <v>156</v>
      </c>
      <c r="C25" s="9" t="n">
        <v>33</v>
      </c>
      <c r="D25" s="8" t="s">
        <v>67</v>
      </c>
      <c r="E25" s="8" t="s">
        <v>144</v>
      </c>
      <c r="F25" s="8" t="s">
        <v>157</v>
      </c>
      <c r="G25" s="9" t="n">
        <v>30</v>
      </c>
      <c r="H25" s="10" t="n">
        <v>45852</v>
      </c>
      <c r="I25" s="8" t="str">
        <f aca="false">A25&amp;"|"&amp;B25&amp;"|"&amp;C25&amp;"|"&amp;D25&amp;"|"&amp;E25&amp;"|"&amp;F25&amp;"|"&amp;G25&amp;"|"&amp;H25</f>
        <v>PT0160|Dinesh Yadav|33|M|MIGRAINE|sumatriptan|30|45852</v>
      </c>
      <c r="J25" s="8" t="str">
        <f aca="false">IF(COUNTIF($I$2:I25,I25)&gt;1,"Duplicate","Unique")</f>
        <v>Unique</v>
      </c>
    </row>
    <row r="26" customFormat="false" ht="15" hidden="false" customHeight="false" outlineLevel="0" collapsed="false">
      <c r="A26" s="8" t="s">
        <v>158</v>
      </c>
      <c r="B26" s="8" t="s">
        <v>159</v>
      </c>
      <c r="C26" s="9" t="n">
        <v>34</v>
      </c>
      <c r="D26" s="8" t="s">
        <v>104</v>
      </c>
      <c r="E26" s="8" t="s">
        <v>82</v>
      </c>
      <c r="F26" s="8" t="s">
        <v>126</v>
      </c>
      <c r="G26" s="9" t="n">
        <v>635</v>
      </c>
      <c r="H26" s="10" t="n">
        <v>45595</v>
      </c>
      <c r="I26" s="8" t="str">
        <f aca="false">A26&amp;"|"&amp;B26&amp;"|"&amp;C26&amp;"|"&amp;D26&amp;"|"&amp;E26&amp;"|"&amp;F26&amp;"|"&amp;G26&amp;"|"&amp;H26</f>
        <v>PT0037|Sarita Rao|34| Female|Diabetes  |Metformin  |635|45595</v>
      </c>
      <c r="J26" s="8" t="str">
        <f aca="false">IF(COUNTIF($I$2:I26,I26)&gt;1,"Duplicate","Unique")</f>
        <v>Unique</v>
      </c>
    </row>
    <row r="27" customFormat="false" ht="15" hidden="false" customHeight="false" outlineLevel="0" collapsed="false">
      <c r="A27" s="8" t="s">
        <v>160</v>
      </c>
      <c r="B27" s="8" t="s">
        <v>161</v>
      </c>
      <c r="C27" s="9" t="n">
        <v>38</v>
      </c>
      <c r="D27" s="8" t="s">
        <v>95</v>
      </c>
      <c r="E27" s="8" t="s">
        <v>162</v>
      </c>
      <c r="F27" s="8" t="s">
        <v>52</v>
      </c>
      <c r="G27" s="9" t="n">
        <v>10</v>
      </c>
      <c r="H27" s="10" t="n">
        <v>46220</v>
      </c>
      <c r="I27" s="8" t="str">
        <f aca="false">A27&amp;"|"&amp;B27&amp;"|"&amp;C27&amp;"|"&amp;D27&amp;"|"&amp;E27&amp;"|"&amp;F27&amp;"|"&amp;G27&amp;"|"&amp;H27</f>
        <v>PT0084|Nisha Nair|38|F|Hypertension  |Amlodipine|10|46220</v>
      </c>
      <c r="J27" s="8" t="str">
        <f aca="false">IF(COUNTIF($I$2:I27,I27)&gt;1,"Duplicate","Unique")</f>
        <v>Unique</v>
      </c>
    </row>
    <row r="28" customFormat="false" ht="15" hidden="false" customHeight="false" outlineLevel="0" collapsed="false">
      <c r="A28" s="8" t="s">
        <v>163</v>
      </c>
      <c r="B28" s="8" t="s">
        <v>164</v>
      </c>
      <c r="C28" s="9" t="n">
        <v>53</v>
      </c>
      <c r="D28" s="8" t="s">
        <v>131</v>
      </c>
      <c r="E28" s="8" t="s">
        <v>165</v>
      </c>
      <c r="F28" s="8" t="s">
        <v>166</v>
      </c>
      <c r="G28" s="9" t="n">
        <v>95</v>
      </c>
      <c r="H28" s="10" t="n">
        <v>45894</v>
      </c>
      <c r="I28" s="8" t="str">
        <f aca="false">A28&amp;"|"&amp;B28&amp;"|"&amp;C28&amp;"|"&amp;D28&amp;"|"&amp;E28&amp;"|"&amp;F28&amp;"|"&amp;G28&amp;"|"&amp;H28</f>
        <v>PT0057|Ritu Verma|53|Female |OBESITY|Orlistat|95|45894</v>
      </c>
      <c r="J28" s="8" t="str">
        <f aca="false">IF(COUNTIF($I$2:I28,I28)&gt;1,"Duplicate","Unique")</f>
        <v>Unique</v>
      </c>
    </row>
    <row r="29" customFormat="false" ht="15" hidden="false" customHeight="false" outlineLevel="0" collapsed="false">
      <c r="A29" s="8" t="s">
        <v>167</v>
      </c>
      <c r="B29" s="8" t="s">
        <v>168</v>
      </c>
      <c r="C29" s="9" t="n">
        <v>10</v>
      </c>
      <c r="D29" s="8" t="s">
        <v>76</v>
      </c>
      <c r="E29" s="8" t="s">
        <v>91</v>
      </c>
      <c r="F29" s="8" t="s">
        <v>73</v>
      </c>
      <c r="G29" s="9" t="n">
        <v>740</v>
      </c>
      <c r="H29" s="10" t="n">
        <v>46194</v>
      </c>
      <c r="I29" s="8" t="str">
        <f aca="false">A29&amp;"|"&amp;B29&amp;"|"&amp;C29&amp;"|"&amp;D29&amp;"|"&amp;E29&amp;"|"&amp;F29&amp;"|"&amp;G29&amp;"|"&amp;H29</f>
        <v>PT0225|Arjun Yadav|10| Male| Diabetes | Metformin |740|46194</v>
      </c>
      <c r="J29" s="8" t="str">
        <f aca="false">IF(COUNTIF($I$2:I29,I29)&gt;1,"Duplicate","Unique")</f>
        <v>Unique</v>
      </c>
    </row>
    <row r="30" customFormat="false" ht="15" hidden="false" customHeight="false" outlineLevel="0" collapsed="false">
      <c r="A30" s="8" t="s">
        <v>169</v>
      </c>
      <c r="B30" s="8" t="s">
        <v>170</v>
      </c>
      <c r="C30" s="9" t="n">
        <v>27</v>
      </c>
      <c r="D30" s="8" t="s">
        <v>131</v>
      </c>
      <c r="E30" s="8" t="s">
        <v>171</v>
      </c>
      <c r="F30" s="8" t="s">
        <v>172</v>
      </c>
      <c r="G30" s="9" t="n">
        <v>85</v>
      </c>
      <c r="H30" s="10" t="n">
        <v>45626</v>
      </c>
      <c r="I30" s="8" t="str">
        <f aca="false">A30&amp;"|"&amp;B30&amp;"|"&amp;C30&amp;"|"&amp;D30&amp;"|"&amp;E30&amp;"|"&amp;F30&amp;"|"&amp;G30&amp;"|"&amp;H30</f>
        <v>PT0208|Usha Joshi|27|Female |obesity|orlistat|85|45626</v>
      </c>
      <c r="J30" s="8" t="str">
        <f aca="false">IF(COUNTIF($I$2:I30,I30)&gt;1,"Duplicate","Unique")</f>
        <v>Unique</v>
      </c>
    </row>
    <row r="31" customFormat="false" ht="15" hidden="false" customHeight="false" outlineLevel="0" collapsed="false">
      <c r="A31" s="8" t="s">
        <v>74</v>
      </c>
      <c r="B31" s="8" t="s">
        <v>75</v>
      </c>
      <c r="C31" s="9" t="n">
        <v>50</v>
      </c>
      <c r="D31" s="8" t="s">
        <v>76</v>
      </c>
      <c r="E31" s="8" t="s">
        <v>77</v>
      </c>
      <c r="F31" s="8" t="s">
        <v>78</v>
      </c>
      <c r="G31" s="9" t="n">
        <v>75</v>
      </c>
      <c r="H31" s="10" t="n">
        <v>45690</v>
      </c>
      <c r="I31" s="8" t="str">
        <f aca="false">A31&amp;"|"&amp;B31&amp;"|"&amp;C31&amp;"|"&amp;D31&amp;"|"&amp;E31&amp;"|"&amp;F31&amp;"|"&amp;G31&amp;"|"&amp;H31</f>
        <v>PT0214|Vinod Chauhan|50| Male| Depression |SERTRALINE|75|45690</v>
      </c>
      <c r="J31" s="8" t="str">
        <f aca="false">IF(COUNTIF($I$2:I31,I31)&gt;1,"Duplicate","Unique")</f>
        <v>Duplicate</v>
      </c>
    </row>
    <row r="32" customFormat="false" ht="15" hidden="false" customHeight="false" outlineLevel="0" collapsed="false">
      <c r="A32" s="8" t="s">
        <v>173</v>
      </c>
      <c r="B32" s="8" t="s">
        <v>174</v>
      </c>
      <c r="C32" s="9" t="n">
        <v>38</v>
      </c>
      <c r="D32" s="8" t="s">
        <v>113</v>
      </c>
      <c r="E32" s="8" t="s">
        <v>175</v>
      </c>
      <c r="F32" s="8" t="s">
        <v>69</v>
      </c>
      <c r="G32" s="9" t="n">
        <v>235</v>
      </c>
      <c r="H32" s="10" t="n">
        <v>45956</v>
      </c>
      <c r="I32" s="8" t="str">
        <f aca="false">A32&amp;"|"&amp;B32&amp;"|"&amp;C32&amp;"|"&amp;D32&amp;"|"&amp;E32&amp;"|"&amp;F32&amp;"|"&amp;G32&amp;"|"&amp;H32</f>
        <v>PT0190|Rakesh Rao|38|male|ARTHRITIS|Ibuprofen|235|45956</v>
      </c>
      <c r="J32" s="8" t="str">
        <f aca="false">IF(COUNTIF($I$2:I32,I32)&gt;1,"Duplicate","Unique")</f>
        <v>Unique</v>
      </c>
    </row>
    <row r="33" customFormat="false" ht="15" hidden="false" customHeight="false" outlineLevel="0" collapsed="false">
      <c r="A33" s="8" t="s">
        <v>176</v>
      </c>
      <c r="B33" s="8" t="s">
        <v>177</v>
      </c>
      <c r="C33" s="9" t="n">
        <v>61</v>
      </c>
      <c r="D33" s="8" t="s">
        <v>113</v>
      </c>
      <c r="E33" s="8" t="s">
        <v>178</v>
      </c>
      <c r="F33" s="8" t="s">
        <v>115</v>
      </c>
      <c r="G33" s="9" t="n">
        <v>290</v>
      </c>
      <c r="H33" s="10" t="n">
        <v>46147</v>
      </c>
      <c r="I33" s="8" t="str">
        <f aca="false">A33&amp;"|"&amp;B33&amp;"|"&amp;C33&amp;"|"&amp;D33&amp;"|"&amp;E33&amp;"|"&amp;F33&amp;"|"&amp;G33&amp;"|"&amp;H33</f>
        <v>PT0229|Nitin Reddy|61|male|Bronchitis  |Azithromycin|290|46147</v>
      </c>
      <c r="J33" s="8" t="str">
        <f aca="false">IF(COUNTIF($I$2:I33,I33)&gt;1,"Duplicate","Unique")</f>
        <v>Unique</v>
      </c>
    </row>
    <row r="34" customFormat="false" ht="15" hidden="false" customHeight="false" outlineLevel="0" collapsed="false">
      <c r="A34" s="8" t="s">
        <v>179</v>
      </c>
      <c r="B34" s="8" t="s">
        <v>180</v>
      </c>
      <c r="C34" s="9" t="n">
        <v>46</v>
      </c>
      <c r="D34" s="8" t="s">
        <v>81</v>
      </c>
      <c r="E34" s="8" t="s">
        <v>134</v>
      </c>
      <c r="F34" s="8" t="s">
        <v>135</v>
      </c>
      <c r="G34" s="9" t="n">
        <v>25</v>
      </c>
      <c r="H34" s="10" t="n">
        <v>45670</v>
      </c>
      <c r="I34" s="8" t="str">
        <f aca="false">A34&amp;"|"&amp;B34&amp;"|"&amp;C34&amp;"|"&amp;D34&amp;"|"&amp;E34&amp;"|"&amp;F34&amp;"|"&amp;G34&amp;"|"&amp;H34</f>
        <v>PT0178|Neha Singh|46|female| Migraine |Sumatriptan  |25|45670</v>
      </c>
      <c r="J34" s="8" t="str">
        <f aca="false">IF(COUNTIF($I$2:I34,I34)&gt;1,"Duplicate","Unique")</f>
        <v>Unique</v>
      </c>
    </row>
    <row r="35" customFormat="false" ht="15" hidden="false" customHeight="false" outlineLevel="0" collapsed="false">
      <c r="A35" s="8" t="s">
        <v>181</v>
      </c>
      <c r="B35" s="8" t="s">
        <v>182</v>
      </c>
      <c r="C35" s="9" t="n">
        <v>14</v>
      </c>
      <c r="D35" s="8" t="s">
        <v>104</v>
      </c>
      <c r="E35" s="8" t="s">
        <v>183</v>
      </c>
      <c r="F35" s="8"/>
      <c r="G35" s="9" t="n">
        <v>115</v>
      </c>
      <c r="H35" s="10" t="n">
        <v>45622</v>
      </c>
      <c r="I35" s="8" t="str">
        <f aca="false">A35&amp;"|"&amp;B35&amp;"|"&amp;C35&amp;"|"&amp;D35&amp;"|"&amp;E35&amp;"|"&amp;F35&amp;"|"&amp;G35&amp;"|"&amp;H35</f>
        <v>PT0219|Pooja Verma|14| Female|Obesity  ||115|45622</v>
      </c>
      <c r="J35" s="8" t="str">
        <f aca="false">IF(COUNTIF($I$2:I35,I35)&gt;1,"Duplicate","Unique")</f>
        <v>Unique</v>
      </c>
    </row>
    <row r="36" customFormat="false" ht="15" hidden="false" customHeight="false" outlineLevel="0" collapsed="false">
      <c r="A36" s="8" t="s">
        <v>184</v>
      </c>
      <c r="B36" s="8" t="s">
        <v>185</v>
      </c>
      <c r="C36" s="9" t="n">
        <v>52</v>
      </c>
      <c r="D36" s="8" t="s">
        <v>76</v>
      </c>
      <c r="E36" s="8" t="s">
        <v>186</v>
      </c>
      <c r="F36" s="8" t="s">
        <v>187</v>
      </c>
      <c r="G36" s="9" t="n">
        <v>5</v>
      </c>
      <c r="H36" s="10" t="n">
        <v>46011</v>
      </c>
      <c r="I36" s="8" t="str">
        <f aca="false">A36&amp;"|"&amp;B36&amp;"|"&amp;C36&amp;"|"&amp;D36&amp;"|"&amp;E36&amp;"|"&amp;F36&amp;"|"&amp;G36&amp;"|"&amp;H36</f>
        <v>PT0100|Vijay Tiwari|52| Male|Allergy|Cetirizine  |5|46011</v>
      </c>
      <c r="J36" s="8" t="str">
        <f aca="false">IF(COUNTIF($I$2:I36,I36)&gt;1,"Duplicate","Unique")</f>
        <v>Unique</v>
      </c>
    </row>
    <row r="37" customFormat="false" ht="15" hidden="false" customHeight="false" outlineLevel="0" collapsed="false">
      <c r="A37" s="8" t="s">
        <v>188</v>
      </c>
      <c r="B37" s="8" t="s">
        <v>189</v>
      </c>
      <c r="C37" s="9" t="n">
        <v>33</v>
      </c>
      <c r="D37" s="8" t="s">
        <v>190</v>
      </c>
      <c r="E37" s="8"/>
      <c r="F37" s="8" t="s">
        <v>135</v>
      </c>
      <c r="G37" s="9" t="n">
        <v>60</v>
      </c>
      <c r="H37" s="10" t="n">
        <v>45739</v>
      </c>
      <c r="I37" s="8" t="str">
        <f aca="false">A37&amp;"|"&amp;B37&amp;"|"&amp;C37&amp;"|"&amp;D37&amp;"|"&amp;E37&amp;"|"&amp;F37&amp;"|"&amp;G37&amp;"|"&amp;H37</f>
        <v>PT0070|Dinesh Mishra|33|Male ||Sumatriptan  |60|45739</v>
      </c>
      <c r="J37" s="8" t="str">
        <f aca="false">IF(COUNTIF($I$2:I37,I37)&gt;1,"Duplicate","Unique")</f>
        <v>Unique</v>
      </c>
    </row>
    <row r="38" customFormat="false" ht="15" hidden="false" customHeight="false" outlineLevel="0" collapsed="false">
      <c r="A38" s="8" t="s">
        <v>191</v>
      </c>
      <c r="B38" s="8" t="s">
        <v>192</v>
      </c>
      <c r="C38" s="9" t="n">
        <v>999</v>
      </c>
      <c r="D38" s="8" t="s">
        <v>90</v>
      </c>
      <c r="E38" s="8" t="s">
        <v>162</v>
      </c>
      <c r="F38" s="8" t="s">
        <v>193</v>
      </c>
      <c r="G38" s="9" t="n">
        <v>10</v>
      </c>
      <c r="H38" s="10" t="n">
        <v>45883</v>
      </c>
      <c r="I38" s="8" t="str">
        <f aca="false">A38&amp;"|"&amp;B38&amp;"|"&amp;C38&amp;"|"&amp;D38&amp;"|"&amp;E38&amp;"|"&amp;F38&amp;"|"&amp;G38&amp;"|"&amp;H38</f>
        <v>PT0209|Kavita Mishra|999|Female|Hypertension  |Amlodipine  |10|45883</v>
      </c>
      <c r="J38" s="8" t="str">
        <f aca="false">IF(COUNTIF($I$2:I38,I38)&gt;1,"Duplicate","Unique")</f>
        <v>Unique</v>
      </c>
    </row>
    <row r="39" customFormat="false" ht="15" hidden="false" customHeight="false" outlineLevel="0" collapsed="false">
      <c r="A39" s="8" t="s">
        <v>194</v>
      </c>
      <c r="B39" s="8" t="s">
        <v>195</v>
      </c>
      <c r="C39" s="9" t="n">
        <v>83</v>
      </c>
      <c r="D39" s="8" t="s">
        <v>85</v>
      </c>
      <c r="E39" s="8" t="s">
        <v>196</v>
      </c>
      <c r="F39" s="8" t="s">
        <v>87</v>
      </c>
      <c r="G39" s="9" t="n">
        <v>650</v>
      </c>
      <c r="H39" s="10" t="n">
        <v>46119</v>
      </c>
      <c r="I39" s="8" t="str">
        <f aca="false">A39&amp;"|"&amp;B39&amp;"|"&amp;C39&amp;"|"&amp;D39&amp;"|"&amp;E39&amp;"|"&amp;F39&amp;"|"&amp;G39&amp;"|"&amp;H39</f>
        <v>PT0040|Mahesh Mishra|83|MALE|FLU|Paracetamol  |650|46119</v>
      </c>
      <c r="J39" s="8" t="str">
        <f aca="false">IF(COUNTIF($I$2:I39,I39)&gt;1,"Duplicate","Unique")</f>
        <v>Unique</v>
      </c>
    </row>
    <row r="40" customFormat="false" ht="15" hidden="false" customHeight="false" outlineLevel="0" collapsed="false">
      <c r="A40" s="8" t="s">
        <v>197</v>
      </c>
      <c r="B40" s="8" t="s">
        <v>198</v>
      </c>
      <c r="C40" s="9" t="n">
        <v>82</v>
      </c>
      <c r="D40" s="8" t="s">
        <v>121</v>
      </c>
      <c r="E40" s="8" t="s">
        <v>199</v>
      </c>
      <c r="F40" s="8" t="s">
        <v>200</v>
      </c>
      <c r="G40" s="9" t="n">
        <v>395</v>
      </c>
      <c r="H40" s="10" t="n">
        <v>45762</v>
      </c>
      <c r="I40" s="8" t="str">
        <f aca="false">A40&amp;"|"&amp;B40&amp;"|"&amp;C40&amp;"|"&amp;D40&amp;"|"&amp;E40&amp;"|"&amp;F40&amp;"|"&amp;G40&amp;"|"&amp;H40</f>
        <v>PT0167|Rekha Nair|82|FEMALE|Arthritis  |Ibuprofen  |395|45762</v>
      </c>
      <c r="J40" s="8" t="str">
        <f aca="false">IF(COUNTIF($I$2:I40,I40)&gt;1,"Duplicate","Unique")</f>
        <v>Unique</v>
      </c>
    </row>
    <row r="41" customFormat="false" ht="15" hidden="false" customHeight="false" outlineLevel="0" collapsed="false">
      <c r="A41" s="8" t="s">
        <v>201</v>
      </c>
      <c r="B41" s="8" t="s">
        <v>202</v>
      </c>
      <c r="C41" s="9"/>
      <c r="D41" s="8" t="s">
        <v>203</v>
      </c>
      <c r="E41" s="8" t="s">
        <v>105</v>
      </c>
      <c r="F41" s="8" t="s">
        <v>118</v>
      </c>
      <c r="G41" s="9" t="n">
        <v>140</v>
      </c>
      <c r="H41" s="10" t="n">
        <v>45789</v>
      </c>
      <c r="I41" s="8" t="str">
        <f aca="false">A41&amp;"|"&amp;B41&amp;"|"&amp;C41&amp;"|"&amp;D41&amp;"|"&amp;E41&amp;"|"&amp;F41&amp;"|"&amp;G41&amp;"|"&amp;H41</f>
        <v>PT0077|Ashok Joshi||m| Asthma |salbutamol|140|45789</v>
      </c>
      <c r="J41" s="8" t="str">
        <f aca="false">IF(COUNTIF($I$2:I41,I41)&gt;1,"Duplicate","Unique")</f>
        <v>Unique</v>
      </c>
    </row>
    <row r="42" customFormat="false" ht="15" hidden="false" customHeight="false" outlineLevel="0" collapsed="false">
      <c r="A42" s="8" t="s">
        <v>204</v>
      </c>
      <c r="B42" s="8" t="s">
        <v>205</v>
      </c>
      <c r="C42" s="9" t="n">
        <v>49</v>
      </c>
      <c r="D42" s="8" t="s">
        <v>95</v>
      </c>
      <c r="E42" s="8" t="s">
        <v>100</v>
      </c>
      <c r="F42" s="8" t="s">
        <v>101</v>
      </c>
      <c r="G42" s="9" t="n">
        <v>5</v>
      </c>
      <c r="H42" s="10" t="n">
        <v>45695</v>
      </c>
      <c r="I42" s="8" t="str">
        <f aca="false">A42&amp;"|"&amp;B42&amp;"|"&amp;C42&amp;"|"&amp;D42&amp;"|"&amp;E42&amp;"|"&amp;F42&amp;"|"&amp;G42&amp;"|"&amp;H42</f>
        <v>PT0199|Vandana Chauhan|49|F|hypertension|AMLODIPINE|5|45695</v>
      </c>
      <c r="J42" s="8" t="str">
        <f aca="false">IF(COUNTIF($I$2:I42,I42)&gt;1,"Duplicate","Unique")</f>
        <v>Unique</v>
      </c>
    </row>
    <row r="43" customFormat="false" ht="15" hidden="false" customHeight="false" outlineLevel="0" collapsed="false">
      <c r="A43" s="8" t="s">
        <v>206</v>
      </c>
      <c r="B43" s="8" t="s">
        <v>207</v>
      </c>
      <c r="C43" s="9" t="n">
        <v>46</v>
      </c>
      <c r="D43" s="8" t="s">
        <v>76</v>
      </c>
      <c r="E43" s="8" t="s">
        <v>96</v>
      </c>
      <c r="F43" s="8" t="s">
        <v>110</v>
      </c>
      <c r="G43" s="9"/>
      <c r="H43" s="10" t="n">
        <v>46012</v>
      </c>
      <c r="I43" s="8" t="str">
        <f aca="false">A43&amp;"|"&amp;B43&amp;"|"&amp;C43&amp;"|"&amp;D43&amp;"|"&amp;E43&amp;"|"&amp;F43&amp;"|"&amp;G43&amp;"|"&amp;H43</f>
        <v>PT0091|Vinod Yadav|46| Male|HYPERTENSION| Amlodipine ||46012</v>
      </c>
      <c r="J43" s="8" t="str">
        <f aca="false">IF(COUNTIF($I$2:I43,I43)&gt;1,"Duplicate","Unique")</f>
        <v>Unique</v>
      </c>
    </row>
    <row r="44" customFormat="false" ht="15" hidden="false" customHeight="false" outlineLevel="0" collapsed="false">
      <c r="A44" s="8" t="s">
        <v>208</v>
      </c>
      <c r="B44" s="8" t="s">
        <v>209</v>
      </c>
      <c r="C44" s="9" t="n">
        <v>39</v>
      </c>
      <c r="D44" s="8" t="s">
        <v>76</v>
      </c>
      <c r="E44" s="8" t="s">
        <v>210</v>
      </c>
      <c r="F44" s="8" t="s">
        <v>211</v>
      </c>
      <c r="G44" s="9" t="n">
        <v>10</v>
      </c>
      <c r="H44" s="10" t="n">
        <v>45961</v>
      </c>
      <c r="I44" s="8" t="str">
        <f aca="false">A44&amp;"|"&amp;B44&amp;"|"&amp;C44&amp;"|"&amp;D44&amp;"|"&amp;E44&amp;"|"&amp;F44&amp;"|"&amp;G44&amp;"|"&amp;H44</f>
        <v>PT0161|Amit Choudhary|39| Male|allergy| Cetirizine |10|45961</v>
      </c>
      <c r="J44" s="8" t="str">
        <f aca="false">IF(COUNTIF($I$2:I44,I44)&gt;1,"Duplicate","Unique")</f>
        <v>Unique</v>
      </c>
    </row>
    <row r="45" customFormat="false" ht="15" hidden="false" customHeight="false" outlineLevel="0" collapsed="false">
      <c r="A45" s="8" t="s">
        <v>212</v>
      </c>
      <c r="B45" s="8" t="s">
        <v>213</v>
      </c>
      <c r="C45" s="9" t="n">
        <v>63</v>
      </c>
      <c r="D45" s="8" t="s">
        <v>109</v>
      </c>
      <c r="E45" s="8" t="s">
        <v>82</v>
      </c>
      <c r="F45" s="8" t="s">
        <v>214</v>
      </c>
      <c r="G45" s="9" t="n">
        <v>1000</v>
      </c>
      <c r="H45" s="10"/>
      <c r="I45" s="8" t="str">
        <f aca="false">A45&amp;"|"&amp;B45&amp;"|"&amp;C45&amp;"|"&amp;D45&amp;"|"&amp;E45&amp;"|"&amp;F45&amp;"|"&amp;G45&amp;"|"&amp;H45</f>
        <v>PT0036|Priya Shukla|63|f|Diabetes  |Metformin|1000|</v>
      </c>
      <c r="J45" s="8" t="str">
        <f aca="false">IF(COUNTIF($I$2:I45,I45)&gt;1,"Duplicate","Unique")</f>
        <v>Unique</v>
      </c>
    </row>
    <row r="46" customFormat="false" ht="15" hidden="false" customHeight="false" outlineLevel="0" collapsed="false">
      <c r="A46" s="8" t="s">
        <v>215</v>
      </c>
      <c r="B46" s="8" t="s">
        <v>216</v>
      </c>
      <c r="C46" s="9" t="n">
        <v>51</v>
      </c>
      <c r="D46" s="8" t="s">
        <v>203</v>
      </c>
      <c r="E46" s="8" t="s">
        <v>86</v>
      </c>
      <c r="F46" s="8" t="s">
        <v>217</v>
      </c>
      <c r="G46" s="9" t="n">
        <v>520</v>
      </c>
      <c r="H46" s="10" t="n">
        <v>46114</v>
      </c>
      <c r="I46" s="8" t="str">
        <f aca="false">A46&amp;"|"&amp;B46&amp;"|"&amp;C46&amp;"|"&amp;D46&amp;"|"&amp;E46&amp;"|"&amp;F46&amp;"|"&amp;G46&amp;"|"&amp;H46</f>
        <v>PT0175|Gopal Saxena|51|m| Flu |PARACETAMOL|520|46114</v>
      </c>
      <c r="J46" s="8" t="str">
        <f aca="false">IF(COUNTIF($I$2:I46,I46)&gt;1,"Duplicate","Unique")</f>
        <v>Unique</v>
      </c>
    </row>
    <row r="47" customFormat="false" ht="15" hidden="false" customHeight="false" outlineLevel="0" collapsed="false">
      <c r="A47" s="8" t="s">
        <v>218</v>
      </c>
      <c r="B47" s="8" t="s">
        <v>219</v>
      </c>
      <c r="C47" s="9" t="n">
        <v>34</v>
      </c>
      <c r="D47" s="8" t="s">
        <v>203</v>
      </c>
      <c r="E47" s="8" t="s">
        <v>220</v>
      </c>
      <c r="F47" s="8" t="s">
        <v>221</v>
      </c>
      <c r="G47" s="9" t="n">
        <v>575</v>
      </c>
      <c r="H47" s="10" t="n">
        <v>45753</v>
      </c>
      <c r="I47" s="8" t="str">
        <f aca="false">A47&amp;"|"&amp;B47&amp;"|"&amp;C47&amp;"|"&amp;D47&amp;"|"&amp;E47&amp;"|"&amp;F47&amp;"|"&amp;G47&amp;"|"&amp;H47</f>
        <v>PT0101|Mahesh Shukla|34|m|flu|paracetamol|575|45753</v>
      </c>
      <c r="J47" s="8" t="str">
        <f aca="false">IF(COUNTIF($I$2:I47,I47)&gt;1,"Duplicate","Unique")</f>
        <v>Unique</v>
      </c>
    </row>
    <row r="48" customFormat="false" ht="15" hidden="false" customHeight="false" outlineLevel="0" collapsed="false">
      <c r="A48" s="8" t="s">
        <v>222</v>
      </c>
      <c r="B48" s="8" t="s">
        <v>223</v>
      </c>
      <c r="C48" s="9" t="n">
        <v>42</v>
      </c>
      <c r="D48" s="8" t="s">
        <v>85</v>
      </c>
      <c r="E48" s="8" t="s">
        <v>224</v>
      </c>
      <c r="F48" s="8" t="s">
        <v>225</v>
      </c>
      <c r="G48" s="9" t="n">
        <v>20</v>
      </c>
      <c r="H48" s="10" t="n">
        <v>45803</v>
      </c>
      <c r="I48" s="8" t="str">
        <f aca="false">A48&amp;"|"&amp;B48&amp;"|"&amp;C48&amp;"|"&amp;D48&amp;"|"&amp;E48&amp;"|"&amp;F48&amp;"|"&amp;G48&amp;"|"&amp;H48</f>
        <v>PT0060|Ashok Chauhan|42|MALE|Gastritis|OMEPRAZOLE|20|45803</v>
      </c>
      <c r="J48" s="8" t="str">
        <f aca="false">IF(COUNTIF($I$2:I48,I48)&gt;1,"Duplicate","Unique")</f>
        <v>Unique</v>
      </c>
    </row>
    <row r="49" customFormat="false" ht="15" hidden="false" customHeight="false" outlineLevel="0" collapsed="false">
      <c r="A49" s="8" t="s">
        <v>226</v>
      </c>
      <c r="B49" s="8" t="s">
        <v>227</v>
      </c>
      <c r="C49" s="9" t="n">
        <v>73</v>
      </c>
      <c r="D49" s="8" t="s">
        <v>121</v>
      </c>
      <c r="E49" s="8" t="s">
        <v>228</v>
      </c>
      <c r="F49" s="8" t="s">
        <v>187</v>
      </c>
      <c r="G49" s="9" t="n">
        <v>10</v>
      </c>
      <c r="H49" s="10" t="n">
        <v>45760</v>
      </c>
      <c r="I49" s="8" t="str">
        <f aca="false">A49&amp;"|"&amp;B49&amp;"|"&amp;C49&amp;"|"&amp;D49&amp;"|"&amp;E49&amp;"|"&amp;F49&amp;"|"&amp;G49&amp;"|"&amp;H49</f>
        <v>PT0073|Pooja Sharma|73|FEMALE| Allergy |Cetirizine  |10|45760</v>
      </c>
      <c r="J49" s="8" t="str">
        <f aca="false">IF(COUNTIF($I$2:I49,I49)&gt;1,"Duplicate","Unique")</f>
        <v>Unique</v>
      </c>
    </row>
    <row r="50" customFormat="false" ht="15" hidden="false" customHeight="false" outlineLevel="0" collapsed="false">
      <c r="A50" s="8" t="s">
        <v>229</v>
      </c>
      <c r="B50" s="8" t="s">
        <v>230</v>
      </c>
      <c r="C50" s="9" t="n">
        <v>86</v>
      </c>
      <c r="D50" s="8" t="s">
        <v>90</v>
      </c>
      <c r="E50" s="8" t="s">
        <v>231</v>
      </c>
      <c r="F50" s="8" t="s">
        <v>232</v>
      </c>
      <c r="G50" s="9" t="n">
        <v>130</v>
      </c>
      <c r="H50" s="10" t="n">
        <v>45908</v>
      </c>
      <c r="I50" s="8" t="str">
        <f aca="false">A50&amp;"|"&amp;B50&amp;"|"&amp;C50&amp;"|"&amp;D50&amp;"|"&amp;E50&amp;"|"&amp;F50&amp;"|"&amp;G50&amp;"|"&amp;H50</f>
        <v>PT0063|Sarita Pandey|86|Female|asthma| Salbutamol |130|45908</v>
      </c>
      <c r="J50" s="8" t="str">
        <f aca="false">IF(COUNTIF($I$2:I50,I50)&gt;1,"Duplicate","Unique")</f>
        <v>Unique</v>
      </c>
    </row>
    <row r="51" customFormat="false" ht="15" hidden="false" customHeight="false" outlineLevel="0" collapsed="false">
      <c r="A51" s="8" t="s">
        <v>233</v>
      </c>
      <c r="B51" s="8" t="s">
        <v>234</v>
      </c>
      <c r="C51" s="9" t="n">
        <v>50</v>
      </c>
      <c r="D51" s="8" t="s">
        <v>190</v>
      </c>
      <c r="E51" s="8" t="s">
        <v>235</v>
      </c>
      <c r="F51" s="8" t="s">
        <v>236</v>
      </c>
      <c r="G51" s="9" t="n">
        <v>870</v>
      </c>
      <c r="H51" s="10" t="n">
        <v>45913</v>
      </c>
      <c r="I51" s="8" t="str">
        <f aca="false">A51&amp;"|"&amp;B51&amp;"|"&amp;C51&amp;"|"&amp;D51&amp;"|"&amp;E51&amp;"|"&amp;F51&amp;"|"&amp;G51&amp;"|"&amp;H51</f>
        <v>PT0105|Vijay Agarwal|50|Male |DIABETES|METFORMIN|870|45913</v>
      </c>
      <c r="J51" s="8" t="str">
        <f aca="false">IF(COUNTIF($I$2:I51,I51)&gt;1,"Duplicate","Unique")</f>
        <v>Unique</v>
      </c>
    </row>
    <row r="52" customFormat="false" ht="15" hidden="false" customHeight="false" outlineLevel="0" collapsed="false">
      <c r="A52" s="8" t="s">
        <v>237</v>
      </c>
      <c r="B52" s="8" t="s">
        <v>238</v>
      </c>
      <c r="C52" s="9" t="n">
        <v>54</v>
      </c>
      <c r="D52" s="8" t="s">
        <v>109</v>
      </c>
      <c r="E52" s="8" t="s">
        <v>239</v>
      </c>
      <c r="F52" s="8" t="s">
        <v>240</v>
      </c>
      <c r="G52" s="9" t="n">
        <v>35</v>
      </c>
      <c r="H52" s="10" t="n">
        <v>46159</v>
      </c>
      <c r="I52" s="8" t="str">
        <f aca="false">A52&amp;"|"&amp;B52&amp;"|"&amp;C52&amp;"|"&amp;D52&amp;"|"&amp;E52&amp;"|"&amp;F52&amp;"|"&amp;G52&amp;"|"&amp;H52</f>
        <v>PT0009|Shalini Rathore|54|f|Migraine  | Sumatriptan |35|46159</v>
      </c>
      <c r="J52" s="8" t="str">
        <f aca="false">IF(COUNTIF($I$2:I52,I52)&gt;1,"Duplicate","Unique")</f>
        <v>Unique</v>
      </c>
    </row>
    <row r="53" customFormat="false" ht="15" hidden="false" customHeight="false" outlineLevel="0" collapsed="false">
      <c r="A53" s="8" t="s">
        <v>241</v>
      </c>
      <c r="B53" s="8" t="s">
        <v>242</v>
      </c>
      <c r="C53" s="9" t="n">
        <v>73</v>
      </c>
      <c r="D53" s="8" t="s">
        <v>121</v>
      </c>
      <c r="E53" s="8" t="s">
        <v>175</v>
      </c>
      <c r="F53" s="8" t="s">
        <v>243</v>
      </c>
      <c r="G53" s="9" t="n">
        <v>335</v>
      </c>
      <c r="H53" s="10" t="n">
        <v>45666</v>
      </c>
      <c r="I53" s="8" t="str">
        <f aca="false">A53&amp;"|"&amp;B53&amp;"|"&amp;C53&amp;"|"&amp;D53&amp;"|"&amp;E53&amp;"|"&amp;F53&amp;"|"&amp;G53&amp;"|"&amp;H53</f>
        <v>PT0052|Shweta Choudhary|73|FEMALE|ARTHRITIS| Ibuprofen |335|45666</v>
      </c>
      <c r="J53" s="8" t="str">
        <f aca="false">IF(COUNTIF($I$2:I53,I53)&gt;1,"Duplicate","Unique")</f>
        <v>Unique</v>
      </c>
    </row>
    <row r="54" customFormat="false" ht="15" hidden="false" customHeight="false" outlineLevel="0" collapsed="false">
      <c r="A54" s="8" t="s">
        <v>244</v>
      </c>
      <c r="B54" s="8" t="s">
        <v>245</v>
      </c>
      <c r="C54" s="9" t="n">
        <v>24</v>
      </c>
      <c r="D54" s="8" t="s">
        <v>90</v>
      </c>
      <c r="E54" s="8" t="s">
        <v>91</v>
      </c>
      <c r="F54" s="8" t="s">
        <v>92</v>
      </c>
      <c r="G54" s="9" t="n">
        <v>920</v>
      </c>
      <c r="H54" s="10" t="n">
        <v>46029</v>
      </c>
      <c r="I54" s="8" t="str">
        <f aca="false">A54&amp;"|"&amp;B54&amp;"|"&amp;C54&amp;"|"&amp;D54&amp;"|"&amp;E54&amp;"|"&amp;F54&amp;"|"&amp;G54&amp;"|"&amp;H54</f>
        <v>PT0192|Manju Reddy|24|Female| Diabetes |metformin|920|46029</v>
      </c>
      <c r="J54" s="8" t="str">
        <f aca="false">IF(COUNTIF($I$2:I54,I54)&gt;1,"Duplicate","Unique")</f>
        <v>Unique</v>
      </c>
    </row>
    <row r="55" customFormat="false" ht="15" hidden="false" customHeight="false" outlineLevel="0" collapsed="false">
      <c r="A55" s="8" t="s">
        <v>246</v>
      </c>
      <c r="B55" s="8" t="s">
        <v>247</v>
      </c>
      <c r="C55" s="9" t="n">
        <v>46</v>
      </c>
      <c r="D55" s="8" t="s">
        <v>90</v>
      </c>
      <c r="E55" s="8" t="s">
        <v>153</v>
      </c>
      <c r="F55" s="8" t="s">
        <v>154</v>
      </c>
      <c r="G55" s="9" t="n">
        <v>315</v>
      </c>
      <c r="H55" s="10" t="n">
        <v>45805</v>
      </c>
      <c r="I55" s="8" t="str">
        <f aca="false">A55&amp;"|"&amp;B55&amp;"|"&amp;C55&amp;"|"&amp;D55&amp;"|"&amp;E55&amp;"|"&amp;F55&amp;"|"&amp;G55&amp;"|"&amp;H55</f>
        <v>PT0019|Suman Pandey|46|Female| Anemia |Ferrous Sulfate|315|45805</v>
      </c>
      <c r="J55" s="8" t="str">
        <f aca="false">IF(COUNTIF($I$2:I55,I55)&gt;1,"Duplicate","Unique")</f>
        <v>Unique</v>
      </c>
    </row>
    <row r="56" customFormat="false" ht="15" hidden="false" customHeight="false" outlineLevel="0" collapsed="false">
      <c r="A56" s="8" t="s">
        <v>248</v>
      </c>
      <c r="B56" s="8" t="s">
        <v>249</v>
      </c>
      <c r="C56" s="9" t="n">
        <v>16</v>
      </c>
      <c r="D56" s="8" t="s">
        <v>90</v>
      </c>
      <c r="E56" s="8" t="s">
        <v>250</v>
      </c>
      <c r="F56" s="8" t="s">
        <v>251</v>
      </c>
      <c r="G56" s="9" t="n">
        <v>220</v>
      </c>
      <c r="H56" s="10" t="n">
        <v>45816</v>
      </c>
      <c r="I56" s="8" t="str">
        <f aca="false">A56&amp;"|"&amp;B56&amp;"|"&amp;C56&amp;"|"&amp;D56&amp;"|"&amp;E56&amp;"|"&amp;F56&amp;"|"&amp;G56&amp;"|"&amp;H56</f>
        <v>PT0110|Suman Sharma|16|Female|anemia| Ferrous Sulfate |220|45816</v>
      </c>
      <c r="J56" s="8" t="str">
        <f aca="false">IF(COUNTIF($I$2:I56,I56)&gt;1,"Duplicate","Unique")</f>
        <v>Unique</v>
      </c>
    </row>
    <row r="57" customFormat="false" ht="15" hidden="false" customHeight="false" outlineLevel="0" collapsed="false">
      <c r="A57" s="8" t="s">
        <v>252</v>
      </c>
      <c r="B57" s="8" t="s">
        <v>253</v>
      </c>
      <c r="C57" s="9" t="n">
        <v>31</v>
      </c>
      <c r="D57" s="8" t="s">
        <v>76</v>
      </c>
      <c r="E57" s="8" t="s">
        <v>254</v>
      </c>
      <c r="F57" s="8" t="s">
        <v>255</v>
      </c>
      <c r="G57" s="9" t="n">
        <v>1790</v>
      </c>
      <c r="H57" s="10" t="n">
        <v>46164</v>
      </c>
      <c r="I57" s="8" t="str">
        <f aca="false">A57&amp;"|"&amp;B57&amp;"|"&amp;C57&amp;"|"&amp;D57&amp;"|"&amp;E57&amp;"|"&amp;F57&amp;"|"&amp;G57&amp;"|"&amp;H57</f>
        <v>PT0194|Alok Rao|31| Male|COVID-19| Favipiravir |1790|46164</v>
      </c>
      <c r="J57" s="8" t="str">
        <f aca="false">IF(COUNTIF($I$2:I57,I57)&gt;1,"Duplicate","Unique")</f>
        <v>Unique</v>
      </c>
    </row>
    <row r="58" customFormat="false" ht="15" hidden="false" customHeight="false" outlineLevel="0" collapsed="false">
      <c r="A58" s="8" t="s">
        <v>256</v>
      </c>
      <c r="B58" s="8" t="s">
        <v>257</v>
      </c>
      <c r="C58" s="9" t="n">
        <v>61</v>
      </c>
      <c r="D58" s="8" t="s">
        <v>109</v>
      </c>
      <c r="E58" s="8" t="s">
        <v>258</v>
      </c>
      <c r="F58" s="8" t="s">
        <v>154</v>
      </c>
      <c r="G58" s="9" t="n">
        <v>210</v>
      </c>
      <c r="H58" s="10" t="n">
        <v>45960</v>
      </c>
      <c r="I58" s="8" t="str">
        <f aca="false">A58&amp;"|"&amp;B58&amp;"|"&amp;C58&amp;"|"&amp;D58&amp;"|"&amp;E58&amp;"|"&amp;F58&amp;"|"&amp;G58&amp;"|"&amp;H58</f>
        <v>PT0080|Kiran Yadav|61|f|ANEMIA|Ferrous Sulfate|210|45960</v>
      </c>
      <c r="J58" s="8" t="str">
        <f aca="false">IF(COUNTIF($I$2:I58,I58)&gt;1,"Duplicate","Unique")</f>
        <v>Unique</v>
      </c>
    </row>
    <row r="59" customFormat="false" ht="15" hidden="false" customHeight="false" outlineLevel="0" collapsed="false">
      <c r="A59" s="8" t="s">
        <v>259</v>
      </c>
      <c r="B59" s="8" t="s">
        <v>260</v>
      </c>
      <c r="C59" s="9"/>
      <c r="D59" s="8" t="s">
        <v>76</v>
      </c>
      <c r="E59" s="8" t="s">
        <v>261</v>
      </c>
      <c r="F59" s="8" t="s">
        <v>262</v>
      </c>
      <c r="G59" s="9" t="n">
        <v>5</v>
      </c>
      <c r="H59" s="10" t="n">
        <v>45877</v>
      </c>
      <c r="I59" s="8" t="str">
        <f aca="false">A59&amp;"|"&amp;B59&amp;"|"&amp;C59&amp;"|"&amp;D59&amp;"|"&amp;E59&amp;"|"&amp;F59&amp;"|"&amp;G59&amp;"|"&amp;H59</f>
        <v>PT0223|Ajay Tiwari|| Male|ALLERGY|Cetirizine|5|45877</v>
      </c>
      <c r="J59" s="8" t="str">
        <f aca="false">IF(COUNTIF($I$2:I59,I59)&gt;1,"Duplicate","Unique")</f>
        <v>Unique</v>
      </c>
    </row>
    <row r="60" customFormat="false" ht="15" hidden="false" customHeight="false" outlineLevel="0" collapsed="false">
      <c r="A60" s="8" t="s">
        <v>263</v>
      </c>
      <c r="B60" s="8" t="s">
        <v>264</v>
      </c>
      <c r="C60" s="9" t="n">
        <v>61</v>
      </c>
      <c r="D60" s="8" t="s">
        <v>113</v>
      </c>
      <c r="E60" s="8" t="s">
        <v>72</v>
      </c>
      <c r="F60" s="8" t="s">
        <v>126</v>
      </c>
      <c r="G60" s="9" t="n">
        <v>500</v>
      </c>
      <c r="H60" s="10" t="n">
        <v>45877</v>
      </c>
      <c r="I60" s="8" t="str">
        <f aca="false">A60&amp;"|"&amp;B60&amp;"|"&amp;C60&amp;"|"&amp;D60&amp;"|"&amp;E60&amp;"|"&amp;F60&amp;"|"&amp;G60&amp;"|"&amp;H60</f>
        <v>PT0049|Manoj Verma|61|male|Diabetes|Metformin  |500|45877</v>
      </c>
      <c r="J60" s="8" t="str">
        <f aca="false">IF(COUNTIF($I$2:I60,I60)&gt;1,"Duplicate","Unique")</f>
        <v>Unique</v>
      </c>
    </row>
    <row r="61" customFormat="false" ht="15" hidden="false" customHeight="false" outlineLevel="0" collapsed="false">
      <c r="A61" s="8" t="s">
        <v>265</v>
      </c>
      <c r="B61" s="8" t="s">
        <v>266</v>
      </c>
      <c r="C61" s="9" t="n">
        <v>58</v>
      </c>
      <c r="D61" s="8" t="s">
        <v>90</v>
      </c>
      <c r="E61" s="8" t="s">
        <v>122</v>
      </c>
      <c r="F61" s="8" t="s">
        <v>110</v>
      </c>
      <c r="G61" s="9" t="n">
        <v>10</v>
      </c>
      <c r="H61" s="10" t="n">
        <v>46162</v>
      </c>
      <c r="I61" s="8" t="str">
        <f aca="false">A61&amp;"|"&amp;B61&amp;"|"&amp;C61&amp;"|"&amp;D61&amp;"|"&amp;E61&amp;"|"&amp;F61&amp;"|"&amp;G61&amp;"|"&amp;H61</f>
        <v>PT0045|Shweta Gupta|58|Female| Hypertension | Amlodipine |10|46162</v>
      </c>
      <c r="J61" s="8" t="str">
        <f aca="false">IF(COUNTIF($I$2:I61,I61)&gt;1,"Duplicate","Unique")</f>
        <v>Unique</v>
      </c>
    </row>
    <row r="62" customFormat="false" ht="15" hidden="false" customHeight="false" outlineLevel="0" collapsed="false">
      <c r="A62" s="8" t="s">
        <v>267</v>
      </c>
      <c r="B62" s="8"/>
      <c r="C62" s="9" t="n">
        <v>67</v>
      </c>
      <c r="D62" s="8" t="s">
        <v>90</v>
      </c>
      <c r="E62" s="8" t="s">
        <v>68</v>
      </c>
      <c r="F62" s="8" t="s">
        <v>268</v>
      </c>
      <c r="G62" s="9" t="n">
        <v>310</v>
      </c>
      <c r="H62" s="10" t="n">
        <v>45598</v>
      </c>
      <c r="I62" s="8" t="str">
        <f aca="false">A62&amp;"|"&amp;B62&amp;"|"&amp;C62&amp;"|"&amp;D62&amp;"|"&amp;E62&amp;"|"&amp;F62&amp;"|"&amp;G62&amp;"|"&amp;H62</f>
        <v>PT0173||67|Female|Arthritis|IBUPROFEN|310|45598</v>
      </c>
      <c r="J62" s="8" t="str">
        <f aca="false">IF(COUNTIF($I$2:I62,I62)&gt;1,"Duplicate","Unique")</f>
        <v>Unique</v>
      </c>
    </row>
    <row r="63" customFormat="false" ht="15" hidden="false" customHeight="false" outlineLevel="0" collapsed="false">
      <c r="A63" s="8" t="s">
        <v>269</v>
      </c>
      <c r="B63" s="8" t="s">
        <v>270</v>
      </c>
      <c r="C63" s="9" t="n">
        <v>40</v>
      </c>
      <c r="D63" s="8" t="s">
        <v>67</v>
      </c>
      <c r="E63" s="8" t="s">
        <v>100</v>
      </c>
      <c r="F63" s="8" t="s">
        <v>193</v>
      </c>
      <c r="G63" s="9" t="n">
        <v>5</v>
      </c>
      <c r="H63" s="10" t="n">
        <v>45868</v>
      </c>
      <c r="I63" s="8" t="str">
        <f aca="false">A63&amp;"|"&amp;B63&amp;"|"&amp;C63&amp;"|"&amp;D63&amp;"|"&amp;E63&amp;"|"&amp;F63&amp;"|"&amp;G63&amp;"|"&amp;H63</f>
        <v>PT0207|Rakesh Shukla|40|M|hypertension|Amlodipine  |5|45868</v>
      </c>
      <c r="J63" s="8" t="str">
        <f aca="false">IF(COUNTIF($I$2:I63,I63)&gt;1,"Duplicate","Unique")</f>
        <v>Unique</v>
      </c>
    </row>
    <row r="64" customFormat="false" ht="15" hidden="false" customHeight="false" outlineLevel="0" collapsed="false">
      <c r="A64" s="8" t="s">
        <v>271</v>
      </c>
      <c r="B64" s="8" t="s">
        <v>272</v>
      </c>
      <c r="C64" s="9" t="n">
        <v>75</v>
      </c>
      <c r="D64" s="8" t="s">
        <v>81</v>
      </c>
      <c r="E64" s="8" t="s">
        <v>196</v>
      </c>
      <c r="F64" s="8" t="s">
        <v>221</v>
      </c>
      <c r="G64" s="9" t="n">
        <v>515</v>
      </c>
      <c r="H64" s="10" t="n">
        <v>46184</v>
      </c>
      <c r="I64" s="8" t="str">
        <f aca="false">A64&amp;"|"&amp;B64&amp;"|"&amp;C64&amp;"|"&amp;D64&amp;"|"&amp;E64&amp;"|"&amp;F64&amp;"|"&amp;G64&amp;"|"&amp;H64</f>
        <v>PT0149|Lata Agarwal|75|female|FLU|paracetamol|515|46184</v>
      </c>
      <c r="J64" s="8" t="str">
        <f aca="false">IF(COUNTIF($I$2:I64,I64)&gt;1,"Duplicate","Unique")</f>
        <v>Unique</v>
      </c>
    </row>
    <row r="65" customFormat="false" ht="15" hidden="false" customHeight="false" outlineLevel="0" collapsed="false">
      <c r="A65" s="8" t="s">
        <v>273</v>
      </c>
      <c r="B65" s="8" t="s">
        <v>274</v>
      </c>
      <c r="C65" s="9" t="n">
        <v>40</v>
      </c>
      <c r="D65" s="8" t="s">
        <v>90</v>
      </c>
      <c r="E65" s="8" t="s">
        <v>228</v>
      </c>
      <c r="F65" s="8" t="s">
        <v>187</v>
      </c>
      <c r="G65" s="9" t="n">
        <v>5</v>
      </c>
      <c r="H65" s="10" t="n">
        <v>45611</v>
      </c>
      <c r="I65" s="8" t="str">
        <f aca="false">A65&amp;"|"&amp;B65&amp;"|"&amp;C65&amp;"|"&amp;D65&amp;"|"&amp;E65&amp;"|"&amp;F65&amp;"|"&amp;G65&amp;"|"&amp;H65</f>
        <v>PT0154|Priya Joshi|40|Female| Allergy |Cetirizine  |5|45611</v>
      </c>
      <c r="J65" s="8" t="str">
        <f aca="false">IF(COUNTIF($I$2:I65,I65)&gt;1,"Duplicate","Unique")</f>
        <v>Unique</v>
      </c>
    </row>
    <row r="66" customFormat="false" ht="15" hidden="false" customHeight="false" outlineLevel="0" collapsed="false">
      <c r="A66" s="8" t="s">
        <v>275</v>
      </c>
      <c r="B66" s="8" t="s">
        <v>276</v>
      </c>
      <c r="C66" s="9" t="n">
        <v>54</v>
      </c>
      <c r="D66" s="8" t="s">
        <v>85</v>
      </c>
      <c r="E66" s="8" t="s">
        <v>105</v>
      </c>
      <c r="F66" s="8" t="s">
        <v>277</v>
      </c>
      <c r="G66" s="9" t="n">
        <v>140</v>
      </c>
      <c r="H66" s="10" t="n">
        <v>46006</v>
      </c>
      <c r="I66" s="8" t="str">
        <f aca="false">A66&amp;"|"&amp;B66&amp;"|"&amp;C66&amp;"|"&amp;D66&amp;"|"&amp;E66&amp;"|"&amp;F66&amp;"|"&amp;G66&amp;"|"&amp;H66</f>
        <v>PT0153|Deepak Nair|54|MALE| Asthma |Salbutamol|140|46006</v>
      </c>
      <c r="J66" s="8" t="str">
        <f aca="false">IF(COUNTIF($I$2:I66,I66)&gt;1,"Duplicate","Unique")</f>
        <v>Unique</v>
      </c>
    </row>
    <row r="67" customFormat="false" ht="15" hidden="false" customHeight="false" outlineLevel="0" collapsed="false">
      <c r="A67" s="8" t="s">
        <v>278</v>
      </c>
      <c r="B67" s="8" t="s">
        <v>279</v>
      </c>
      <c r="C67" s="9" t="n">
        <v>32</v>
      </c>
      <c r="D67" s="8" t="s">
        <v>203</v>
      </c>
      <c r="E67" s="8" t="s">
        <v>125</v>
      </c>
      <c r="F67" s="8" t="s">
        <v>214</v>
      </c>
      <c r="G67" s="9" t="n">
        <v>750</v>
      </c>
      <c r="H67" s="10"/>
      <c r="I67" s="8" t="str">
        <f aca="false">A67&amp;"|"&amp;B67&amp;"|"&amp;C67&amp;"|"&amp;D67&amp;"|"&amp;E67&amp;"|"&amp;F67&amp;"|"&amp;G67&amp;"|"&amp;H67</f>
        <v>PT0042|Sanjay Chauhan|32|m|diabetes|Metformin|750|</v>
      </c>
      <c r="J67" s="8" t="str">
        <f aca="false">IF(COUNTIF($I$2:I67,I67)&gt;1,"Duplicate","Unique")</f>
        <v>Unique</v>
      </c>
    </row>
    <row r="68" customFormat="false" ht="15" hidden="false" customHeight="false" outlineLevel="0" collapsed="false">
      <c r="A68" s="8" t="s">
        <v>280</v>
      </c>
      <c r="B68" s="8" t="s">
        <v>281</v>
      </c>
      <c r="C68" s="9" t="n">
        <v>55</v>
      </c>
      <c r="D68" s="8" t="s">
        <v>76</v>
      </c>
      <c r="E68" s="8" t="s">
        <v>100</v>
      </c>
      <c r="F68" s="8" t="s">
        <v>101</v>
      </c>
      <c r="G68" s="9"/>
      <c r="H68" s="10" t="n">
        <v>46100</v>
      </c>
      <c r="I68" s="8" t="str">
        <f aca="false">A68&amp;"|"&amp;B68&amp;"|"&amp;C68&amp;"|"&amp;D68&amp;"|"&amp;E68&amp;"|"&amp;F68&amp;"|"&amp;G68&amp;"|"&amp;H68</f>
        <v>PT0050|Gopal Tiwari|55| Male|hypertension|AMLODIPINE||46100</v>
      </c>
      <c r="J68" s="8" t="str">
        <f aca="false">IF(COUNTIF($I$2:I68,I68)&gt;1,"Duplicate","Unique")</f>
        <v>Unique</v>
      </c>
    </row>
    <row r="69" customFormat="false" ht="15" hidden="false" customHeight="false" outlineLevel="0" collapsed="false">
      <c r="A69" s="8" t="s">
        <v>282</v>
      </c>
      <c r="B69" s="8" t="s">
        <v>283</v>
      </c>
      <c r="C69" s="9"/>
      <c r="D69" s="8" t="s">
        <v>76</v>
      </c>
      <c r="E69" s="8" t="s">
        <v>235</v>
      </c>
      <c r="F69" s="8" t="s">
        <v>214</v>
      </c>
      <c r="G69" s="9" t="n">
        <v>780</v>
      </c>
      <c r="H69" s="10" t="n">
        <v>45985</v>
      </c>
      <c r="I69" s="8" t="str">
        <f aca="false">A69&amp;"|"&amp;B69&amp;"|"&amp;C69&amp;"|"&amp;D69&amp;"|"&amp;E69&amp;"|"&amp;F69&amp;"|"&amp;G69&amp;"|"&amp;H69</f>
        <v>PT0220|Anil Verma|| Male|DIABETES|Metformin|780|45985</v>
      </c>
      <c r="J69" s="8" t="str">
        <f aca="false">IF(COUNTIF($I$2:I69,I69)&gt;1,"Duplicate","Unique")</f>
        <v>Unique</v>
      </c>
    </row>
    <row r="70" customFormat="false" ht="15" hidden="false" customHeight="false" outlineLevel="0" collapsed="false">
      <c r="A70" s="8" t="s">
        <v>142</v>
      </c>
      <c r="B70" s="8" t="s">
        <v>143</v>
      </c>
      <c r="C70" s="9" t="n">
        <v>31</v>
      </c>
      <c r="D70" s="8" t="s">
        <v>81</v>
      </c>
      <c r="E70" s="8" t="s">
        <v>144</v>
      </c>
      <c r="F70" s="8" t="s">
        <v>145</v>
      </c>
      <c r="G70" s="9" t="n">
        <v>75</v>
      </c>
      <c r="H70" s="10" t="n">
        <v>46155</v>
      </c>
      <c r="I70" s="8" t="str">
        <f aca="false">A70&amp;"|"&amp;B70&amp;"|"&amp;C70&amp;"|"&amp;D70&amp;"|"&amp;E70&amp;"|"&amp;F70&amp;"|"&amp;G70&amp;"|"&amp;H70</f>
        <v>PT0218|Swati Choudhary|31|female|MIGRAINE|Sumatriptan|75|46155</v>
      </c>
      <c r="J70" s="8" t="str">
        <f aca="false">IF(COUNTIF($I$2:I70,I70)&gt;1,"Duplicate","Unique")</f>
        <v>Duplicate</v>
      </c>
    </row>
    <row r="71" customFormat="false" ht="15" hidden="false" customHeight="false" outlineLevel="0" collapsed="false">
      <c r="A71" s="8" t="s">
        <v>284</v>
      </c>
      <c r="B71" s="8" t="s">
        <v>99</v>
      </c>
      <c r="C71" s="9" t="n">
        <v>58</v>
      </c>
      <c r="D71" s="8" t="s">
        <v>76</v>
      </c>
      <c r="E71" s="8" t="s">
        <v>105</v>
      </c>
      <c r="F71" s="8" t="s">
        <v>118</v>
      </c>
      <c r="G71" s="9" t="n">
        <v>185</v>
      </c>
      <c r="H71" s="10" t="n">
        <v>46145</v>
      </c>
      <c r="I71" s="8" t="str">
        <f aca="false">A71&amp;"|"&amp;B71&amp;"|"&amp;C71&amp;"|"&amp;D71&amp;"|"&amp;E71&amp;"|"&amp;F71&amp;"|"&amp;G71&amp;"|"&amp;H71</f>
        <v>PT0075|Suresh Joshi|58| Male| Asthma |salbutamol|185|46145</v>
      </c>
      <c r="J71" s="8" t="str">
        <f aca="false">IF(COUNTIF($I$2:I71,I71)&gt;1,"Duplicate","Unique")</f>
        <v>Unique</v>
      </c>
    </row>
    <row r="72" customFormat="false" ht="15" hidden="false" customHeight="false" outlineLevel="0" collapsed="false">
      <c r="A72" s="8" t="s">
        <v>285</v>
      </c>
      <c r="B72" s="8" t="s">
        <v>286</v>
      </c>
      <c r="C72" s="9" t="n">
        <v>89</v>
      </c>
      <c r="D72" s="8" t="s">
        <v>109</v>
      </c>
      <c r="E72" s="8" t="s">
        <v>100</v>
      </c>
      <c r="F72" s="8" t="s">
        <v>52</v>
      </c>
      <c r="G72" s="9" t="n">
        <v>10</v>
      </c>
      <c r="H72" s="10" t="n">
        <v>46121</v>
      </c>
      <c r="I72" s="8" t="str">
        <f aca="false">A72&amp;"|"&amp;B72&amp;"|"&amp;C72&amp;"|"&amp;D72&amp;"|"&amp;E72&amp;"|"&amp;F72&amp;"|"&amp;G72&amp;"|"&amp;H72</f>
        <v>PT0156|Kiran Nair|89|f|hypertension|Amlodipine|10|46121</v>
      </c>
      <c r="J72" s="8" t="str">
        <f aca="false">IF(COUNTIF($I$2:I72,I72)&gt;1,"Duplicate","Unique")</f>
        <v>Unique</v>
      </c>
    </row>
    <row r="73" customFormat="false" ht="15" hidden="false" customHeight="false" outlineLevel="0" collapsed="false">
      <c r="A73" s="8" t="s">
        <v>287</v>
      </c>
      <c r="B73" s="8" t="s">
        <v>288</v>
      </c>
      <c r="C73" s="9" t="n">
        <v>31</v>
      </c>
      <c r="D73" s="8" t="s">
        <v>104</v>
      </c>
      <c r="E73" s="8" t="s">
        <v>134</v>
      </c>
      <c r="F73" s="8" t="s">
        <v>157</v>
      </c>
      <c r="G73" s="9" t="n">
        <v>50</v>
      </c>
      <c r="H73" s="10" t="n">
        <v>46166</v>
      </c>
      <c r="I73" s="8" t="str">
        <f aca="false">A73&amp;"|"&amp;B73&amp;"|"&amp;C73&amp;"|"&amp;D73&amp;"|"&amp;E73&amp;"|"&amp;F73&amp;"|"&amp;G73&amp;"|"&amp;H73</f>
        <v>PT0066|Radha Shukla|31| Female| Migraine |sumatriptan|50|46166</v>
      </c>
      <c r="J73" s="8" t="str">
        <f aca="false">IF(COUNTIF($I$2:I73,I73)&gt;1,"Duplicate","Unique")</f>
        <v>Unique</v>
      </c>
    </row>
    <row r="74" customFormat="false" ht="15" hidden="false" customHeight="false" outlineLevel="0" collapsed="false">
      <c r="A74" s="8" t="s">
        <v>289</v>
      </c>
      <c r="B74" s="8" t="s">
        <v>290</v>
      </c>
      <c r="C74" s="9" t="n">
        <v>46</v>
      </c>
      <c r="D74" s="8" t="s">
        <v>121</v>
      </c>
      <c r="E74" s="8"/>
      <c r="F74" s="8" t="s">
        <v>118</v>
      </c>
      <c r="G74" s="9" t="n">
        <v>165</v>
      </c>
      <c r="H74" s="10" t="n">
        <v>45715</v>
      </c>
      <c r="I74" s="8" t="str">
        <f aca="false">A74&amp;"|"&amp;B74&amp;"|"&amp;C74&amp;"|"&amp;D74&amp;"|"&amp;E74&amp;"|"&amp;F74&amp;"|"&amp;G74&amp;"|"&amp;H74</f>
        <v>PT0204|Kavita Sharma|46|FEMALE||salbutamol|165|45715</v>
      </c>
      <c r="J74" s="8" t="str">
        <f aca="false">IF(COUNTIF($I$2:I74,I74)&gt;1,"Duplicate","Unique")</f>
        <v>Unique</v>
      </c>
    </row>
    <row r="75" customFormat="false" ht="15" hidden="false" customHeight="false" outlineLevel="0" collapsed="false">
      <c r="A75" s="8" t="s">
        <v>291</v>
      </c>
      <c r="B75" s="8" t="s">
        <v>71</v>
      </c>
      <c r="C75" s="9" t="n">
        <v>42</v>
      </c>
      <c r="D75" s="8" t="s">
        <v>85</v>
      </c>
      <c r="E75" s="8" t="s">
        <v>235</v>
      </c>
      <c r="F75" s="8" t="s">
        <v>214</v>
      </c>
      <c r="G75" s="9" t="n">
        <v>1000</v>
      </c>
      <c r="H75" s="10" t="n">
        <v>46254</v>
      </c>
      <c r="I75" s="8" t="str">
        <f aca="false">A75&amp;"|"&amp;B75&amp;"|"&amp;C75&amp;"|"&amp;D75&amp;"|"&amp;E75&amp;"|"&amp;F75&amp;"|"&amp;G75&amp;"|"&amp;H75</f>
        <v>PT0056|Alok Mishra|42|MALE|DIABETES|Metformin|1000|46254</v>
      </c>
      <c r="J75" s="8" t="str">
        <f aca="false">IF(COUNTIF($I$2:I75,I75)&gt;1,"Duplicate","Unique")</f>
        <v>Unique</v>
      </c>
    </row>
    <row r="76" customFormat="false" ht="15" hidden="false" customHeight="false" outlineLevel="0" collapsed="false">
      <c r="A76" s="8" t="s">
        <v>292</v>
      </c>
      <c r="B76" s="8" t="s">
        <v>293</v>
      </c>
      <c r="C76" s="9" t="n">
        <v>41</v>
      </c>
      <c r="D76" s="8" t="s">
        <v>121</v>
      </c>
      <c r="E76" s="8" t="s">
        <v>162</v>
      </c>
      <c r="F76" s="8" t="s">
        <v>52</v>
      </c>
      <c r="G76" s="9"/>
      <c r="H76" s="10" t="n">
        <v>46246</v>
      </c>
      <c r="I76" s="8" t="str">
        <f aca="false">A76&amp;"|"&amp;B76&amp;"|"&amp;C76&amp;"|"&amp;D76&amp;"|"&amp;E76&amp;"|"&amp;F76&amp;"|"&amp;G76&amp;"|"&amp;H76</f>
        <v>PT0129|Nisha Chauhan|41|FEMALE|Hypertension  |Amlodipine||46246</v>
      </c>
      <c r="J76" s="8" t="str">
        <f aca="false">IF(COUNTIF($I$2:I76,I76)&gt;1,"Duplicate","Unique")</f>
        <v>Unique</v>
      </c>
    </row>
    <row r="77" customFormat="false" ht="15" hidden="false" customHeight="false" outlineLevel="0" collapsed="false">
      <c r="A77" s="8" t="s">
        <v>294</v>
      </c>
      <c r="B77" s="8" t="s">
        <v>295</v>
      </c>
      <c r="C77" s="9" t="n">
        <v>20</v>
      </c>
      <c r="D77" s="8" t="s">
        <v>85</v>
      </c>
      <c r="E77" s="8" t="s">
        <v>162</v>
      </c>
      <c r="F77" s="8" t="s">
        <v>110</v>
      </c>
      <c r="G77" s="9" t="n">
        <v>5</v>
      </c>
      <c r="H77" s="10" t="n">
        <v>45832</v>
      </c>
      <c r="I77" s="8" t="str">
        <f aca="false">A77&amp;"|"&amp;B77&amp;"|"&amp;C77&amp;"|"&amp;D77&amp;"|"&amp;E77&amp;"|"&amp;F77&amp;"|"&amp;G77&amp;"|"&amp;H77</f>
        <v>PT0007|Alok Rathore|20|MALE|Hypertension  | Amlodipine |5|45832</v>
      </c>
      <c r="J77" s="8" t="str">
        <f aca="false">IF(COUNTIF($I$2:I77,I77)&gt;1,"Duplicate","Unique")</f>
        <v>Unique</v>
      </c>
    </row>
    <row r="78" customFormat="false" ht="15" hidden="false" customHeight="false" outlineLevel="0" collapsed="false">
      <c r="A78" s="8" t="s">
        <v>296</v>
      </c>
      <c r="B78" s="8" t="s">
        <v>297</v>
      </c>
      <c r="C78" s="9" t="n">
        <v>32</v>
      </c>
      <c r="D78" s="8" t="s">
        <v>190</v>
      </c>
      <c r="E78" s="8" t="s">
        <v>298</v>
      </c>
      <c r="F78" s="8" t="s">
        <v>299</v>
      </c>
      <c r="G78" s="9" t="n">
        <v>605</v>
      </c>
      <c r="H78" s="10" t="n">
        <v>45754</v>
      </c>
      <c r="I78" s="8" t="str">
        <f aca="false">A78&amp;"|"&amp;B78&amp;"|"&amp;C78&amp;"|"&amp;D78&amp;"|"&amp;E78&amp;"|"&amp;F78&amp;"|"&amp;G78&amp;"|"&amp;H78</f>
        <v>PT0068|Ravi Joshi|32|Male |Flu| Paracetamol |605|45754</v>
      </c>
      <c r="J78" s="8" t="str">
        <f aca="false">IF(COUNTIF($I$2:I78,I78)&gt;1,"Duplicate","Unique")</f>
        <v>Unique</v>
      </c>
    </row>
    <row r="79" customFormat="false" ht="15" hidden="false" customHeight="false" outlineLevel="0" collapsed="false">
      <c r="A79" s="8" t="s">
        <v>300</v>
      </c>
      <c r="B79" s="8" t="s">
        <v>301</v>
      </c>
      <c r="C79" s="9" t="n">
        <v>45</v>
      </c>
      <c r="D79" s="8" t="s">
        <v>121</v>
      </c>
      <c r="E79" s="8" t="s">
        <v>235</v>
      </c>
      <c r="F79" s="8" t="s">
        <v>126</v>
      </c>
      <c r="G79" s="9" t="n">
        <v>575</v>
      </c>
      <c r="H79" s="10" t="n">
        <v>46015</v>
      </c>
      <c r="I79" s="8" t="str">
        <f aca="false">A79&amp;"|"&amp;B79&amp;"|"&amp;C79&amp;"|"&amp;D79&amp;"|"&amp;E79&amp;"|"&amp;F79&amp;"|"&amp;G79&amp;"|"&amp;H79</f>
        <v>PT0123|Suman Saxena|45|FEMALE|DIABETES|Metformin  |575|46015</v>
      </c>
      <c r="J79" s="8" t="str">
        <f aca="false">IF(COUNTIF($I$2:I79,I79)&gt;1,"Duplicate","Unique")</f>
        <v>Unique</v>
      </c>
    </row>
    <row r="80" customFormat="false" ht="15" hidden="false" customHeight="false" outlineLevel="0" collapsed="false">
      <c r="A80" s="8" t="s">
        <v>302</v>
      </c>
      <c r="B80" s="8" t="s">
        <v>245</v>
      </c>
      <c r="C80" s="9" t="n">
        <v>4</v>
      </c>
      <c r="D80" s="8" t="s">
        <v>81</v>
      </c>
      <c r="E80" s="8" t="s">
        <v>183</v>
      </c>
      <c r="F80" s="8" t="s">
        <v>166</v>
      </c>
      <c r="G80" s="9" t="n">
        <v>80</v>
      </c>
      <c r="H80" s="10" t="n">
        <v>45768</v>
      </c>
      <c r="I80" s="8" t="str">
        <f aca="false">A80&amp;"|"&amp;B80&amp;"|"&amp;C80&amp;"|"&amp;D80&amp;"|"&amp;E80&amp;"|"&amp;F80&amp;"|"&amp;G80&amp;"|"&amp;H80</f>
        <v>PT0109|Manju Reddy|4|female|Obesity  |Orlistat|80|45768</v>
      </c>
      <c r="J80" s="8" t="str">
        <f aca="false">IF(COUNTIF($I$2:I80,I80)&gt;1,"Duplicate","Unique")</f>
        <v>Unique</v>
      </c>
    </row>
    <row r="81" customFormat="false" ht="15" hidden="false" customHeight="false" outlineLevel="0" collapsed="false">
      <c r="A81" s="8" t="s">
        <v>140</v>
      </c>
      <c r="B81" s="8" t="s">
        <v>141</v>
      </c>
      <c r="C81" s="9" t="n">
        <v>59</v>
      </c>
      <c r="D81" s="8" t="s">
        <v>121</v>
      </c>
      <c r="E81" s="8" t="s">
        <v>91</v>
      </c>
      <c r="F81" s="8" t="s">
        <v>126</v>
      </c>
      <c r="G81" s="9" t="n">
        <v>970</v>
      </c>
      <c r="H81" s="10" t="n">
        <v>46031</v>
      </c>
      <c r="I81" s="8" t="str">
        <f aca="false">A81&amp;"|"&amp;B81&amp;"|"&amp;C81&amp;"|"&amp;D81&amp;"|"&amp;E81&amp;"|"&amp;F81&amp;"|"&amp;G81&amp;"|"&amp;H81</f>
        <v>PT0108|Divya Kumar|59|FEMALE| Diabetes |Metformin  |970|46031</v>
      </c>
      <c r="J81" s="8" t="str">
        <f aca="false">IF(COUNTIF($I$2:I81,I81)&gt;1,"Duplicate","Unique")</f>
        <v>Duplicate</v>
      </c>
    </row>
    <row r="82" customFormat="false" ht="15" hidden="false" customHeight="false" outlineLevel="0" collapsed="false">
      <c r="A82" s="8" t="s">
        <v>303</v>
      </c>
      <c r="B82" s="8" t="s">
        <v>304</v>
      </c>
      <c r="C82" s="9" t="n">
        <v>37</v>
      </c>
      <c r="D82" s="8" t="s">
        <v>85</v>
      </c>
      <c r="E82" s="8" t="s">
        <v>258</v>
      </c>
      <c r="F82" s="8" t="s">
        <v>251</v>
      </c>
      <c r="G82" s="9" t="n">
        <v>285</v>
      </c>
      <c r="H82" s="10" t="n">
        <v>45666</v>
      </c>
      <c r="I82" s="8" t="str">
        <f aca="false">A82&amp;"|"&amp;B82&amp;"|"&amp;C82&amp;"|"&amp;D82&amp;"|"&amp;E82&amp;"|"&amp;F82&amp;"|"&amp;G82&amp;"|"&amp;H82</f>
        <v>PT0065|Praveen Agarwal|37|MALE|ANEMIA| Ferrous Sulfate |285|45666</v>
      </c>
      <c r="J82" s="8" t="str">
        <f aca="false">IF(COUNTIF($I$2:I82,I82)&gt;1,"Duplicate","Unique")</f>
        <v>Unique</v>
      </c>
    </row>
    <row r="83" customFormat="false" ht="15" hidden="false" customHeight="false" outlineLevel="0" collapsed="false">
      <c r="A83" s="8" t="s">
        <v>305</v>
      </c>
      <c r="B83" s="8" t="s">
        <v>306</v>
      </c>
      <c r="C83" s="9" t="n">
        <v>11</v>
      </c>
      <c r="D83" s="8" t="s">
        <v>85</v>
      </c>
      <c r="E83" s="8" t="s">
        <v>307</v>
      </c>
      <c r="F83" s="8" t="s">
        <v>240</v>
      </c>
      <c r="G83" s="9" t="n">
        <v>35</v>
      </c>
      <c r="H83" s="10" t="n">
        <v>46194</v>
      </c>
      <c r="I83" s="8" t="str">
        <f aca="false">A83&amp;"|"&amp;B83&amp;"|"&amp;C83&amp;"|"&amp;D83&amp;"|"&amp;E83&amp;"|"&amp;F83&amp;"|"&amp;G83&amp;"|"&amp;H83</f>
        <v>PT0086|Rakesh Choudhary|11|MALE|migraine| Sumatriptan |35|46194</v>
      </c>
      <c r="J83" s="8" t="str">
        <f aca="false">IF(COUNTIF($I$2:I83,I83)&gt;1,"Duplicate","Unique")</f>
        <v>Unique</v>
      </c>
    </row>
    <row r="84" customFormat="false" ht="15" hidden="false" customHeight="false" outlineLevel="0" collapsed="false">
      <c r="A84" s="8" t="s">
        <v>308</v>
      </c>
      <c r="B84" s="8" t="s">
        <v>309</v>
      </c>
      <c r="C84" s="9"/>
      <c r="D84" s="8"/>
      <c r="E84" s="8" t="s">
        <v>100</v>
      </c>
      <c r="F84" s="8" t="s">
        <v>101</v>
      </c>
      <c r="G84" s="9" t="n">
        <v>10</v>
      </c>
      <c r="H84" s="10" t="n">
        <v>45829</v>
      </c>
      <c r="I84" s="8" t="str">
        <f aca="false">A84&amp;"|"&amp;B84&amp;"|"&amp;C84&amp;"|"&amp;D84&amp;"|"&amp;E84&amp;"|"&amp;F84&amp;"|"&amp;G84&amp;"|"&amp;H84</f>
        <v>PT0216|Seema Joshi|||hypertension|AMLODIPINE|10|45829</v>
      </c>
      <c r="J84" s="8" t="str">
        <f aca="false">IF(COUNTIF($I$2:I84,I84)&gt;1,"Duplicate","Unique")</f>
        <v>Unique</v>
      </c>
    </row>
    <row r="85" customFormat="false" ht="15" hidden="false" customHeight="false" outlineLevel="0" collapsed="false">
      <c r="A85" s="8" t="s">
        <v>310</v>
      </c>
      <c r="B85" s="8" t="s">
        <v>311</v>
      </c>
      <c r="C85" s="9" t="n">
        <v>32</v>
      </c>
      <c r="D85" s="8" t="s">
        <v>203</v>
      </c>
      <c r="E85" s="8" t="s">
        <v>114</v>
      </c>
      <c r="F85" s="8" t="s">
        <v>312</v>
      </c>
      <c r="G85" s="9" t="n">
        <v>285</v>
      </c>
      <c r="H85" s="10" t="n">
        <v>45889</v>
      </c>
      <c r="I85" s="8" t="str">
        <f aca="false">A85&amp;"|"&amp;B85&amp;"|"&amp;C85&amp;"|"&amp;D85&amp;"|"&amp;E85&amp;"|"&amp;F85&amp;"|"&amp;G85&amp;"|"&amp;H85</f>
        <v>PT0201|Naveen Saxena|32|m|bronchitis|azithromycin|285|45889</v>
      </c>
      <c r="J85" s="8" t="str">
        <f aca="false">IF(COUNTIF($I$2:I85,I85)&gt;1,"Duplicate","Unique")</f>
        <v>Unique</v>
      </c>
    </row>
    <row r="86" customFormat="false" ht="15" hidden="false" customHeight="false" outlineLevel="0" collapsed="false">
      <c r="A86" s="8" t="s">
        <v>313</v>
      </c>
      <c r="B86" s="8" t="s">
        <v>314</v>
      </c>
      <c r="C86" s="9" t="n">
        <v>79</v>
      </c>
      <c r="D86" s="8" t="s">
        <v>113</v>
      </c>
      <c r="E86" s="8" t="s">
        <v>100</v>
      </c>
      <c r="F86" s="8" t="s">
        <v>193</v>
      </c>
      <c r="G86" s="9" t="n">
        <v>5</v>
      </c>
      <c r="H86" s="10" t="n">
        <v>46228</v>
      </c>
      <c r="I86" s="8" t="str">
        <f aca="false">A86&amp;"|"&amp;B86&amp;"|"&amp;C86&amp;"|"&amp;D86&amp;"|"&amp;E86&amp;"|"&amp;F86&amp;"|"&amp;G86&amp;"|"&amp;H86</f>
        <v>PT0164|Sandeep Gupta|79|male|hypertension|Amlodipine  |5|46228</v>
      </c>
      <c r="J86" s="8" t="str">
        <f aca="false">IF(COUNTIF($I$2:I86,I86)&gt;1,"Duplicate","Unique")</f>
        <v>Unique</v>
      </c>
    </row>
    <row r="87" customFormat="false" ht="15" hidden="false" customHeight="false" outlineLevel="0" collapsed="false">
      <c r="A87" s="8" t="s">
        <v>315</v>
      </c>
      <c r="B87" s="8" t="s">
        <v>316</v>
      </c>
      <c r="C87" s="9" t="n">
        <v>60</v>
      </c>
      <c r="D87" s="8" t="s">
        <v>95</v>
      </c>
      <c r="E87" s="8" t="s">
        <v>68</v>
      </c>
      <c r="F87" s="8" t="s">
        <v>317</v>
      </c>
      <c r="G87" s="9" t="n">
        <v>360</v>
      </c>
      <c r="H87" s="10" t="n">
        <v>45972</v>
      </c>
      <c r="I87" s="8" t="str">
        <f aca="false">A87&amp;"|"&amp;B87&amp;"|"&amp;C87&amp;"|"&amp;D87&amp;"|"&amp;E87&amp;"|"&amp;F87&amp;"|"&amp;G87&amp;"|"&amp;H87</f>
        <v>PT0076|Preeti Joshi|60|F|Arthritis|ibuprofen|360|45972</v>
      </c>
      <c r="J87" s="8" t="str">
        <f aca="false">IF(COUNTIF($I$2:I87,I87)&gt;1,"Duplicate","Unique")</f>
        <v>Unique</v>
      </c>
    </row>
    <row r="88" customFormat="false" ht="15" hidden="false" customHeight="false" outlineLevel="0" collapsed="false">
      <c r="A88" s="8" t="s">
        <v>318</v>
      </c>
      <c r="B88" s="8" t="s">
        <v>319</v>
      </c>
      <c r="C88" s="9" t="n">
        <v>22</v>
      </c>
      <c r="D88" s="8" t="s">
        <v>109</v>
      </c>
      <c r="E88" s="8" t="s">
        <v>235</v>
      </c>
      <c r="F88" s="8" t="s">
        <v>92</v>
      </c>
      <c r="G88" s="9" t="n">
        <v>645</v>
      </c>
      <c r="H88" s="10" t="n">
        <v>45831</v>
      </c>
      <c r="I88" s="8" t="str">
        <f aca="false">A88&amp;"|"&amp;B88&amp;"|"&amp;C88&amp;"|"&amp;D88&amp;"|"&amp;E88&amp;"|"&amp;F88&amp;"|"&amp;G88&amp;"|"&amp;H88</f>
        <v>PT0119|Priya Pandey|22|f|DIABETES|metformin|645|45831</v>
      </c>
      <c r="J88" s="8" t="str">
        <f aca="false">IF(COUNTIF($I$2:I88,I88)&gt;1,"Duplicate","Unique")</f>
        <v>Unique</v>
      </c>
    </row>
    <row r="89" customFormat="false" ht="15" hidden="false" customHeight="false" outlineLevel="0" collapsed="false">
      <c r="A89" s="8" t="s">
        <v>320</v>
      </c>
      <c r="B89" s="8" t="s">
        <v>108</v>
      </c>
      <c r="C89" s="9" t="n">
        <v>28</v>
      </c>
      <c r="D89" s="8" t="s">
        <v>131</v>
      </c>
      <c r="E89" s="8"/>
      <c r="F89" s="8"/>
      <c r="G89" s="9" t="n">
        <v>30</v>
      </c>
      <c r="H89" s="10" t="n">
        <v>45542</v>
      </c>
      <c r="I89" s="8" t="str">
        <f aca="false">A89&amp;"|"&amp;B89&amp;"|"&amp;C89&amp;"|"&amp;D89&amp;"|"&amp;E89&amp;"|"&amp;F89&amp;"|"&amp;G89&amp;"|"&amp;H89</f>
        <v>PT0196|Preeti Agarwal|28|Female |||30|45542</v>
      </c>
      <c r="J89" s="8" t="str">
        <f aca="false">IF(COUNTIF($I$2:I89,I89)&gt;1,"Duplicate","Unique")</f>
        <v>Unique</v>
      </c>
    </row>
    <row r="90" customFormat="false" ht="15" hidden="false" customHeight="false" outlineLevel="0" collapsed="false">
      <c r="A90" s="8" t="s">
        <v>321</v>
      </c>
      <c r="B90" s="8" t="s">
        <v>322</v>
      </c>
      <c r="C90" s="9" t="n">
        <v>38</v>
      </c>
      <c r="D90" s="8" t="s">
        <v>190</v>
      </c>
      <c r="E90" s="8" t="s">
        <v>254</v>
      </c>
      <c r="F90" s="8" t="s">
        <v>323</v>
      </c>
      <c r="G90" s="9" t="n">
        <v>595</v>
      </c>
      <c r="H90" s="10" t="n">
        <v>45778</v>
      </c>
      <c r="I90" s="8" t="str">
        <f aca="false">A90&amp;"|"&amp;B90&amp;"|"&amp;C90&amp;"|"&amp;D90&amp;"|"&amp;E90&amp;"|"&amp;F90&amp;"|"&amp;G90&amp;"|"&amp;H90</f>
        <v>PT0054|Harish Pandey|38|Male |COVID-19|Favipiravir|595|45778</v>
      </c>
      <c r="J90" s="8" t="str">
        <f aca="false">IF(COUNTIF($I$2:I90,I90)&gt;1,"Duplicate","Unique")</f>
        <v>Unique</v>
      </c>
    </row>
    <row r="91" customFormat="false" ht="15" hidden="false" customHeight="false" outlineLevel="0" collapsed="false">
      <c r="A91" s="8" t="s">
        <v>324</v>
      </c>
      <c r="B91" s="8" t="s">
        <v>325</v>
      </c>
      <c r="C91" s="9" t="n">
        <v>63</v>
      </c>
      <c r="D91" s="8" t="s">
        <v>131</v>
      </c>
      <c r="E91" s="8" t="s">
        <v>235</v>
      </c>
      <c r="F91" s="8" t="s">
        <v>236</v>
      </c>
      <c r="G91" s="9" t="n">
        <v>880</v>
      </c>
      <c r="H91" s="10"/>
      <c r="I91" s="8" t="str">
        <f aca="false">A91&amp;"|"&amp;B91&amp;"|"&amp;C91&amp;"|"&amp;D91&amp;"|"&amp;E91&amp;"|"&amp;F91&amp;"|"&amp;G91&amp;"|"&amp;H91</f>
        <v>PT0102|Geeta Chauhan|63|Female |DIABETES|METFORMIN|880|</v>
      </c>
      <c r="J91" s="8" t="str">
        <f aca="false">IF(COUNTIF($I$2:I91,I91)&gt;1,"Duplicate","Unique")</f>
        <v>Unique</v>
      </c>
    </row>
    <row r="92" customFormat="false" ht="15" hidden="false" customHeight="false" outlineLevel="0" collapsed="false">
      <c r="A92" s="8" t="s">
        <v>326</v>
      </c>
      <c r="B92" s="8" t="s">
        <v>327</v>
      </c>
      <c r="C92" s="9" t="n">
        <v>46</v>
      </c>
      <c r="D92" s="8" t="s">
        <v>85</v>
      </c>
      <c r="E92" s="8" t="s">
        <v>328</v>
      </c>
      <c r="F92" s="8" t="s">
        <v>217</v>
      </c>
      <c r="G92" s="9" t="n">
        <v>575</v>
      </c>
      <c r="H92" s="10" t="n">
        <v>45889</v>
      </c>
      <c r="I92" s="8" t="str">
        <f aca="false">A92&amp;"|"&amp;B92&amp;"|"&amp;C92&amp;"|"&amp;D92&amp;"|"&amp;E92&amp;"|"&amp;F92&amp;"|"&amp;G92&amp;"|"&amp;H92</f>
        <v>PT0140|Naveen Yadav|46|MALE|Flu  |PARACETAMOL|575|45889</v>
      </c>
      <c r="J92" s="8" t="str">
        <f aca="false">IF(COUNTIF($I$2:I92,I92)&gt;1,"Duplicate","Unique")</f>
        <v>Unique</v>
      </c>
    </row>
    <row r="93" customFormat="false" ht="15" hidden="false" customHeight="false" outlineLevel="0" collapsed="false">
      <c r="A93" s="8" t="s">
        <v>329</v>
      </c>
      <c r="B93" s="8" t="s">
        <v>330</v>
      </c>
      <c r="C93" s="9" t="n">
        <v>52</v>
      </c>
      <c r="D93" s="8" t="s">
        <v>113</v>
      </c>
      <c r="E93" s="8" t="s">
        <v>96</v>
      </c>
      <c r="F93" s="8" t="s">
        <v>97</v>
      </c>
      <c r="G93" s="9" t="n">
        <v>5</v>
      </c>
      <c r="H93" s="10" t="n">
        <v>45806</v>
      </c>
      <c r="I93" s="8" t="str">
        <f aca="false">A93&amp;"|"&amp;B93&amp;"|"&amp;C93&amp;"|"&amp;D93&amp;"|"&amp;E93&amp;"|"&amp;F93&amp;"|"&amp;G93&amp;"|"&amp;H93</f>
        <v>PT0120|Sunil Joshi|52|male|HYPERTENSION|amlodipine|5|45806</v>
      </c>
      <c r="J93" s="8" t="str">
        <f aca="false">IF(COUNTIF($I$2:I93,I93)&gt;1,"Duplicate","Unique")</f>
        <v>Unique</v>
      </c>
    </row>
    <row r="94" customFormat="false" ht="15" hidden="false" customHeight="false" outlineLevel="0" collapsed="false">
      <c r="A94" s="8" t="s">
        <v>331</v>
      </c>
      <c r="B94" s="8" t="s">
        <v>332</v>
      </c>
      <c r="C94" s="9" t="n">
        <v>49</v>
      </c>
      <c r="D94" s="8" t="s">
        <v>203</v>
      </c>
      <c r="E94" s="8" t="s">
        <v>162</v>
      </c>
      <c r="F94" s="8" t="s">
        <v>110</v>
      </c>
      <c r="G94" s="9" t="n">
        <v>10</v>
      </c>
      <c r="H94" s="10" t="n">
        <v>45669</v>
      </c>
      <c r="I94" s="8" t="str">
        <f aca="false">A94&amp;"|"&amp;B94&amp;"|"&amp;C94&amp;"|"&amp;D94&amp;"|"&amp;E94&amp;"|"&amp;F94&amp;"|"&amp;G94&amp;"|"&amp;H94</f>
        <v>PT0189|Vijay Gupta|49|m|Hypertension  | Amlodipine |10|45669</v>
      </c>
      <c r="J94" s="8" t="str">
        <f aca="false">IF(COUNTIF($I$2:I94,I94)&gt;1,"Duplicate","Unique")</f>
        <v>Unique</v>
      </c>
    </row>
    <row r="95" customFormat="false" ht="15" hidden="false" customHeight="false" outlineLevel="0" collapsed="false">
      <c r="A95" s="8" t="s">
        <v>333</v>
      </c>
      <c r="B95" s="8" t="s">
        <v>334</v>
      </c>
      <c r="C95" s="9" t="n">
        <v>59</v>
      </c>
      <c r="D95" s="8" t="s">
        <v>95</v>
      </c>
      <c r="E95" s="8"/>
      <c r="F95" s="8" t="s">
        <v>240</v>
      </c>
      <c r="G95" s="9" t="n">
        <v>85</v>
      </c>
      <c r="H95" s="10" t="n">
        <v>46231</v>
      </c>
      <c r="I95" s="8" t="str">
        <f aca="false">A95&amp;"|"&amp;B95&amp;"|"&amp;C95&amp;"|"&amp;D95&amp;"|"&amp;E95&amp;"|"&amp;F95&amp;"|"&amp;G95&amp;"|"&amp;H95</f>
        <v>PT0059|Geeta Gupta|59|F|| Sumatriptan |85|46231</v>
      </c>
      <c r="J95" s="8" t="str">
        <f aca="false">IF(COUNTIF($I$2:I95,I95)&gt;1,"Duplicate","Unique")</f>
        <v>Unique</v>
      </c>
    </row>
    <row r="96" customFormat="false" ht="15" hidden="false" customHeight="false" outlineLevel="0" collapsed="false">
      <c r="A96" s="8" t="s">
        <v>335</v>
      </c>
      <c r="B96" s="8" t="s">
        <v>336</v>
      </c>
      <c r="C96" s="9" t="n">
        <v>49</v>
      </c>
      <c r="D96" s="8" t="s">
        <v>46</v>
      </c>
      <c r="E96" s="8" t="s">
        <v>49</v>
      </c>
      <c r="F96" s="8" t="s">
        <v>97</v>
      </c>
      <c r="G96" s="9" t="n">
        <v>5</v>
      </c>
      <c r="H96" s="10" t="n">
        <v>45770</v>
      </c>
      <c r="I96" s="8" t="str">
        <f aca="false">A96&amp;"|"&amp;B96&amp;"|"&amp;C96&amp;"|"&amp;D96&amp;"|"&amp;E96&amp;"|"&amp;F96&amp;"|"&amp;G96&amp;"|"&amp;H96</f>
        <v>PT0028|Rakesh Mishra|49|Male|Hypertension|amlodipine|5|45770</v>
      </c>
      <c r="J96" s="8" t="str">
        <f aca="false">IF(COUNTIF($I$2:I96,I96)&gt;1,"Duplicate","Unique")</f>
        <v>Unique</v>
      </c>
    </row>
    <row r="97" customFormat="false" ht="15" hidden="false" customHeight="false" outlineLevel="0" collapsed="false">
      <c r="A97" s="8" t="s">
        <v>337</v>
      </c>
      <c r="B97" s="8" t="s">
        <v>338</v>
      </c>
      <c r="C97" s="9" t="n">
        <v>78</v>
      </c>
      <c r="D97" s="8" t="s">
        <v>46</v>
      </c>
      <c r="E97" s="8" t="s">
        <v>250</v>
      </c>
      <c r="F97" s="8" t="s">
        <v>339</v>
      </c>
      <c r="G97" s="9" t="n">
        <v>220</v>
      </c>
      <c r="H97" s="10" t="n">
        <v>46094</v>
      </c>
      <c r="I97" s="8" t="str">
        <f aca="false">A97&amp;"|"&amp;B97&amp;"|"&amp;C97&amp;"|"&amp;D97&amp;"|"&amp;E97&amp;"|"&amp;F97&amp;"|"&amp;G97&amp;"|"&amp;H97</f>
        <v>PT0051|Ashok Sharma|78|Male|anemia|Ferrous Sulfate  |220|46094</v>
      </c>
      <c r="J97" s="8" t="str">
        <f aca="false">IF(COUNTIF($I$2:I97,I97)&gt;1,"Duplicate","Unique")</f>
        <v>Unique</v>
      </c>
    </row>
    <row r="98" customFormat="false" ht="15" hidden="false" customHeight="false" outlineLevel="0" collapsed="false">
      <c r="A98" s="8" t="s">
        <v>340</v>
      </c>
      <c r="B98" s="8" t="s">
        <v>341</v>
      </c>
      <c r="C98" s="9" t="n">
        <v>52</v>
      </c>
      <c r="D98" s="8" t="s">
        <v>67</v>
      </c>
      <c r="E98" s="8" t="s">
        <v>250</v>
      </c>
      <c r="F98" s="8" t="s">
        <v>339</v>
      </c>
      <c r="G98" s="9" t="n">
        <v>230</v>
      </c>
      <c r="H98" s="10" t="n">
        <v>45976</v>
      </c>
      <c r="I98" s="8" t="str">
        <f aca="false">A98&amp;"|"&amp;B98&amp;"|"&amp;C98&amp;"|"&amp;D98&amp;"|"&amp;E98&amp;"|"&amp;F98&amp;"|"&amp;G98&amp;"|"&amp;H98</f>
        <v>PT0186|Dinesh Rao|52|M|anemia|Ferrous Sulfate  |230|45976</v>
      </c>
      <c r="J98" s="8" t="str">
        <f aca="false">IF(COUNTIF($I$2:I98,I98)&gt;1,"Duplicate","Unique")</f>
        <v>Unique</v>
      </c>
    </row>
    <row r="99" customFormat="false" ht="15" hidden="false" customHeight="false" outlineLevel="0" collapsed="false">
      <c r="A99" s="8" t="s">
        <v>342</v>
      </c>
      <c r="B99" s="8" t="s">
        <v>343</v>
      </c>
      <c r="C99" s="9" t="n">
        <v>52</v>
      </c>
      <c r="D99" s="8" t="s">
        <v>95</v>
      </c>
      <c r="E99" s="8" t="s">
        <v>122</v>
      </c>
      <c r="F99" s="8" t="s">
        <v>97</v>
      </c>
      <c r="G99" s="9" t="n">
        <v>5</v>
      </c>
      <c r="H99" s="10" t="n">
        <v>46079</v>
      </c>
      <c r="I99" s="8" t="str">
        <f aca="false">A99&amp;"|"&amp;B99&amp;"|"&amp;C99&amp;"|"&amp;D99&amp;"|"&amp;E99&amp;"|"&amp;F99&amp;"|"&amp;G99&amp;"|"&amp;H99</f>
        <v>PT0210|Preeti Kumar|52|F| Hypertension |amlodipine|5|46079</v>
      </c>
      <c r="J99" s="8" t="str">
        <f aca="false">IF(COUNTIF($I$2:I99,I99)&gt;1,"Duplicate","Unique")</f>
        <v>Unique</v>
      </c>
    </row>
    <row r="100" customFormat="false" ht="15" hidden="false" customHeight="false" outlineLevel="0" collapsed="false">
      <c r="A100" s="8" t="s">
        <v>344</v>
      </c>
      <c r="B100" s="8" t="s">
        <v>345</v>
      </c>
      <c r="C100" s="9" t="n">
        <v>64</v>
      </c>
      <c r="D100" s="8" t="s">
        <v>76</v>
      </c>
      <c r="E100" s="8" t="s">
        <v>258</v>
      </c>
      <c r="F100" s="8" t="s">
        <v>251</v>
      </c>
      <c r="G100" s="9" t="n">
        <v>260</v>
      </c>
      <c r="H100" s="10" t="n">
        <v>46223</v>
      </c>
      <c r="I100" s="8" t="str">
        <f aca="false">A100&amp;"|"&amp;B100&amp;"|"&amp;C100&amp;"|"&amp;D100&amp;"|"&amp;E100&amp;"|"&amp;F100&amp;"|"&amp;G100&amp;"|"&amp;H100</f>
        <v>PT0026|Sunil Patel|64| Male|ANEMIA| Ferrous Sulfate |260|46223</v>
      </c>
      <c r="J100" s="8" t="str">
        <f aca="false">IF(COUNTIF($I$2:I100,I100)&gt;1,"Duplicate","Unique")</f>
        <v>Unique</v>
      </c>
    </row>
    <row r="101" customFormat="false" ht="15" hidden="false" customHeight="false" outlineLevel="0" collapsed="false">
      <c r="A101" s="8" t="s">
        <v>346</v>
      </c>
      <c r="B101" s="8"/>
      <c r="C101" s="9" t="n">
        <v>47</v>
      </c>
      <c r="D101" s="8" t="s">
        <v>104</v>
      </c>
      <c r="E101" s="8" t="s">
        <v>228</v>
      </c>
      <c r="F101" s="8" t="s">
        <v>347</v>
      </c>
      <c r="G101" s="9" t="n">
        <v>5</v>
      </c>
      <c r="H101" s="10" t="n">
        <v>45677</v>
      </c>
      <c r="I101" s="8" t="str">
        <f aca="false">A101&amp;"|"&amp;B101&amp;"|"&amp;C101&amp;"|"&amp;D101&amp;"|"&amp;E101&amp;"|"&amp;F101&amp;"|"&amp;G101&amp;"|"&amp;H101</f>
        <v>PT0079||47| Female| Allergy |cetirizine|5|45677</v>
      </c>
      <c r="J101" s="8" t="str">
        <f aca="false">IF(COUNTIF($I$2:I101,I101)&gt;1,"Duplicate","Unique")</f>
        <v>Unique</v>
      </c>
    </row>
    <row r="102" customFormat="false" ht="15" hidden="false" customHeight="false" outlineLevel="0" collapsed="false">
      <c r="A102" s="8" t="s">
        <v>348</v>
      </c>
      <c r="B102" s="8" t="s">
        <v>349</v>
      </c>
      <c r="C102" s="9" t="n">
        <v>27</v>
      </c>
      <c r="D102" s="8" t="s">
        <v>90</v>
      </c>
      <c r="E102" s="8" t="s">
        <v>235</v>
      </c>
      <c r="F102" s="8" t="s">
        <v>73</v>
      </c>
      <c r="G102" s="9" t="n">
        <v>655</v>
      </c>
      <c r="H102" s="10" t="n">
        <v>45613</v>
      </c>
      <c r="I102" s="8" t="str">
        <f aca="false">A102&amp;"|"&amp;B102&amp;"|"&amp;C102&amp;"|"&amp;D102&amp;"|"&amp;E102&amp;"|"&amp;F102&amp;"|"&amp;G102&amp;"|"&amp;H102</f>
        <v>PT0033|Meena Rao|27|Female|DIABETES| Metformin |655|45613</v>
      </c>
      <c r="J102" s="8" t="str">
        <f aca="false">IF(COUNTIF($I$2:I102,I102)&gt;1,"Duplicate","Unique")</f>
        <v>Unique</v>
      </c>
    </row>
    <row r="103" customFormat="false" ht="15" hidden="false" customHeight="false" outlineLevel="0" collapsed="false">
      <c r="A103" s="8" t="s">
        <v>350</v>
      </c>
      <c r="B103" s="8" t="s">
        <v>351</v>
      </c>
      <c r="C103" s="9" t="n">
        <v>87</v>
      </c>
      <c r="D103" s="8" t="s">
        <v>67</v>
      </c>
      <c r="E103" s="8" t="s">
        <v>105</v>
      </c>
      <c r="F103" s="8" t="s">
        <v>352</v>
      </c>
      <c r="G103" s="9" t="n">
        <v>170</v>
      </c>
      <c r="H103" s="10" t="n">
        <v>45884</v>
      </c>
      <c r="I103" s="8" t="str">
        <f aca="false">A103&amp;"|"&amp;B103&amp;"|"&amp;C103&amp;"|"&amp;D103&amp;"|"&amp;E103&amp;"|"&amp;F103&amp;"|"&amp;G103&amp;"|"&amp;H103</f>
        <v>PT0112|Rakesh Agarwal|87|M| Asthma |Salbutamol  |170|45884</v>
      </c>
      <c r="J103" s="8" t="str">
        <f aca="false">IF(COUNTIF($I$2:I103,I103)&gt;1,"Duplicate","Unique")</f>
        <v>Unique</v>
      </c>
    </row>
    <row r="104" customFormat="false" ht="15" hidden="false" customHeight="false" outlineLevel="0" collapsed="false">
      <c r="A104" s="8" t="s">
        <v>353</v>
      </c>
      <c r="B104" s="8" t="s">
        <v>354</v>
      </c>
      <c r="C104" s="9" t="n">
        <v>45</v>
      </c>
      <c r="D104" s="8" t="s">
        <v>95</v>
      </c>
      <c r="E104" s="8" t="s">
        <v>153</v>
      </c>
      <c r="F104" s="8" t="s">
        <v>355</v>
      </c>
      <c r="G104" s="9" t="n">
        <v>290</v>
      </c>
      <c r="H104" s="10" t="n">
        <v>46129</v>
      </c>
      <c r="I104" s="8" t="str">
        <f aca="false">A104&amp;"|"&amp;B104&amp;"|"&amp;C104&amp;"|"&amp;D104&amp;"|"&amp;E104&amp;"|"&amp;F104&amp;"|"&amp;G104&amp;"|"&amp;H104</f>
        <v>PT0139|Swati Reddy|45|F| Anemia |FERROUS SULFATE|290|46129</v>
      </c>
      <c r="J104" s="8" t="str">
        <f aca="false">IF(COUNTIF($I$2:I104,I104)&gt;1,"Duplicate","Unique")</f>
        <v>Unique</v>
      </c>
    </row>
    <row r="105" customFormat="false" ht="15" hidden="false" customHeight="false" outlineLevel="0" collapsed="false">
      <c r="A105" s="8" t="s">
        <v>356</v>
      </c>
      <c r="B105" s="8" t="s">
        <v>357</v>
      </c>
      <c r="C105" s="9" t="n">
        <v>60</v>
      </c>
      <c r="D105" s="8" t="s">
        <v>46</v>
      </c>
      <c r="E105" s="8" t="s">
        <v>307</v>
      </c>
      <c r="F105" s="8" t="s">
        <v>157</v>
      </c>
      <c r="G105" s="9" t="n">
        <v>85</v>
      </c>
      <c r="H105" s="10" t="n">
        <v>45942</v>
      </c>
      <c r="I105" s="8" t="str">
        <f aca="false">A105&amp;"|"&amp;B105&amp;"|"&amp;C105&amp;"|"&amp;D105&amp;"|"&amp;E105&amp;"|"&amp;F105&amp;"|"&amp;G105&amp;"|"&amp;H105</f>
        <v>PT0093|Suresh Choudhary|60|Male|migraine|sumatriptan|85|45942</v>
      </c>
      <c r="J105" s="8" t="str">
        <f aca="false">IF(COUNTIF($I$2:I105,I105)&gt;1,"Duplicate","Unique")</f>
        <v>Unique</v>
      </c>
    </row>
    <row r="106" customFormat="false" ht="15" hidden="false" customHeight="false" outlineLevel="0" collapsed="false">
      <c r="A106" s="8" t="s">
        <v>358</v>
      </c>
      <c r="B106" s="8" t="s">
        <v>359</v>
      </c>
      <c r="C106" s="9" t="n">
        <v>180</v>
      </c>
      <c r="D106" s="8" t="s">
        <v>113</v>
      </c>
      <c r="E106" s="8" t="s">
        <v>49</v>
      </c>
      <c r="F106" s="8" t="s">
        <v>101</v>
      </c>
      <c r="G106" s="9" t="n">
        <v>10</v>
      </c>
      <c r="H106" s="10" t="n">
        <v>45548</v>
      </c>
      <c r="I106" s="8" t="str">
        <f aca="false">A106&amp;"|"&amp;B106&amp;"|"&amp;C106&amp;"|"&amp;D106&amp;"|"&amp;E106&amp;"|"&amp;F106&amp;"|"&amp;G106&amp;"|"&amp;H106</f>
        <v>PT0096|Mahesh Rathore|180|male|Hypertension|AMLODIPINE|10|45548</v>
      </c>
      <c r="J106" s="8" t="str">
        <f aca="false">IF(COUNTIF($I$2:I106,I106)&gt;1,"Duplicate","Unique")</f>
        <v>Unique</v>
      </c>
    </row>
    <row r="107" customFormat="false" ht="15" hidden="false" customHeight="false" outlineLevel="0" collapsed="false">
      <c r="A107" s="8" t="s">
        <v>360</v>
      </c>
      <c r="B107" s="8" t="s">
        <v>361</v>
      </c>
      <c r="C107" s="9" t="n">
        <v>51</v>
      </c>
      <c r="D107" s="8" t="s">
        <v>104</v>
      </c>
      <c r="E107" s="8" t="s">
        <v>199</v>
      </c>
      <c r="F107" s="8" t="s">
        <v>200</v>
      </c>
      <c r="G107" s="9" t="n">
        <v>275</v>
      </c>
      <c r="H107" s="10" t="n">
        <v>46020</v>
      </c>
      <c r="I107" s="8" t="str">
        <f aca="false">A107&amp;"|"&amp;B107&amp;"|"&amp;C107&amp;"|"&amp;D107&amp;"|"&amp;E107&amp;"|"&amp;F107&amp;"|"&amp;G107&amp;"|"&amp;H107</f>
        <v>PT0030|Komal Choudhary|51| Female|Arthritis  |Ibuprofen  |275|46020</v>
      </c>
      <c r="J107" s="8" t="str">
        <f aca="false">IF(COUNTIF($I$2:I107,I107)&gt;1,"Duplicate","Unique")</f>
        <v>Unique</v>
      </c>
    </row>
    <row r="108" customFormat="false" ht="15" hidden="false" customHeight="false" outlineLevel="0" collapsed="false">
      <c r="A108" s="8" t="s">
        <v>362</v>
      </c>
      <c r="B108" s="8" t="s">
        <v>363</v>
      </c>
      <c r="C108" s="9" t="n">
        <v>50</v>
      </c>
      <c r="D108" s="8" t="s">
        <v>203</v>
      </c>
      <c r="E108" s="8" t="s">
        <v>228</v>
      </c>
      <c r="F108" s="8" t="s">
        <v>347</v>
      </c>
      <c r="G108" s="9" t="n">
        <v>10</v>
      </c>
      <c r="H108" s="10" t="n">
        <v>45829</v>
      </c>
      <c r="I108" s="8" t="str">
        <f aca="false">A108&amp;"|"&amp;B108&amp;"|"&amp;C108&amp;"|"&amp;D108&amp;"|"&amp;E108&amp;"|"&amp;F108&amp;"|"&amp;G108&amp;"|"&amp;H108</f>
        <v>PT0158|Dinesh Verma|50|m| Allergy |cetirizine|10|45829</v>
      </c>
      <c r="J108" s="8" t="str">
        <f aca="false">IF(COUNTIF($I$2:I108,I108)&gt;1,"Duplicate","Unique")</f>
        <v>Unique</v>
      </c>
    </row>
    <row r="109" customFormat="false" ht="15" hidden="false" customHeight="false" outlineLevel="0" collapsed="false">
      <c r="A109" s="8" t="s">
        <v>364</v>
      </c>
      <c r="B109" s="8" t="s">
        <v>365</v>
      </c>
      <c r="C109" s="9" t="n">
        <v>44</v>
      </c>
      <c r="D109" s="8" t="s">
        <v>113</v>
      </c>
      <c r="E109" s="8" t="s">
        <v>366</v>
      </c>
      <c r="F109" s="8" t="s">
        <v>312</v>
      </c>
      <c r="G109" s="9" t="n">
        <v>495</v>
      </c>
      <c r="H109" s="10" t="n">
        <v>46192</v>
      </c>
      <c r="I109" s="8" t="str">
        <f aca="false">A109&amp;"|"&amp;B109&amp;"|"&amp;C109&amp;"|"&amp;D109&amp;"|"&amp;E109&amp;"|"&amp;F109&amp;"|"&amp;G109&amp;"|"&amp;H109</f>
        <v>PT0018|Mahesh Rao|44|male| Bronchitis |azithromycin|495|46192</v>
      </c>
      <c r="J109" s="8" t="str">
        <f aca="false">IF(COUNTIF($I$2:I109,I109)&gt;1,"Duplicate","Unique")</f>
        <v>Unique</v>
      </c>
    </row>
    <row r="110" customFormat="false" ht="15" hidden="false" customHeight="false" outlineLevel="0" collapsed="false">
      <c r="A110" s="8" t="s">
        <v>367</v>
      </c>
      <c r="B110" s="8" t="s">
        <v>368</v>
      </c>
      <c r="C110" s="9" t="n">
        <v>55</v>
      </c>
      <c r="D110" s="8" t="s">
        <v>95</v>
      </c>
      <c r="E110" s="8" t="s">
        <v>369</v>
      </c>
      <c r="F110" s="8"/>
      <c r="G110" s="9" t="n">
        <v>430</v>
      </c>
      <c r="H110" s="10" t="n">
        <v>45767</v>
      </c>
      <c r="I110" s="8" t="str">
        <f aca="false">A110&amp;"|"&amp;B110&amp;"|"&amp;C110&amp;"|"&amp;D110&amp;"|"&amp;E110&amp;"|"&amp;F110&amp;"|"&amp;G110&amp;"|"&amp;H110</f>
        <v>PT0193|Kavita Rathore|55|F|BRONCHITIS||430|45767</v>
      </c>
      <c r="J110" s="8" t="str">
        <f aca="false">IF(COUNTIF($I$2:I110,I110)&gt;1,"Duplicate","Unique")</f>
        <v>Unique</v>
      </c>
    </row>
    <row r="111" customFormat="false" ht="15" hidden="false" customHeight="false" outlineLevel="0" collapsed="false">
      <c r="A111" s="8" t="s">
        <v>370</v>
      </c>
      <c r="B111" s="8" t="s">
        <v>75</v>
      </c>
      <c r="C111" s="9" t="n">
        <v>38</v>
      </c>
      <c r="D111" s="8" t="s">
        <v>85</v>
      </c>
      <c r="E111" s="8" t="s">
        <v>371</v>
      </c>
      <c r="F111" s="8" t="s">
        <v>277</v>
      </c>
      <c r="G111" s="9" t="n">
        <v>115</v>
      </c>
      <c r="H111" s="10" t="n">
        <v>45907</v>
      </c>
      <c r="I111" s="8" t="str">
        <f aca="false">A111&amp;"|"&amp;B111&amp;"|"&amp;C111&amp;"|"&amp;D111&amp;"|"&amp;E111&amp;"|"&amp;F111&amp;"|"&amp;G111&amp;"|"&amp;H111</f>
        <v>PT0022|Vinod Chauhan|38|MALE|ASTHMA|Salbutamol|115|45907</v>
      </c>
      <c r="J111" s="8" t="str">
        <f aca="false">IF(COUNTIF($I$2:I111,I111)&gt;1,"Duplicate","Unique")</f>
        <v>Unique</v>
      </c>
    </row>
    <row r="112" customFormat="false" ht="15" hidden="false" customHeight="false" outlineLevel="0" collapsed="false">
      <c r="A112" s="8" t="s">
        <v>372</v>
      </c>
      <c r="B112" s="8" t="s">
        <v>373</v>
      </c>
      <c r="C112" s="9" t="n">
        <v>25</v>
      </c>
      <c r="D112" s="8" t="s">
        <v>85</v>
      </c>
      <c r="E112" s="8" t="s">
        <v>122</v>
      </c>
      <c r="F112" s="8" t="s">
        <v>101</v>
      </c>
      <c r="G112" s="9" t="n">
        <v>10</v>
      </c>
      <c r="H112" s="10"/>
      <c r="I112" s="8" t="str">
        <f aca="false">A112&amp;"|"&amp;B112&amp;"|"&amp;C112&amp;"|"&amp;D112&amp;"|"&amp;E112&amp;"|"&amp;F112&amp;"|"&amp;G112&amp;"|"&amp;H112</f>
        <v>PT0006|Puneet Shukla|25|MALE| Hypertension |AMLODIPINE|10|</v>
      </c>
      <c r="J112" s="8" t="str">
        <f aca="false">IF(COUNTIF($I$2:I112,I112)&gt;1,"Duplicate","Unique")</f>
        <v>Unique</v>
      </c>
    </row>
    <row r="113" customFormat="false" ht="15" hidden="false" customHeight="false" outlineLevel="0" collapsed="false">
      <c r="A113" s="8" t="s">
        <v>374</v>
      </c>
      <c r="B113" s="8" t="s">
        <v>375</v>
      </c>
      <c r="C113" s="9" t="n">
        <v>18</v>
      </c>
      <c r="D113" s="8" t="s">
        <v>190</v>
      </c>
      <c r="E113" s="8" t="s">
        <v>144</v>
      </c>
      <c r="F113" s="8" t="s">
        <v>157</v>
      </c>
      <c r="G113" s="9" t="n">
        <v>45</v>
      </c>
      <c r="H113" s="10" t="n">
        <v>45777</v>
      </c>
      <c r="I113" s="8" t="str">
        <f aca="false">A113&amp;"|"&amp;B113&amp;"|"&amp;C113&amp;"|"&amp;D113&amp;"|"&amp;E113&amp;"|"&amp;F113&amp;"|"&amp;G113&amp;"|"&amp;H113</f>
        <v>PT0211|Harish Rathore|18|Male |MIGRAINE|sumatriptan|45|45777</v>
      </c>
      <c r="J113" s="8" t="str">
        <f aca="false">IF(COUNTIF($I$2:I113,I113)&gt;1,"Duplicate","Unique")</f>
        <v>Unique</v>
      </c>
    </row>
    <row r="114" customFormat="false" ht="15" hidden="false" customHeight="false" outlineLevel="0" collapsed="false">
      <c r="A114" s="8" t="s">
        <v>376</v>
      </c>
      <c r="B114" s="8" t="s">
        <v>377</v>
      </c>
      <c r="C114" s="9" t="n">
        <v>39</v>
      </c>
      <c r="D114" s="8" t="s">
        <v>81</v>
      </c>
      <c r="E114" s="8" t="s">
        <v>378</v>
      </c>
      <c r="F114" s="8" t="s">
        <v>115</v>
      </c>
      <c r="G114" s="9" t="n">
        <v>325</v>
      </c>
      <c r="H114" s="10" t="n">
        <v>45740</v>
      </c>
      <c r="I114" s="8" t="str">
        <f aca="false">A114&amp;"|"&amp;B114&amp;"|"&amp;C114&amp;"|"&amp;D114&amp;"|"&amp;E114&amp;"|"&amp;F114&amp;"|"&amp;G114&amp;"|"&amp;H114</f>
        <v>PT0090|Lata Verma|39|female|Bronchitis|Azithromycin|325|45740</v>
      </c>
      <c r="J114" s="8" t="str">
        <f aca="false">IF(COUNTIF($I$2:I114,I114)&gt;1,"Duplicate","Unique")</f>
        <v>Unique</v>
      </c>
    </row>
    <row r="115" customFormat="false" ht="15" hidden="false" customHeight="false" outlineLevel="0" collapsed="false">
      <c r="A115" s="8" t="s">
        <v>379</v>
      </c>
      <c r="B115" s="8" t="s">
        <v>380</v>
      </c>
      <c r="C115" s="9" t="n">
        <v>83</v>
      </c>
      <c r="D115" s="8" t="s">
        <v>131</v>
      </c>
      <c r="E115" s="8" t="s">
        <v>72</v>
      </c>
      <c r="F115" s="8" t="s">
        <v>92</v>
      </c>
      <c r="G115" s="9" t="n">
        <v>905</v>
      </c>
      <c r="H115" s="10" t="n">
        <v>45806</v>
      </c>
      <c r="I115" s="8" t="str">
        <f aca="false">A115&amp;"|"&amp;B115&amp;"|"&amp;C115&amp;"|"&amp;D115&amp;"|"&amp;E115&amp;"|"&amp;F115&amp;"|"&amp;G115&amp;"|"&amp;H115</f>
        <v>PT0048|Meena Chauhan|83|Female |Diabetes|metformin|905|45806</v>
      </c>
      <c r="J115" s="8" t="str">
        <f aca="false">IF(COUNTIF($I$2:I115,I115)&gt;1,"Duplicate","Unique")</f>
        <v>Unique</v>
      </c>
    </row>
    <row r="116" customFormat="false" ht="15" hidden="false" customHeight="false" outlineLevel="0" collapsed="false">
      <c r="A116" s="8" t="s">
        <v>381</v>
      </c>
      <c r="B116" s="8" t="s">
        <v>382</v>
      </c>
      <c r="C116" s="9" t="n">
        <v>51</v>
      </c>
      <c r="D116" s="8" t="s">
        <v>104</v>
      </c>
      <c r="E116" s="8" t="s">
        <v>162</v>
      </c>
      <c r="F116" s="8" t="s">
        <v>110</v>
      </c>
      <c r="G116" s="9" t="n">
        <v>5</v>
      </c>
      <c r="H116" s="10" t="n">
        <v>45631</v>
      </c>
      <c r="I116" s="8" t="str">
        <f aca="false">A116&amp;"|"&amp;B116&amp;"|"&amp;C116&amp;"|"&amp;D116&amp;"|"&amp;E116&amp;"|"&amp;F116&amp;"|"&amp;G116&amp;"|"&amp;H116</f>
        <v>PT0034|Ritu Rao|51| Female|Hypertension  | Amlodipine |5|45631</v>
      </c>
      <c r="J116" s="8" t="str">
        <f aca="false">IF(COUNTIF($I$2:I116,I116)&gt;1,"Duplicate","Unique")</f>
        <v>Unique</v>
      </c>
    </row>
    <row r="117" customFormat="false" ht="15" hidden="false" customHeight="false" outlineLevel="0" collapsed="false">
      <c r="A117" s="8" t="s">
        <v>383</v>
      </c>
      <c r="B117" s="8" t="s">
        <v>384</v>
      </c>
      <c r="C117" s="9" t="n">
        <v>70</v>
      </c>
      <c r="D117" s="8" t="s">
        <v>121</v>
      </c>
      <c r="E117" s="8" t="s">
        <v>114</v>
      </c>
      <c r="F117" s="8" t="s">
        <v>115</v>
      </c>
      <c r="G117" s="9" t="n">
        <v>395</v>
      </c>
      <c r="H117" s="10" t="n">
        <v>45960</v>
      </c>
      <c r="I117" s="8" t="str">
        <f aca="false">A117&amp;"|"&amp;B117&amp;"|"&amp;C117&amp;"|"&amp;D117&amp;"|"&amp;E117&amp;"|"&amp;F117&amp;"|"&amp;G117&amp;"|"&amp;H117</f>
        <v>PT0071|Sunita Mishra|70|FEMALE|bronchitis|Azithromycin|395|45960</v>
      </c>
      <c r="J117" s="8" t="str">
        <f aca="false">IF(COUNTIF($I$2:I117,I117)&gt;1,"Duplicate","Unique")</f>
        <v>Unique</v>
      </c>
    </row>
    <row r="118" customFormat="false" ht="15" hidden="false" customHeight="false" outlineLevel="0" collapsed="false">
      <c r="A118" s="8" t="s">
        <v>385</v>
      </c>
      <c r="B118" s="8" t="s">
        <v>386</v>
      </c>
      <c r="C118" s="9" t="n">
        <v>27</v>
      </c>
      <c r="D118" s="8" t="s">
        <v>113</v>
      </c>
      <c r="E118" s="8" t="s">
        <v>369</v>
      </c>
      <c r="F118" s="8" t="s">
        <v>312</v>
      </c>
      <c r="G118" s="9" t="n">
        <v>265</v>
      </c>
      <c r="H118" s="10" t="n">
        <v>45587</v>
      </c>
      <c r="I118" s="8" t="str">
        <f aca="false">A118&amp;"|"&amp;B118&amp;"|"&amp;C118&amp;"|"&amp;D118&amp;"|"&amp;E118&amp;"|"&amp;F118&amp;"|"&amp;G118&amp;"|"&amp;H118</f>
        <v>PT0038|Ashok Verma|27|male|BRONCHITIS|azithromycin|265|45587</v>
      </c>
      <c r="J118" s="8" t="str">
        <f aca="false">IF(COUNTIF($I$2:I118,I118)&gt;1,"Duplicate","Unique")</f>
        <v>Unique</v>
      </c>
    </row>
    <row r="119" customFormat="false" ht="15" hidden="false" customHeight="false" outlineLevel="0" collapsed="false">
      <c r="A119" s="8" t="s">
        <v>387</v>
      </c>
      <c r="B119" s="8" t="s">
        <v>338</v>
      </c>
      <c r="C119" s="9" t="n">
        <v>33</v>
      </c>
      <c r="D119" s="8" t="s">
        <v>190</v>
      </c>
      <c r="E119" s="8" t="s">
        <v>125</v>
      </c>
      <c r="F119" s="8" t="s">
        <v>126</v>
      </c>
      <c r="G119" s="9" t="n">
        <v>760</v>
      </c>
      <c r="H119" s="10" t="n">
        <v>46036</v>
      </c>
      <c r="I119" s="8" t="str">
        <f aca="false">A119&amp;"|"&amp;B119&amp;"|"&amp;C119&amp;"|"&amp;D119&amp;"|"&amp;E119&amp;"|"&amp;F119&amp;"|"&amp;G119&amp;"|"&amp;H119</f>
        <v>PT0103|Ashok Sharma|33|Male |diabetes|Metformin  |760|46036</v>
      </c>
      <c r="J119" s="8" t="str">
        <f aca="false">IF(COUNTIF($I$2:I119,I119)&gt;1,"Duplicate","Unique")</f>
        <v>Unique</v>
      </c>
    </row>
    <row r="120" customFormat="false" ht="15" hidden="false" customHeight="false" outlineLevel="0" collapsed="false">
      <c r="A120" s="8" t="s">
        <v>388</v>
      </c>
      <c r="B120" s="8" t="s">
        <v>389</v>
      </c>
      <c r="C120" s="9" t="n">
        <v>51</v>
      </c>
      <c r="D120" s="8" t="s">
        <v>46</v>
      </c>
      <c r="E120" s="8" t="s">
        <v>196</v>
      </c>
      <c r="F120" s="8" t="s">
        <v>390</v>
      </c>
      <c r="G120" s="9" t="n">
        <v>500</v>
      </c>
      <c r="H120" s="10" t="n">
        <v>45896</v>
      </c>
      <c r="I120" s="8" t="str">
        <f aca="false">A120&amp;"|"&amp;B120&amp;"|"&amp;C120&amp;"|"&amp;D120&amp;"|"&amp;E120&amp;"|"&amp;F120&amp;"|"&amp;G120&amp;"|"&amp;H120</f>
        <v>PT0082|Rahul Choudhary|51|Male|FLU|Paracetamol|500|45896</v>
      </c>
      <c r="J120" s="8" t="str">
        <f aca="false">IF(COUNTIF($I$2:I120,I120)&gt;1,"Duplicate","Unique")</f>
        <v>Unique</v>
      </c>
    </row>
    <row r="121" customFormat="false" ht="15" hidden="false" customHeight="false" outlineLevel="0" collapsed="false">
      <c r="A121" s="8" t="s">
        <v>391</v>
      </c>
      <c r="B121" s="8" t="s">
        <v>392</v>
      </c>
      <c r="C121" s="9" t="n">
        <v>60</v>
      </c>
      <c r="D121" s="8" t="s">
        <v>85</v>
      </c>
      <c r="E121" s="8" t="s">
        <v>393</v>
      </c>
      <c r="F121" s="8" t="s">
        <v>394</v>
      </c>
      <c r="G121" s="9" t="n">
        <v>75</v>
      </c>
      <c r="H121" s="10" t="n">
        <v>46033</v>
      </c>
      <c r="I121" s="8" t="str">
        <f aca="false">A121&amp;"|"&amp;B121&amp;"|"&amp;C121&amp;"|"&amp;D121&amp;"|"&amp;E121&amp;"|"&amp;F121&amp;"|"&amp;G121&amp;"|"&amp;H121</f>
        <v>PT0227|Praveen Rathore|60|MALE|thyroid disorder|Levothyroxine|75|46033</v>
      </c>
      <c r="J121" s="8" t="str">
        <f aca="false">IF(COUNTIF($I$2:I121,I121)&gt;1,"Duplicate","Unique")</f>
        <v>Unique</v>
      </c>
    </row>
    <row r="122" customFormat="false" ht="15" hidden="false" customHeight="false" outlineLevel="0" collapsed="false">
      <c r="A122" s="8" t="s">
        <v>395</v>
      </c>
      <c r="B122" s="8" t="s">
        <v>396</v>
      </c>
      <c r="C122" s="9" t="n">
        <v>33</v>
      </c>
      <c r="D122" s="8" t="s">
        <v>46</v>
      </c>
      <c r="E122" s="8" t="s">
        <v>122</v>
      </c>
      <c r="F122" s="8" t="s">
        <v>97</v>
      </c>
      <c r="G122" s="9" t="n">
        <v>10</v>
      </c>
      <c r="H122" s="10" t="n">
        <v>46215</v>
      </c>
      <c r="I122" s="8" t="str">
        <f aca="false">A122&amp;"|"&amp;B122&amp;"|"&amp;C122&amp;"|"&amp;D122&amp;"|"&amp;E122&amp;"|"&amp;F122&amp;"|"&amp;G122&amp;"|"&amp;H122</f>
        <v>PT0046|Karan Reddy|33|Male| Hypertension |amlodipine|10|46215</v>
      </c>
      <c r="J122" s="8" t="str">
        <f aca="false">IF(COUNTIF($I$2:I122,I122)&gt;1,"Duplicate","Unique")</f>
        <v>Unique</v>
      </c>
    </row>
    <row r="123" customFormat="false" ht="15" hidden="false" customHeight="false" outlineLevel="0" collapsed="false">
      <c r="A123" s="8" t="s">
        <v>397</v>
      </c>
      <c r="B123" s="8" t="s">
        <v>398</v>
      </c>
      <c r="C123" s="9" t="n">
        <v>72</v>
      </c>
      <c r="D123" s="8" t="s">
        <v>190</v>
      </c>
      <c r="E123" s="8" t="s">
        <v>399</v>
      </c>
      <c r="F123" s="8" t="s">
        <v>352</v>
      </c>
      <c r="G123" s="9" t="n">
        <v>180</v>
      </c>
      <c r="H123" s="10" t="n">
        <v>45807</v>
      </c>
      <c r="I123" s="8" t="str">
        <f aca="false">A123&amp;"|"&amp;B123&amp;"|"&amp;C123&amp;"|"&amp;D123&amp;"|"&amp;E123&amp;"|"&amp;F123&amp;"|"&amp;G123&amp;"|"&amp;H123</f>
        <v>PT0044|Suresh Gupta|72|Male |Asthma  |Salbutamol  |180|45807</v>
      </c>
      <c r="J123" s="8" t="str">
        <f aca="false">IF(COUNTIF($I$2:I123,I123)&gt;1,"Duplicate","Unique")</f>
        <v>Unique</v>
      </c>
    </row>
    <row r="124" customFormat="false" ht="15" hidden="false" customHeight="false" outlineLevel="0" collapsed="false">
      <c r="A124" s="8" t="s">
        <v>300</v>
      </c>
      <c r="B124" s="8" t="s">
        <v>301</v>
      </c>
      <c r="C124" s="9" t="n">
        <v>45</v>
      </c>
      <c r="D124" s="8" t="s">
        <v>121</v>
      </c>
      <c r="E124" s="8" t="s">
        <v>235</v>
      </c>
      <c r="F124" s="8" t="s">
        <v>126</v>
      </c>
      <c r="G124" s="9" t="n">
        <v>575</v>
      </c>
      <c r="H124" s="10" t="n">
        <v>46015</v>
      </c>
      <c r="I124" s="8" t="str">
        <f aca="false">A124&amp;"|"&amp;B124&amp;"|"&amp;C124&amp;"|"&amp;D124&amp;"|"&amp;E124&amp;"|"&amp;F124&amp;"|"&amp;G124&amp;"|"&amp;H124</f>
        <v>PT0123|Suman Saxena|45|FEMALE|DIABETES|Metformin  |575|46015</v>
      </c>
      <c r="J124" s="8" t="str">
        <f aca="false">IF(COUNTIF($I$2:I124,I124)&gt;1,"Duplicate","Unique")</f>
        <v>Duplicate</v>
      </c>
    </row>
    <row r="125" customFormat="false" ht="15" hidden="false" customHeight="false" outlineLevel="0" collapsed="false">
      <c r="A125" s="8" t="s">
        <v>400</v>
      </c>
      <c r="B125" s="8" t="s">
        <v>401</v>
      </c>
      <c r="C125" s="9" t="n">
        <v>75</v>
      </c>
      <c r="D125" s="8" t="s">
        <v>76</v>
      </c>
      <c r="E125" s="8" t="s">
        <v>122</v>
      </c>
      <c r="F125" s="8" t="s">
        <v>52</v>
      </c>
      <c r="G125" s="9" t="n">
        <v>5</v>
      </c>
      <c r="H125" s="10" t="n">
        <v>46107</v>
      </c>
      <c r="I125" s="8" t="str">
        <f aca="false">A125&amp;"|"&amp;B125&amp;"|"&amp;C125&amp;"|"&amp;D125&amp;"|"&amp;E125&amp;"|"&amp;F125&amp;"|"&amp;G125&amp;"|"&amp;H125</f>
        <v>PT0222|Amit Chauhan|75| Male| Hypertension |Amlodipine|5|46107</v>
      </c>
      <c r="J125" s="8" t="str">
        <f aca="false">IF(COUNTIF($I$2:I125,I125)&gt;1,"Duplicate","Unique")</f>
        <v>Unique</v>
      </c>
    </row>
    <row r="126" customFormat="false" ht="15" hidden="false" customHeight="false" outlineLevel="0" collapsed="false">
      <c r="A126" s="8" t="s">
        <v>402</v>
      </c>
      <c r="B126" s="8" t="s">
        <v>202</v>
      </c>
      <c r="C126" s="9" t="n">
        <v>88</v>
      </c>
      <c r="D126" s="8" t="s">
        <v>76</v>
      </c>
      <c r="E126" s="8" t="s">
        <v>196</v>
      </c>
      <c r="F126" s="8" t="s">
        <v>87</v>
      </c>
      <c r="G126" s="9" t="n">
        <v>530</v>
      </c>
      <c r="H126" s="10"/>
      <c r="I126" s="8" t="str">
        <f aca="false">A126&amp;"|"&amp;B126&amp;"|"&amp;C126&amp;"|"&amp;D126&amp;"|"&amp;E126&amp;"|"&amp;F126&amp;"|"&amp;G126&amp;"|"&amp;H126</f>
        <v>PT0132|Ashok Joshi|88| Male|FLU|Paracetamol  |530|</v>
      </c>
      <c r="J126" s="8" t="str">
        <f aca="false">IF(COUNTIF($I$2:I126,I126)&gt;1,"Duplicate","Unique")</f>
        <v>Unique</v>
      </c>
    </row>
    <row r="127" customFormat="false" ht="15" hidden="false" customHeight="false" outlineLevel="0" collapsed="false">
      <c r="A127" s="8" t="s">
        <v>403</v>
      </c>
      <c r="B127" s="8" t="s">
        <v>124</v>
      </c>
      <c r="C127" s="9" t="n">
        <v>22</v>
      </c>
      <c r="D127" s="8" t="s">
        <v>81</v>
      </c>
      <c r="E127" s="8" t="s">
        <v>138</v>
      </c>
      <c r="F127" s="8" t="s">
        <v>139</v>
      </c>
      <c r="G127" s="9" t="n">
        <v>55</v>
      </c>
      <c r="H127" s="10" t="n">
        <v>46176</v>
      </c>
      <c r="I127" s="8" t="str">
        <f aca="false">A127&amp;"|"&amp;B127&amp;"|"&amp;C127&amp;"|"&amp;D127&amp;"|"&amp;E127&amp;"|"&amp;F127&amp;"|"&amp;G127&amp;"|"&amp;H127</f>
        <v>PT0117|Usha Verma|22|female|THYROID DISORDER| Levothyroxine |55|46176</v>
      </c>
      <c r="J127" s="8" t="str">
        <f aca="false">IF(COUNTIF($I$2:I127,I127)&gt;1,"Duplicate","Unique")</f>
        <v>Unique</v>
      </c>
    </row>
    <row r="128" customFormat="false" ht="15" hidden="false" customHeight="false" outlineLevel="0" collapsed="false">
      <c r="A128" s="8" t="s">
        <v>404</v>
      </c>
      <c r="B128" s="8" t="s">
        <v>182</v>
      </c>
      <c r="C128" s="9" t="n">
        <v>59</v>
      </c>
      <c r="D128" s="8" t="s">
        <v>95</v>
      </c>
      <c r="E128" s="8"/>
      <c r="F128" s="8"/>
      <c r="G128" s="9" t="n">
        <v>115</v>
      </c>
      <c r="H128" s="10" t="n">
        <v>45776</v>
      </c>
      <c r="I128" s="8" t="str">
        <f aca="false">A128&amp;"|"&amp;B128&amp;"|"&amp;C128&amp;"|"&amp;D128&amp;"|"&amp;E128&amp;"|"&amp;F128&amp;"|"&amp;G128&amp;"|"&amp;H128</f>
        <v>PT0169|Pooja Verma|59|F|||115|45776</v>
      </c>
      <c r="J128" s="8" t="str">
        <f aca="false">IF(COUNTIF($I$2:I128,I128)&gt;1,"Duplicate","Unique")</f>
        <v>Unique</v>
      </c>
    </row>
    <row r="129" customFormat="false" ht="15" hidden="false" customHeight="false" outlineLevel="0" collapsed="false">
      <c r="A129" s="8" t="s">
        <v>360</v>
      </c>
      <c r="B129" s="8" t="s">
        <v>361</v>
      </c>
      <c r="C129" s="9" t="n">
        <v>51</v>
      </c>
      <c r="D129" s="8" t="s">
        <v>104</v>
      </c>
      <c r="E129" s="8" t="s">
        <v>199</v>
      </c>
      <c r="F129" s="8" t="s">
        <v>200</v>
      </c>
      <c r="G129" s="9" t="n">
        <v>275</v>
      </c>
      <c r="H129" s="10" t="n">
        <v>46020</v>
      </c>
      <c r="I129" s="8" t="str">
        <f aca="false">A129&amp;"|"&amp;B129&amp;"|"&amp;C129&amp;"|"&amp;D129&amp;"|"&amp;E129&amp;"|"&amp;F129&amp;"|"&amp;G129&amp;"|"&amp;H129</f>
        <v>PT0030|Komal Choudhary|51| Female|Arthritis  |Ibuprofen  |275|46020</v>
      </c>
      <c r="J129" s="8" t="str">
        <f aca="false">IF(COUNTIF($I$2:I129,I129)&gt;1,"Duplicate","Unique")</f>
        <v>Duplicate</v>
      </c>
    </row>
    <row r="130" customFormat="false" ht="15" hidden="false" customHeight="false" outlineLevel="0" collapsed="false">
      <c r="A130" s="8" t="s">
        <v>405</v>
      </c>
      <c r="B130" s="8" t="s">
        <v>406</v>
      </c>
      <c r="C130" s="9" t="n">
        <v>21</v>
      </c>
      <c r="D130" s="8" t="s">
        <v>81</v>
      </c>
      <c r="E130" s="8" t="s">
        <v>82</v>
      </c>
      <c r="F130" s="8" t="s">
        <v>126</v>
      </c>
      <c r="G130" s="9" t="n">
        <v>875</v>
      </c>
      <c r="H130" s="10" t="n">
        <v>45975</v>
      </c>
      <c r="I130" s="8" t="str">
        <f aca="false">A130&amp;"|"&amp;B130&amp;"|"&amp;C130&amp;"|"&amp;D130&amp;"|"&amp;E130&amp;"|"&amp;F130&amp;"|"&amp;G130&amp;"|"&amp;H130</f>
        <v>PT0116|Komal Joshi|21|female|Diabetes  |Metformin  |875|45975</v>
      </c>
      <c r="J130" s="8" t="str">
        <f aca="false">IF(COUNTIF($I$2:I130,I130)&gt;1,"Duplicate","Unique")</f>
        <v>Unique</v>
      </c>
    </row>
    <row r="131" customFormat="false" ht="15" hidden="false" customHeight="false" outlineLevel="0" collapsed="false">
      <c r="A131" s="8" t="s">
        <v>407</v>
      </c>
      <c r="B131" s="8" t="s">
        <v>408</v>
      </c>
      <c r="C131" s="9" t="n">
        <v>42</v>
      </c>
      <c r="D131" s="8" t="s">
        <v>113</v>
      </c>
      <c r="E131" s="8" t="s">
        <v>105</v>
      </c>
      <c r="F131" s="8" t="s">
        <v>118</v>
      </c>
      <c r="G131" s="9" t="n">
        <v>145</v>
      </c>
      <c r="H131" s="10" t="n">
        <v>46057</v>
      </c>
      <c r="I131" s="8" t="str">
        <f aca="false">A131&amp;"|"&amp;B131&amp;"|"&amp;C131&amp;"|"&amp;D131&amp;"|"&amp;E131&amp;"|"&amp;F131&amp;"|"&amp;G131&amp;"|"&amp;H131</f>
        <v>PT0136|Gopal Yadav|42|male| Asthma |salbutamol|145|46057</v>
      </c>
      <c r="J131" s="8" t="str">
        <f aca="false">IF(COUNTIF($I$2:I131,I131)&gt;1,"Duplicate","Unique")</f>
        <v>Unique</v>
      </c>
    </row>
    <row r="132" customFormat="false" ht="15" hidden="false" customHeight="false" outlineLevel="0" collapsed="false">
      <c r="A132" s="8" t="s">
        <v>409</v>
      </c>
      <c r="B132" s="8" t="s">
        <v>410</v>
      </c>
      <c r="C132" s="9" t="n">
        <v>9</v>
      </c>
      <c r="D132" s="8"/>
      <c r="E132" s="8" t="s">
        <v>171</v>
      </c>
      <c r="F132" s="8" t="s">
        <v>166</v>
      </c>
      <c r="G132" s="9" t="n">
        <v>65</v>
      </c>
      <c r="H132" s="10" t="n">
        <v>45597</v>
      </c>
      <c r="I132" s="8" t="str">
        <f aca="false">A132&amp;"|"&amp;B132&amp;"|"&amp;C132&amp;"|"&amp;D132&amp;"|"&amp;E132&amp;"|"&amp;F132&amp;"|"&amp;G132&amp;"|"&amp;H132</f>
        <v>PT0122|Puneet Tiwari|9||obesity|Orlistat|65|45597</v>
      </c>
      <c r="J132" s="8" t="str">
        <f aca="false">IF(COUNTIF($I$2:I132,I132)&gt;1,"Duplicate","Unique")</f>
        <v>Unique</v>
      </c>
    </row>
    <row r="133" customFormat="false" ht="15" hidden="false" customHeight="false" outlineLevel="0" collapsed="false">
      <c r="A133" s="8" t="s">
        <v>411</v>
      </c>
      <c r="B133" s="8" t="s">
        <v>412</v>
      </c>
      <c r="C133" s="9" t="n">
        <v>65</v>
      </c>
      <c r="D133" s="8" t="s">
        <v>113</v>
      </c>
      <c r="E133" s="8" t="s">
        <v>183</v>
      </c>
      <c r="F133" s="8" t="s">
        <v>413</v>
      </c>
      <c r="G133" s="9" t="n">
        <v>105</v>
      </c>
      <c r="H133" s="10" t="n">
        <v>45953</v>
      </c>
      <c r="I133" s="8" t="str">
        <f aca="false">A133&amp;"|"&amp;B133&amp;"|"&amp;C133&amp;"|"&amp;D133&amp;"|"&amp;E133&amp;"|"&amp;F133&amp;"|"&amp;G133&amp;"|"&amp;H133</f>
        <v>PT0171|Yogesh Yadav|65|male|Obesity  |Orlistat  |105|45953</v>
      </c>
      <c r="J133" s="8" t="str">
        <f aca="false">IF(COUNTIF($I$2:I133,I133)&gt;1,"Duplicate","Unique")</f>
        <v>Unique</v>
      </c>
    </row>
    <row r="134" customFormat="false" ht="15" hidden="false" customHeight="false" outlineLevel="0" collapsed="false">
      <c r="A134" s="8" t="s">
        <v>414</v>
      </c>
      <c r="B134" s="8" t="s">
        <v>415</v>
      </c>
      <c r="C134" s="9" t="n">
        <v>43</v>
      </c>
      <c r="D134" s="8" t="s">
        <v>113</v>
      </c>
      <c r="E134" s="8" t="s">
        <v>77</v>
      </c>
      <c r="F134" s="8" t="s">
        <v>149</v>
      </c>
      <c r="G134" s="9" t="n">
        <v>65</v>
      </c>
      <c r="H134" s="10" t="n">
        <v>45960</v>
      </c>
      <c r="I134" s="8" t="str">
        <f aca="false">A134&amp;"|"&amp;B134&amp;"|"&amp;C134&amp;"|"&amp;D134&amp;"|"&amp;E134&amp;"|"&amp;F134&amp;"|"&amp;G134&amp;"|"&amp;H134</f>
        <v>PT0138|Praveen Yadav|43|male| Depression | Sertraline |65|45960</v>
      </c>
      <c r="J134" s="8" t="str">
        <f aca="false">IF(COUNTIF($I$2:I134,I134)&gt;1,"Duplicate","Unique")</f>
        <v>Unique</v>
      </c>
    </row>
    <row r="135" customFormat="false" ht="15" hidden="false" customHeight="false" outlineLevel="0" collapsed="false">
      <c r="A135" s="8" t="s">
        <v>197</v>
      </c>
      <c r="B135" s="8" t="s">
        <v>198</v>
      </c>
      <c r="C135" s="9" t="n">
        <v>82</v>
      </c>
      <c r="D135" s="8" t="s">
        <v>121</v>
      </c>
      <c r="E135" s="8" t="s">
        <v>199</v>
      </c>
      <c r="F135" s="8" t="s">
        <v>200</v>
      </c>
      <c r="G135" s="9" t="n">
        <v>395</v>
      </c>
      <c r="H135" s="10" t="n">
        <v>45762</v>
      </c>
      <c r="I135" s="8" t="str">
        <f aca="false">A135&amp;"|"&amp;B135&amp;"|"&amp;C135&amp;"|"&amp;D135&amp;"|"&amp;E135&amp;"|"&amp;F135&amp;"|"&amp;G135&amp;"|"&amp;H135</f>
        <v>PT0167|Rekha Nair|82|FEMALE|Arthritis  |Ibuprofen  |395|45762</v>
      </c>
      <c r="J135" s="8" t="str">
        <f aca="false">IF(COUNTIF($I$2:I135,I135)&gt;1,"Duplicate","Unique")</f>
        <v>Duplicate</v>
      </c>
    </row>
    <row r="136" customFormat="false" ht="15" hidden="false" customHeight="false" outlineLevel="0" collapsed="false">
      <c r="A136" s="8" t="s">
        <v>416</v>
      </c>
      <c r="B136" s="8" t="s">
        <v>417</v>
      </c>
      <c r="C136" s="9" t="n">
        <v>40</v>
      </c>
      <c r="D136" s="8" t="s">
        <v>121</v>
      </c>
      <c r="E136" s="8" t="s">
        <v>210</v>
      </c>
      <c r="F136" s="8" t="s">
        <v>262</v>
      </c>
      <c r="G136" s="9" t="n">
        <v>10</v>
      </c>
      <c r="H136" s="10" t="n">
        <v>46158</v>
      </c>
      <c r="I136" s="8" t="str">
        <f aca="false">A136&amp;"|"&amp;B136&amp;"|"&amp;C136&amp;"|"&amp;D136&amp;"|"&amp;E136&amp;"|"&amp;F136&amp;"|"&amp;G136&amp;"|"&amp;H136</f>
        <v>PT0183|Kavita Nair|40|FEMALE|allergy|Cetirizine|10|46158</v>
      </c>
      <c r="J136" s="8" t="str">
        <f aca="false">IF(COUNTIF($I$2:I136,I136)&gt;1,"Duplicate","Unique")</f>
        <v>Unique</v>
      </c>
    </row>
    <row r="137" customFormat="false" ht="15" hidden="false" customHeight="false" outlineLevel="0" collapsed="false">
      <c r="A137" s="8" t="s">
        <v>418</v>
      </c>
      <c r="B137" s="8" t="s">
        <v>419</v>
      </c>
      <c r="C137" s="9" t="n">
        <v>48</v>
      </c>
      <c r="D137" s="8" t="s">
        <v>76</v>
      </c>
      <c r="E137" s="8" t="s">
        <v>420</v>
      </c>
      <c r="F137" s="8" t="s">
        <v>268</v>
      </c>
      <c r="G137" s="9" t="n">
        <v>400</v>
      </c>
      <c r="H137" s="10" t="n">
        <v>45784</v>
      </c>
      <c r="I137" s="8" t="str">
        <f aca="false">A137&amp;"|"&amp;B137&amp;"|"&amp;C137&amp;"|"&amp;D137&amp;"|"&amp;E137&amp;"|"&amp;F137&amp;"|"&amp;G137&amp;"|"&amp;H137</f>
        <v>PT0094|Sanjay Gupta|48| Male| Arthritis |IBUPROFEN|400|45784</v>
      </c>
      <c r="J137" s="8" t="str">
        <f aca="false">IF(COUNTIF($I$2:I137,I137)&gt;1,"Duplicate","Unique")</f>
        <v>Unique</v>
      </c>
    </row>
    <row r="138" customFormat="false" ht="15" hidden="false" customHeight="false" outlineLevel="0" collapsed="false">
      <c r="A138" s="8" t="s">
        <v>79</v>
      </c>
      <c r="B138" s="8" t="s">
        <v>80</v>
      </c>
      <c r="C138" s="9" t="n">
        <v>58</v>
      </c>
      <c r="D138" s="8" t="s">
        <v>81</v>
      </c>
      <c r="E138" s="8" t="s">
        <v>82</v>
      </c>
      <c r="F138" s="8"/>
      <c r="G138" s="9" t="n">
        <v>765</v>
      </c>
      <c r="H138" s="10" t="n">
        <v>45794</v>
      </c>
      <c r="I138" s="8" t="str">
        <f aca="false">A138&amp;"|"&amp;B138&amp;"|"&amp;C138&amp;"|"&amp;D138&amp;"|"&amp;E138&amp;"|"&amp;F138&amp;"|"&amp;G138&amp;"|"&amp;H138</f>
        <v>PT0088|Payal Shukla|58|female|Diabetes  ||765|45794</v>
      </c>
      <c r="J138" s="8" t="str">
        <f aca="false">IF(COUNTIF($I$2:I138,I138)&gt;1,"Duplicate","Unique")</f>
        <v>Duplicate</v>
      </c>
    </row>
    <row r="139" customFormat="false" ht="15" hidden="false" customHeight="false" outlineLevel="0" collapsed="false">
      <c r="A139" s="8" t="s">
        <v>403</v>
      </c>
      <c r="B139" s="8" t="s">
        <v>124</v>
      </c>
      <c r="C139" s="9" t="n">
        <v>22</v>
      </c>
      <c r="D139" s="8" t="s">
        <v>81</v>
      </c>
      <c r="E139" s="8" t="s">
        <v>138</v>
      </c>
      <c r="F139" s="8" t="s">
        <v>139</v>
      </c>
      <c r="G139" s="9" t="n">
        <v>55</v>
      </c>
      <c r="H139" s="10" t="n">
        <v>46176</v>
      </c>
      <c r="I139" s="8" t="str">
        <f aca="false">A139&amp;"|"&amp;B139&amp;"|"&amp;C139&amp;"|"&amp;D139&amp;"|"&amp;E139&amp;"|"&amp;F139&amp;"|"&amp;G139&amp;"|"&amp;H139</f>
        <v>PT0117|Usha Verma|22|female|THYROID DISORDER| Levothyroxine |55|46176</v>
      </c>
      <c r="J139" s="8" t="str">
        <f aca="false">IF(COUNTIF($I$2:I139,I139)&gt;1,"Duplicate","Unique")</f>
        <v>Duplicate</v>
      </c>
    </row>
    <row r="140" customFormat="false" ht="15" hidden="false" customHeight="false" outlineLevel="0" collapsed="false">
      <c r="A140" s="8" t="s">
        <v>421</v>
      </c>
      <c r="B140" s="8" t="s">
        <v>422</v>
      </c>
      <c r="C140" s="9" t="n">
        <v>55</v>
      </c>
      <c r="D140" s="8" t="s">
        <v>104</v>
      </c>
      <c r="E140" s="8" t="s">
        <v>91</v>
      </c>
      <c r="F140" s="8" t="s">
        <v>236</v>
      </c>
      <c r="G140" s="9" t="n">
        <v>565</v>
      </c>
      <c r="H140" s="10" t="n">
        <v>45898</v>
      </c>
      <c r="I140" s="8" t="str">
        <f aca="false">A140&amp;"|"&amp;B140&amp;"|"&amp;C140&amp;"|"&amp;D140&amp;"|"&amp;E140&amp;"|"&amp;F140&amp;"|"&amp;G140&amp;"|"&amp;H140</f>
        <v>PT0053|Shweta Verma|55| Female| Diabetes |METFORMIN|565|45898</v>
      </c>
      <c r="J140" s="8" t="str">
        <f aca="false">IF(COUNTIF($I$2:I140,I140)&gt;1,"Duplicate","Unique")</f>
        <v>Unique</v>
      </c>
    </row>
    <row r="141" customFormat="false" ht="15" hidden="false" customHeight="false" outlineLevel="0" collapsed="false">
      <c r="A141" s="8" t="s">
        <v>423</v>
      </c>
      <c r="B141" s="8" t="s">
        <v>424</v>
      </c>
      <c r="C141" s="9" t="n">
        <v>24</v>
      </c>
      <c r="D141" s="8" t="s">
        <v>90</v>
      </c>
      <c r="E141" s="8" t="s">
        <v>328</v>
      </c>
      <c r="F141" s="8" t="s">
        <v>221</v>
      </c>
      <c r="G141" s="9" t="n">
        <v>580</v>
      </c>
      <c r="H141" s="10" t="n">
        <v>45537</v>
      </c>
      <c r="I141" s="8" t="str">
        <f aca="false">A141&amp;"|"&amp;B141&amp;"|"&amp;C141&amp;"|"&amp;D141&amp;"|"&amp;E141&amp;"|"&amp;F141&amp;"|"&amp;G141&amp;"|"&amp;H141</f>
        <v>PT0131|Anjali Tiwari|24|Female|Flu  |paracetamol|580|45537</v>
      </c>
      <c r="J141" s="8" t="str">
        <f aca="false">IF(COUNTIF($I$2:I141,I141)&gt;1,"Duplicate","Unique")</f>
        <v>Unique</v>
      </c>
    </row>
    <row r="142" customFormat="false" ht="15" hidden="false" customHeight="false" outlineLevel="0" collapsed="false">
      <c r="A142" s="8" t="s">
        <v>425</v>
      </c>
      <c r="B142" s="8" t="s">
        <v>426</v>
      </c>
      <c r="C142" s="9" t="n">
        <v>27</v>
      </c>
      <c r="D142" s="8" t="s">
        <v>76</v>
      </c>
      <c r="E142" s="8" t="s">
        <v>427</v>
      </c>
      <c r="F142" s="8" t="s">
        <v>277</v>
      </c>
      <c r="G142" s="9" t="n">
        <v>135</v>
      </c>
      <c r="H142" s="10" t="n">
        <v>45817</v>
      </c>
      <c r="I142" s="8" t="str">
        <f aca="false">A142&amp;"|"&amp;B142&amp;"|"&amp;C142&amp;"|"&amp;D142&amp;"|"&amp;E142&amp;"|"&amp;F142&amp;"|"&amp;G142&amp;"|"&amp;H142</f>
        <v>PT0078|Manoj Reddy|27| Male|Asthma|Salbutamol|135|45817</v>
      </c>
      <c r="J142" s="8" t="str">
        <f aca="false">IF(COUNTIF($I$2:I142,I142)&gt;1,"Duplicate","Unique")</f>
        <v>Unique</v>
      </c>
    </row>
    <row r="143" customFormat="false" ht="15" hidden="false" customHeight="false" outlineLevel="0" collapsed="false">
      <c r="A143" s="8" t="s">
        <v>428</v>
      </c>
      <c r="B143" s="8" t="s">
        <v>429</v>
      </c>
      <c r="C143" s="9" t="n">
        <v>0</v>
      </c>
      <c r="D143" s="8" t="s">
        <v>190</v>
      </c>
      <c r="E143" s="8" t="s">
        <v>254</v>
      </c>
      <c r="F143" s="8" t="s">
        <v>430</v>
      </c>
      <c r="G143" s="9" t="n">
        <v>1560</v>
      </c>
      <c r="H143" s="10" t="n">
        <v>45664</v>
      </c>
      <c r="I143" s="8" t="str">
        <f aca="false">A143&amp;"|"&amp;B143&amp;"|"&amp;C143&amp;"|"&amp;D143&amp;"|"&amp;E143&amp;"|"&amp;F143&amp;"|"&amp;G143&amp;"|"&amp;H143</f>
        <v>PT0024|Nitin Gupta|0|Male |COVID-19|FAVIPIRAVIR|1560|45664</v>
      </c>
      <c r="J143" s="8" t="str">
        <f aca="false">IF(COUNTIF($I$2:I143,I143)&gt;1,"Duplicate","Unique")</f>
        <v>Unique</v>
      </c>
    </row>
    <row r="144" customFormat="false" ht="15" hidden="false" customHeight="false" outlineLevel="0" collapsed="false">
      <c r="A144" s="8" t="s">
        <v>33</v>
      </c>
      <c r="B144" s="8" t="s">
        <v>431</v>
      </c>
      <c r="C144" s="9" t="n">
        <v>45</v>
      </c>
      <c r="D144" s="8" t="s">
        <v>190</v>
      </c>
      <c r="E144" s="8" t="s">
        <v>96</v>
      </c>
      <c r="F144" s="8" t="s">
        <v>110</v>
      </c>
      <c r="G144" s="9" t="n">
        <v>5</v>
      </c>
      <c r="H144" s="10" t="n">
        <v>46140</v>
      </c>
      <c r="I144" s="8" t="str">
        <f aca="false">A144&amp;"|"&amp;B144&amp;"|"&amp;C144&amp;"|"&amp;D144&amp;"|"&amp;E144&amp;"|"&amp;F144&amp;"|"&amp;G144&amp;"|"&amp;H144</f>
        <v>PT0001|Rahul Tiwari|45|Male |HYPERTENSION| Amlodipine |5|46140</v>
      </c>
      <c r="J144" s="8" t="str">
        <f aca="false">IF(COUNTIF($I$2:I144,I144)&gt;1,"Duplicate","Unique")</f>
        <v>Unique</v>
      </c>
    </row>
    <row r="145" customFormat="false" ht="15" hidden="false" customHeight="false" outlineLevel="0" collapsed="false">
      <c r="A145" s="8" t="s">
        <v>432</v>
      </c>
      <c r="B145" s="8" t="s">
        <v>433</v>
      </c>
      <c r="C145" s="9" t="n">
        <v>69</v>
      </c>
      <c r="D145" s="8" t="s">
        <v>109</v>
      </c>
      <c r="E145" s="8"/>
      <c r="F145" s="8" t="s">
        <v>200</v>
      </c>
      <c r="G145" s="9" t="n">
        <v>400</v>
      </c>
      <c r="H145" s="10" t="n">
        <v>45916</v>
      </c>
      <c r="I145" s="8" t="str">
        <f aca="false">A145&amp;"|"&amp;B145&amp;"|"&amp;C145&amp;"|"&amp;D145&amp;"|"&amp;E145&amp;"|"&amp;F145&amp;"|"&amp;G145&amp;"|"&amp;H145</f>
        <v>PT0166|Vandana Tiwari|69|f||Ibuprofen  |400|45916</v>
      </c>
      <c r="J145" s="8" t="str">
        <f aca="false">IF(COUNTIF($I$2:I145,I145)&gt;1,"Duplicate","Unique")</f>
        <v>Unique</v>
      </c>
    </row>
    <row r="146" customFormat="false" ht="15" hidden="false" customHeight="false" outlineLevel="0" collapsed="false">
      <c r="A146" s="8" t="s">
        <v>434</v>
      </c>
      <c r="B146" s="8" t="s">
        <v>304</v>
      </c>
      <c r="C146" s="9" t="n">
        <v>21</v>
      </c>
      <c r="D146" s="8" t="s">
        <v>190</v>
      </c>
      <c r="E146" s="8" t="s">
        <v>49</v>
      </c>
      <c r="F146" s="8" t="s">
        <v>193</v>
      </c>
      <c r="G146" s="9" t="n">
        <v>5</v>
      </c>
      <c r="H146" s="10" t="n">
        <v>46206</v>
      </c>
      <c r="I146" s="8" t="str">
        <f aca="false">A146&amp;"|"&amp;B146&amp;"|"&amp;C146&amp;"|"&amp;D146&amp;"|"&amp;E146&amp;"|"&amp;F146&amp;"|"&amp;G146&amp;"|"&amp;H146</f>
        <v>PT0185|Praveen Agarwal|21|Male |Hypertension|Amlodipine  |5|46206</v>
      </c>
      <c r="J146" s="8" t="str">
        <f aca="false">IF(COUNTIF($I$2:I146,I146)&gt;1,"Duplicate","Unique")</f>
        <v>Unique</v>
      </c>
    </row>
    <row r="147" customFormat="false" ht="15" hidden="false" customHeight="false" outlineLevel="0" collapsed="false">
      <c r="A147" s="8" t="s">
        <v>435</v>
      </c>
      <c r="B147" s="8" t="s">
        <v>436</v>
      </c>
      <c r="C147" s="9" t="n">
        <v>59</v>
      </c>
      <c r="D147" s="8" t="s">
        <v>113</v>
      </c>
      <c r="E147" s="8" t="s">
        <v>96</v>
      </c>
      <c r="F147" s="8" t="s">
        <v>193</v>
      </c>
      <c r="G147" s="9" t="n">
        <v>10</v>
      </c>
      <c r="H147" s="10" t="n">
        <v>45812</v>
      </c>
      <c r="I147" s="8" t="str">
        <f aca="false">A147&amp;"|"&amp;B147&amp;"|"&amp;C147&amp;"|"&amp;D147&amp;"|"&amp;E147&amp;"|"&amp;F147&amp;"|"&amp;G147&amp;"|"&amp;H147</f>
        <v>PT0010|Ashok Mishra|59|male|HYPERTENSION|Amlodipine  |10|45812</v>
      </c>
      <c r="J147" s="8" t="str">
        <f aca="false">IF(COUNTIF($I$2:I147,I147)&gt;1,"Duplicate","Unique")</f>
        <v>Unique</v>
      </c>
    </row>
    <row r="148" customFormat="false" ht="15" hidden="false" customHeight="false" outlineLevel="0" collapsed="false">
      <c r="A148" s="8" t="s">
        <v>437</v>
      </c>
      <c r="B148" s="8" t="s">
        <v>438</v>
      </c>
      <c r="C148" s="9"/>
      <c r="D148" s="8" t="s">
        <v>81</v>
      </c>
      <c r="E148" s="8" t="s">
        <v>439</v>
      </c>
      <c r="F148" s="8" t="s">
        <v>440</v>
      </c>
      <c r="G148" s="9" t="n">
        <v>120</v>
      </c>
      <c r="H148" s="10" t="n">
        <v>46175</v>
      </c>
      <c r="I148" s="8" t="str">
        <f aca="false">A148&amp;"|"&amp;B148&amp;"|"&amp;C148&amp;"|"&amp;D148&amp;"|"&amp;E148&amp;"|"&amp;F148&amp;"|"&amp;G148&amp;"|"&amp;H148</f>
        <v>PT0230|Neha Kumar||female| Obesity |ORLISTAT|120|46175</v>
      </c>
      <c r="J148" s="8" t="str">
        <f aca="false">IF(COUNTIF($I$2:I148,I148)&gt;1,"Duplicate","Unique")</f>
        <v>Unique</v>
      </c>
    </row>
    <row r="149" customFormat="false" ht="15" hidden="false" customHeight="false" outlineLevel="0" collapsed="false">
      <c r="A149" s="8" t="s">
        <v>441</v>
      </c>
      <c r="B149" s="8" t="s">
        <v>442</v>
      </c>
      <c r="C149" s="9"/>
      <c r="D149" s="8" t="s">
        <v>46</v>
      </c>
      <c r="E149" s="8" t="s">
        <v>399</v>
      </c>
      <c r="F149" s="8" t="s">
        <v>352</v>
      </c>
      <c r="G149" s="9" t="n">
        <v>145</v>
      </c>
      <c r="H149" s="10" t="n">
        <v>45882</v>
      </c>
      <c r="I149" s="8" t="str">
        <f aca="false">A149&amp;"|"&amp;B149&amp;"|"&amp;C149&amp;"|"&amp;D149&amp;"|"&amp;E149&amp;"|"&amp;F149&amp;"|"&amp;G149&amp;"|"&amp;H149</f>
        <v>PT0163|Manoj Kumar||Male|Asthma  |Salbutamol  |145|45882</v>
      </c>
      <c r="J149" s="8" t="str">
        <f aca="false">IF(COUNTIF($I$2:I149,I149)&gt;1,"Duplicate","Unique")</f>
        <v>Unique</v>
      </c>
    </row>
    <row r="150" customFormat="false" ht="15" hidden="false" customHeight="false" outlineLevel="0" collapsed="false">
      <c r="A150" s="8" t="s">
        <v>443</v>
      </c>
      <c r="B150" s="8" t="s">
        <v>444</v>
      </c>
      <c r="C150" s="9" t="n">
        <v>33</v>
      </c>
      <c r="D150" s="8"/>
      <c r="E150" s="8" t="s">
        <v>162</v>
      </c>
      <c r="F150" s="8" t="s">
        <v>193</v>
      </c>
      <c r="G150" s="9" t="n">
        <v>10</v>
      </c>
      <c r="H150" s="10" t="n">
        <v>46172</v>
      </c>
      <c r="I150" s="8" t="str">
        <f aca="false">A150&amp;"|"&amp;B150&amp;"|"&amp;C150&amp;"|"&amp;D150&amp;"|"&amp;E150&amp;"|"&amp;F150&amp;"|"&amp;G150&amp;"|"&amp;H150</f>
        <v>PT0043|Ajay Joshi|33||Hypertension  |Amlodipine  |10|46172</v>
      </c>
      <c r="J150" s="8" t="str">
        <f aca="false">IF(COUNTIF($I$2:I150,I150)&gt;1,"Duplicate","Unique")</f>
        <v>Unique</v>
      </c>
    </row>
    <row r="151" customFormat="false" ht="15" hidden="false" customHeight="false" outlineLevel="0" collapsed="false">
      <c r="A151" s="8" t="s">
        <v>445</v>
      </c>
      <c r="B151" s="8" t="s">
        <v>368</v>
      </c>
      <c r="C151" s="9" t="n">
        <v>59</v>
      </c>
      <c r="D151" s="8" t="s">
        <v>81</v>
      </c>
      <c r="E151" s="8" t="s">
        <v>183</v>
      </c>
      <c r="F151" s="8" t="s">
        <v>440</v>
      </c>
      <c r="G151" s="9" t="n">
        <v>115</v>
      </c>
      <c r="H151" s="10" t="n">
        <v>46006</v>
      </c>
      <c r="I151" s="8" t="str">
        <f aca="false">A151&amp;"|"&amp;B151&amp;"|"&amp;C151&amp;"|"&amp;D151&amp;"|"&amp;E151&amp;"|"&amp;F151&amp;"|"&amp;G151&amp;"|"&amp;H151</f>
        <v>PT0005|Kavita Rathore|59|female|Obesity  |ORLISTAT|115|46006</v>
      </c>
      <c r="J151" s="8" t="str">
        <f aca="false">IF(COUNTIF($I$2:I151,I151)&gt;1,"Duplicate","Unique")</f>
        <v>Unique</v>
      </c>
    </row>
    <row r="152" customFormat="false" ht="15" hidden="false" customHeight="false" outlineLevel="0" collapsed="false">
      <c r="A152" s="8" t="s">
        <v>446</v>
      </c>
      <c r="B152" s="8" t="s">
        <v>242</v>
      </c>
      <c r="C152" s="9" t="n">
        <v>31</v>
      </c>
      <c r="D152" s="8" t="s">
        <v>95</v>
      </c>
      <c r="E152" s="8" t="s">
        <v>258</v>
      </c>
      <c r="F152" s="8" t="s">
        <v>355</v>
      </c>
      <c r="G152" s="9" t="n">
        <v>270</v>
      </c>
      <c r="H152" s="10" t="n">
        <v>45845</v>
      </c>
      <c r="I152" s="8" t="str">
        <f aca="false">A152&amp;"|"&amp;B152&amp;"|"&amp;C152&amp;"|"&amp;D152&amp;"|"&amp;E152&amp;"|"&amp;F152&amp;"|"&amp;G152&amp;"|"&amp;H152</f>
        <v>PT0155|Shweta Choudhary|31|F|ANEMIA|FERROUS SULFATE|270|45845</v>
      </c>
      <c r="J152" s="8" t="str">
        <f aca="false">IF(COUNTIF($I$2:I152,I152)&gt;1,"Duplicate","Unique")</f>
        <v>Unique</v>
      </c>
    </row>
    <row r="153" customFormat="false" ht="15" hidden="false" customHeight="false" outlineLevel="0" collapsed="false">
      <c r="A153" s="8" t="s">
        <v>447</v>
      </c>
      <c r="B153" s="8" t="s">
        <v>448</v>
      </c>
      <c r="C153" s="9" t="n">
        <v>61</v>
      </c>
      <c r="D153" s="8" t="s">
        <v>67</v>
      </c>
      <c r="E153" s="8" t="s">
        <v>298</v>
      </c>
      <c r="F153" s="8"/>
      <c r="G153" s="9" t="n">
        <v>570</v>
      </c>
      <c r="H153" s="10" t="n">
        <v>45591</v>
      </c>
      <c r="I153" s="8" t="str">
        <f aca="false">A153&amp;"|"&amp;B153&amp;"|"&amp;C153&amp;"|"&amp;D153&amp;"|"&amp;E153&amp;"|"&amp;F153&amp;"|"&amp;G153&amp;"|"&amp;H153</f>
        <v>PT0031|Sanjay Singh|61|M|Flu||570|45591</v>
      </c>
      <c r="J153" s="8" t="str">
        <f aca="false">IF(COUNTIF($I$2:I153,I153)&gt;1,"Duplicate","Unique")</f>
        <v>Unique</v>
      </c>
    </row>
    <row r="154" customFormat="false" ht="15" hidden="false" customHeight="false" outlineLevel="0" collapsed="false">
      <c r="A154" s="8" t="s">
        <v>391</v>
      </c>
      <c r="B154" s="8" t="s">
        <v>392</v>
      </c>
      <c r="C154" s="9" t="n">
        <v>60</v>
      </c>
      <c r="D154" s="8" t="s">
        <v>85</v>
      </c>
      <c r="E154" s="8" t="s">
        <v>393</v>
      </c>
      <c r="F154" s="8" t="s">
        <v>394</v>
      </c>
      <c r="G154" s="9" t="n">
        <v>75</v>
      </c>
      <c r="H154" s="10" t="n">
        <v>46033</v>
      </c>
      <c r="I154" s="8" t="str">
        <f aca="false">A154&amp;"|"&amp;B154&amp;"|"&amp;C154&amp;"|"&amp;D154&amp;"|"&amp;E154&amp;"|"&amp;F154&amp;"|"&amp;G154&amp;"|"&amp;H154</f>
        <v>PT0227|Praveen Rathore|60|MALE|thyroid disorder|Levothyroxine|75|46033</v>
      </c>
      <c r="J154" s="8" t="str">
        <f aca="false">IF(COUNTIF($I$2:I154,I154)&gt;1,"Duplicate","Unique")</f>
        <v>Duplicate</v>
      </c>
    </row>
    <row r="155" customFormat="false" ht="15" hidden="false" customHeight="false" outlineLevel="0" collapsed="false">
      <c r="A155" s="8" t="s">
        <v>449</v>
      </c>
      <c r="B155" s="8" t="s">
        <v>450</v>
      </c>
      <c r="C155" s="9" t="n">
        <v>26</v>
      </c>
      <c r="D155" s="8"/>
      <c r="E155" s="8" t="s">
        <v>239</v>
      </c>
      <c r="F155" s="8" t="s">
        <v>157</v>
      </c>
      <c r="G155" s="9" t="n">
        <v>75</v>
      </c>
      <c r="H155" s="10" t="n">
        <v>45926</v>
      </c>
      <c r="I155" s="8" t="str">
        <f aca="false">A155&amp;"|"&amp;B155&amp;"|"&amp;C155&amp;"|"&amp;D155&amp;"|"&amp;E155&amp;"|"&amp;F155&amp;"|"&amp;G155&amp;"|"&amp;H155</f>
        <v>PT0184|Pooja Tiwari|26||Migraine  |sumatriptan|75|45926</v>
      </c>
      <c r="J155" s="8" t="str">
        <f aca="false">IF(COUNTIF($I$2:I155,I155)&gt;1,"Duplicate","Unique")</f>
        <v>Unique</v>
      </c>
    </row>
    <row r="156" customFormat="false" ht="15" hidden="false" customHeight="false" outlineLevel="0" collapsed="false">
      <c r="A156" s="8" t="s">
        <v>451</v>
      </c>
      <c r="B156" s="8" t="s">
        <v>452</v>
      </c>
      <c r="C156" s="9" t="n">
        <v>34</v>
      </c>
      <c r="D156" s="8" t="s">
        <v>104</v>
      </c>
      <c r="E156" s="8" t="s">
        <v>239</v>
      </c>
      <c r="F156" s="8" t="s">
        <v>135</v>
      </c>
      <c r="G156" s="9" t="n">
        <v>100</v>
      </c>
      <c r="H156" s="10" t="n">
        <v>45629</v>
      </c>
      <c r="I156" s="8" t="str">
        <f aca="false">A156&amp;"|"&amp;B156&amp;"|"&amp;C156&amp;"|"&amp;D156&amp;"|"&amp;E156&amp;"|"&amp;F156&amp;"|"&amp;G156&amp;"|"&amp;H156</f>
        <v>PT0128|Manju Pandey|34| Female|Migraine  |Sumatriptan  |100|45629</v>
      </c>
      <c r="J156" s="8" t="str">
        <f aca="false">IF(COUNTIF($I$2:I156,I156)&gt;1,"Duplicate","Unique")</f>
        <v>Unique</v>
      </c>
    </row>
    <row r="157" customFormat="false" ht="15" hidden="false" customHeight="false" outlineLevel="0" collapsed="false">
      <c r="A157" s="8" t="s">
        <v>453</v>
      </c>
      <c r="B157" s="8" t="s">
        <v>454</v>
      </c>
      <c r="C157" s="9" t="n">
        <v>46</v>
      </c>
      <c r="D157" s="8" t="s">
        <v>85</v>
      </c>
      <c r="E157" s="8" t="s">
        <v>68</v>
      </c>
      <c r="F157" s="8" t="s">
        <v>317</v>
      </c>
      <c r="G157" s="9"/>
      <c r="H157" s="10" t="n">
        <v>45623</v>
      </c>
      <c r="I157" s="8" t="str">
        <f aca="false">A157&amp;"|"&amp;B157&amp;"|"&amp;C157&amp;"|"&amp;D157&amp;"|"&amp;E157&amp;"|"&amp;F157&amp;"|"&amp;G157&amp;"|"&amp;H157</f>
        <v>PT0023|Nitin Agarwal|46|MALE|Arthritis|ibuprofen||45623</v>
      </c>
      <c r="J157" s="8" t="str">
        <f aca="false">IF(COUNTIF($I$2:I157,I157)&gt;1,"Duplicate","Unique")</f>
        <v>Unique</v>
      </c>
    </row>
    <row r="158" customFormat="false" ht="15" hidden="false" customHeight="false" outlineLevel="0" collapsed="false">
      <c r="A158" s="8" t="s">
        <v>455</v>
      </c>
      <c r="B158" s="8" t="s">
        <v>456</v>
      </c>
      <c r="C158" s="9" t="n">
        <v>47</v>
      </c>
      <c r="D158" s="8"/>
      <c r="E158" s="8" t="s">
        <v>178</v>
      </c>
      <c r="F158" s="8" t="s">
        <v>312</v>
      </c>
      <c r="G158" s="9" t="n">
        <v>320</v>
      </c>
      <c r="H158" s="10" t="n">
        <v>46071</v>
      </c>
      <c r="I158" s="8" t="str">
        <f aca="false">A158&amp;"|"&amp;B158&amp;"|"&amp;C158&amp;"|"&amp;D158&amp;"|"&amp;E158&amp;"|"&amp;F158&amp;"|"&amp;G158&amp;"|"&amp;H158</f>
        <v>PT0115|Suresh Rao|47||Bronchitis  |azithromycin|320|46071</v>
      </c>
      <c r="J158" s="8" t="str">
        <f aca="false">IF(COUNTIF($I$2:I158,I158)&gt;1,"Duplicate","Unique")</f>
        <v>Unique</v>
      </c>
    </row>
    <row r="159" customFormat="false" ht="15" hidden="false" customHeight="false" outlineLevel="0" collapsed="false">
      <c r="A159" s="8" t="s">
        <v>457</v>
      </c>
      <c r="B159" s="8" t="s">
        <v>458</v>
      </c>
      <c r="C159" s="9" t="n">
        <v>66</v>
      </c>
      <c r="D159" s="8" t="s">
        <v>46</v>
      </c>
      <c r="E159" s="8" t="s">
        <v>459</v>
      </c>
      <c r="F159" s="8" t="s">
        <v>149</v>
      </c>
      <c r="G159" s="9" t="n">
        <v>85</v>
      </c>
      <c r="H159" s="10" t="n">
        <v>45860</v>
      </c>
      <c r="I159" s="8" t="str">
        <f aca="false">A159&amp;"|"&amp;B159&amp;"|"&amp;C159&amp;"|"&amp;D159&amp;"|"&amp;E159&amp;"|"&amp;F159&amp;"|"&amp;G159&amp;"|"&amp;H159</f>
        <v>PT0147|Arjun Gupta|66|Male|depression| Sertraline |85|45860</v>
      </c>
      <c r="J159" s="8" t="str">
        <f aca="false">IF(COUNTIF($I$2:I159,I159)&gt;1,"Duplicate","Unique")</f>
        <v>Unique</v>
      </c>
    </row>
    <row r="160" customFormat="false" ht="15" hidden="false" customHeight="false" outlineLevel="0" collapsed="false">
      <c r="A160" s="8" t="s">
        <v>460</v>
      </c>
      <c r="B160" s="8" t="s">
        <v>377</v>
      </c>
      <c r="C160" s="9" t="n">
        <v>38</v>
      </c>
      <c r="D160" s="8" t="s">
        <v>104</v>
      </c>
      <c r="E160" s="8" t="s">
        <v>49</v>
      </c>
      <c r="F160" s="8" t="s">
        <v>110</v>
      </c>
      <c r="G160" s="9" t="n">
        <v>10</v>
      </c>
      <c r="H160" s="10" t="n">
        <v>45623</v>
      </c>
      <c r="I160" s="8" t="str">
        <f aca="false">A160&amp;"|"&amp;B160&amp;"|"&amp;C160&amp;"|"&amp;D160&amp;"|"&amp;E160&amp;"|"&amp;F160&amp;"|"&amp;G160&amp;"|"&amp;H160</f>
        <v>PT0114|Lata Verma|38| Female|Hypertension| Amlodipine |10|45623</v>
      </c>
      <c r="J160" s="8" t="str">
        <f aca="false">IF(COUNTIF($I$2:I160,I160)&gt;1,"Duplicate","Unique")</f>
        <v>Unique</v>
      </c>
    </row>
    <row r="161" customFormat="false" ht="15" hidden="false" customHeight="false" outlineLevel="0" collapsed="false">
      <c r="A161" s="8" t="s">
        <v>461</v>
      </c>
      <c r="B161" s="8" t="s">
        <v>462</v>
      </c>
      <c r="C161" s="9" t="n">
        <v>26</v>
      </c>
      <c r="D161" s="8" t="s">
        <v>109</v>
      </c>
      <c r="E161" s="8" t="s">
        <v>49</v>
      </c>
      <c r="F161" s="8" t="s">
        <v>52</v>
      </c>
      <c r="G161" s="9" t="n">
        <v>5</v>
      </c>
      <c r="H161" s="10" t="n">
        <v>46101</v>
      </c>
      <c r="I161" s="8" t="str">
        <f aca="false">A161&amp;"|"&amp;B161&amp;"|"&amp;C161&amp;"|"&amp;D161&amp;"|"&amp;E161&amp;"|"&amp;F161&amp;"|"&amp;G161&amp;"|"&amp;H161</f>
        <v>PT0118|Radha Gupta|26|f|Hypertension|Amlodipine|5|46101</v>
      </c>
      <c r="J161" s="8" t="str">
        <f aca="false">IF(COUNTIF($I$2:I161,I161)&gt;1,"Duplicate","Unique")</f>
        <v>Unique</v>
      </c>
    </row>
    <row r="162" customFormat="false" ht="15" hidden="false" customHeight="false" outlineLevel="0" collapsed="false">
      <c r="A162" s="8" t="s">
        <v>463</v>
      </c>
      <c r="B162" s="8" t="s">
        <v>464</v>
      </c>
      <c r="C162" s="9" t="n">
        <v>37</v>
      </c>
      <c r="D162" s="8" t="s">
        <v>81</v>
      </c>
      <c r="E162" s="8" t="s">
        <v>366</v>
      </c>
      <c r="F162" s="8" t="s">
        <v>115</v>
      </c>
      <c r="G162" s="9" t="n">
        <v>420</v>
      </c>
      <c r="H162" s="10" t="n">
        <v>46079</v>
      </c>
      <c r="I162" s="8" t="str">
        <f aca="false">A162&amp;"|"&amp;B162&amp;"|"&amp;C162&amp;"|"&amp;D162&amp;"|"&amp;E162&amp;"|"&amp;F162&amp;"|"&amp;G162&amp;"|"&amp;H162</f>
        <v>PT0021|Lata Reddy|37|female| Bronchitis |Azithromycin|420|46079</v>
      </c>
      <c r="J162" s="8" t="str">
        <f aca="false">IF(COUNTIF($I$2:I162,I162)&gt;1,"Duplicate","Unique")</f>
        <v>Unique</v>
      </c>
    </row>
    <row r="163" customFormat="false" ht="15" hidden="false" customHeight="false" outlineLevel="0" collapsed="false">
      <c r="A163" s="8" t="s">
        <v>465</v>
      </c>
      <c r="B163" s="8" t="s">
        <v>466</v>
      </c>
      <c r="C163" s="9" t="n">
        <v>60</v>
      </c>
      <c r="D163" s="8" t="s">
        <v>121</v>
      </c>
      <c r="E163" s="8" t="s">
        <v>250</v>
      </c>
      <c r="F163" s="8" t="s">
        <v>154</v>
      </c>
      <c r="G163" s="9" t="n">
        <v>250</v>
      </c>
      <c r="H163" s="10" t="n">
        <v>45982</v>
      </c>
      <c r="I163" s="8" t="str">
        <f aca="false">A163&amp;"|"&amp;B163&amp;"|"&amp;C163&amp;"|"&amp;D163&amp;"|"&amp;E163&amp;"|"&amp;F163&amp;"|"&amp;G163&amp;"|"&amp;H163</f>
        <v>PT0061|Geeta Verma|60|FEMALE|anemia|Ferrous Sulfate|250|45982</v>
      </c>
      <c r="J163" s="8" t="str">
        <f aca="false">IF(COUNTIF($I$2:I163,I163)&gt;1,"Duplicate","Unique")</f>
        <v>Unique</v>
      </c>
    </row>
    <row r="164" customFormat="false" ht="15" hidden="false" customHeight="false" outlineLevel="0" collapsed="false">
      <c r="A164" s="8" t="s">
        <v>467</v>
      </c>
      <c r="B164" s="8" t="s">
        <v>276</v>
      </c>
      <c r="C164" s="9" t="n">
        <v>44</v>
      </c>
      <c r="D164" s="8" t="s">
        <v>113</v>
      </c>
      <c r="E164" s="8" t="s">
        <v>468</v>
      </c>
      <c r="F164" s="8" t="s">
        <v>469</v>
      </c>
      <c r="G164" s="9" t="n">
        <v>100</v>
      </c>
      <c r="H164" s="10" t="n">
        <v>45994</v>
      </c>
      <c r="I164" s="8" t="str">
        <f aca="false">A164&amp;"|"&amp;B164&amp;"|"&amp;C164&amp;"|"&amp;D164&amp;"|"&amp;E164&amp;"|"&amp;F164&amp;"|"&amp;G164&amp;"|"&amp;H164</f>
        <v>PT0104|Deepak Nair|44|male|Migraine|SUMATRIPTAN|100|45994</v>
      </c>
      <c r="J164" s="8" t="str">
        <f aca="false">IF(COUNTIF($I$2:I164,I164)&gt;1,"Duplicate","Unique")</f>
        <v>Unique</v>
      </c>
    </row>
    <row r="165" customFormat="false" ht="15" hidden="false" customHeight="false" outlineLevel="0" collapsed="false">
      <c r="A165" s="8" t="s">
        <v>470</v>
      </c>
      <c r="B165" s="8" t="s">
        <v>471</v>
      </c>
      <c r="C165" s="9" t="n">
        <v>81</v>
      </c>
      <c r="D165" s="8" t="s">
        <v>190</v>
      </c>
      <c r="E165" s="8" t="s">
        <v>468</v>
      </c>
      <c r="F165" s="8" t="s">
        <v>240</v>
      </c>
      <c r="G165" s="9" t="n">
        <v>95</v>
      </c>
      <c r="H165" s="10" t="n">
        <v>46260</v>
      </c>
      <c r="I165" s="8" t="str">
        <f aca="false">A165&amp;"|"&amp;B165&amp;"|"&amp;C165&amp;"|"&amp;D165&amp;"|"&amp;E165&amp;"|"&amp;F165&amp;"|"&amp;G165&amp;"|"&amp;H165</f>
        <v>PT0097|Nitin Nair|81|Male |Migraine| Sumatriptan |95|46260</v>
      </c>
      <c r="J165" s="8" t="str">
        <f aca="false">IF(COUNTIF($I$2:I165,I165)&gt;1,"Duplicate","Unique")</f>
        <v>Unique</v>
      </c>
    </row>
    <row r="166" customFormat="false" ht="15" hidden="false" customHeight="false" outlineLevel="0" collapsed="false">
      <c r="A166" s="8" t="s">
        <v>472</v>
      </c>
      <c r="B166" s="8" t="s">
        <v>473</v>
      </c>
      <c r="C166" s="9" t="n">
        <v>22</v>
      </c>
      <c r="D166" s="8" t="s">
        <v>121</v>
      </c>
      <c r="E166" s="8" t="s">
        <v>420</v>
      </c>
      <c r="F166" s="8" t="s">
        <v>317</v>
      </c>
      <c r="G166" s="9" t="n">
        <v>380</v>
      </c>
      <c r="H166" s="10" t="n">
        <v>46194</v>
      </c>
      <c r="I166" s="8" t="str">
        <f aca="false">A166&amp;"|"&amp;B166&amp;"|"&amp;C166&amp;"|"&amp;D166&amp;"|"&amp;E166&amp;"|"&amp;F166&amp;"|"&amp;G166&amp;"|"&amp;H166</f>
        <v>PT0213|Preeti Nair|22|FEMALE| Arthritis |ibuprofen|380|46194</v>
      </c>
      <c r="J166" s="8" t="str">
        <f aca="false">IF(COUNTIF($I$2:I166,I166)&gt;1,"Duplicate","Unique")</f>
        <v>Unique</v>
      </c>
    </row>
    <row r="167" customFormat="false" ht="15" hidden="false" customHeight="false" outlineLevel="0" collapsed="false">
      <c r="A167" s="8" t="s">
        <v>474</v>
      </c>
      <c r="B167" s="8" t="s">
        <v>475</v>
      </c>
      <c r="C167" s="9" t="n">
        <v>15</v>
      </c>
      <c r="D167" s="8" t="s">
        <v>121</v>
      </c>
      <c r="E167" s="8" t="s">
        <v>459</v>
      </c>
      <c r="F167" s="8" t="s">
        <v>476</v>
      </c>
      <c r="G167" s="9" t="n">
        <v>60</v>
      </c>
      <c r="H167" s="10" t="n">
        <v>46121</v>
      </c>
      <c r="I167" s="8" t="str">
        <f aca="false">A167&amp;"|"&amp;B167&amp;"|"&amp;C167&amp;"|"&amp;D167&amp;"|"&amp;E167&amp;"|"&amp;F167&amp;"|"&amp;G167&amp;"|"&amp;H167</f>
        <v>PT0141|Preeti Rao|15|FEMALE|depression|sertraline|60|46121</v>
      </c>
      <c r="J167" s="8" t="str">
        <f aca="false">IF(COUNTIF($I$2:I167,I167)&gt;1,"Duplicate","Unique")</f>
        <v>Unique</v>
      </c>
    </row>
    <row r="168" customFormat="false" ht="15" hidden="false" customHeight="false" outlineLevel="0" collapsed="false">
      <c r="A168" s="8" t="s">
        <v>477</v>
      </c>
      <c r="B168" s="8" t="s">
        <v>478</v>
      </c>
      <c r="C168" s="9" t="n">
        <v>11</v>
      </c>
      <c r="D168" s="8" t="s">
        <v>131</v>
      </c>
      <c r="E168" s="8" t="s">
        <v>171</v>
      </c>
      <c r="F168" s="8" t="s">
        <v>440</v>
      </c>
      <c r="G168" s="9" t="n">
        <v>65</v>
      </c>
      <c r="H168" s="10" t="n">
        <v>45942</v>
      </c>
      <c r="I168" s="8" t="str">
        <f aca="false">A168&amp;"|"&amp;B168&amp;"|"&amp;C168&amp;"|"&amp;D168&amp;"|"&amp;E168&amp;"|"&amp;F168&amp;"|"&amp;G168&amp;"|"&amp;H168</f>
        <v>PT0205|Divya Mishra|11|Female |obesity|ORLISTAT|65|45942</v>
      </c>
      <c r="J168" s="8" t="str">
        <f aca="false">IF(COUNTIF($I$2:I168,I168)&gt;1,"Duplicate","Unique")</f>
        <v>Unique</v>
      </c>
    </row>
    <row r="169" customFormat="false" ht="15" hidden="false" customHeight="false" outlineLevel="0" collapsed="false">
      <c r="A169" s="8" t="s">
        <v>479</v>
      </c>
      <c r="B169" s="8" t="s">
        <v>480</v>
      </c>
      <c r="C169" s="9" t="n">
        <v>42</v>
      </c>
      <c r="D169" s="8" t="s">
        <v>104</v>
      </c>
      <c r="E169" s="8" t="s">
        <v>125</v>
      </c>
      <c r="F169" s="8" t="s">
        <v>126</v>
      </c>
      <c r="G169" s="9" t="n">
        <v>580</v>
      </c>
      <c r="H169" s="10" t="n">
        <v>45967</v>
      </c>
      <c r="I169" s="8" t="str">
        <f aca="false">A169&amp;"|"&amp;B169&amp;"|"&amp;C169&amp;"|"&amp;D169&amp;"|"&amp;E169&amp;"|"&amp;F169&amp;"|"&amp;G169&amp;"|"&amp;H169</f>
        <v>PT0179|Swati Mishra|42| Female|diabetes|Metformin  |580|45967</v>
      </c>
      <c r="J169" s="8" t="str">
        <f aca="false">IF(COUNTIF($I$2:I169,I169)&gt;1,"Duplicate","Unique")</f>
        <v>Unique</v>
      </c>
    </row>
    <row r="170" customFormat="false" ht="15" hidden="false" customHeight="false" outlineLevel="0" collapsed="false">
      <c r="A170" s="8" t="s">
        <v>481</v>
      </c>
      <c r="B170" s="8" t="s">
        <v>482</v>
      </c>
      <c r="C170" s="9" t="n">
        <v>50</v>
      </c>
      <c r="D170" s="8" t="s">
        <v>203</v>
      </c>
      <c r="E170" s="8" t="s">
        <v>186</v>
      </c>
      <c r="F170" s="8" t="s">
        <v>187</v>
      </c>
      <c r="G170" s="9" t="n">
        <v>10</v>
      </c>
      <c r="H170" s="10" t="n">
        <v>45682</v>
      </c>
      <c r="I170" s="8" t="str">
        <f aca="false">A170&amp;"|"&amp;B170&amp;"|"&amp;C170&amp;"|"&amp;D170&amp;"|"&amp;E170&amp;"|"&amp;F170&amp;"|"&amp;G170&amp;"|"&amp;H170</f>
        <v>PT0013|Rakesh Chauhan|50|m|Allergy|Cetirizine  |10|45682</v>
      </c>
      <c r="J170" s="8" t="str">
        <f aca="false">IF(COUNTIF($I$2:I170,I170)&gt;1,"Duplicate","Unique")</f>
        <v>Unique</v>
      </c>
    </row>
    <row r="171" customFormat="false" ht="15" hidden="false" customHeight="false" outlineLevel="0" collapsed="false">
      <c r="A171" s="8" t="s">
        <v>483</v>
      </c>
      <c r="B171" s="8" t="s">
        <v>484</v>
      </c>
      <c r="C171" s="9" t="n">
        <v>43</v>
      </c>
      <c r="D171" s="8" t="s">
        <v>46</v>
      </c>
      <c r="E171" s="8" t="s">
        <v>250</v>
      </c>
      <c r="F171" s="8" t="s">
        <v>485</v>
      </c>
      <c r="G171" s="9" t="n">
        <v>260</v>
      </c>
      <c r="H171" s="10" t="n">
        <v>46042</v>
      </c>
      <c r="I171" s="8" t="str">
        <f aca="false">A171&amp;"|"&amp;B171&amp;"|"&amp;C171&amp;"|"&amp;D171&amp;"|"&amp;E171&amp;"|"&amp;F171&amp;"|"&amp;G171&amp;"|"&amp;H171</f>
        <v>PT0072|Rakesh Patel|43|Male|anemia|ferrous sulfate|260|46042</v>
      </c>
      <c r="J171" s="8" t="str">
        <f aca="false">IF(COUNTIF($I$2:I171,I171)&gt;1,"Duplicate","Unique")</f>
        <v>Unique</v>
      </c>
    </row>
    <row r="172" customFormat="false" ht="15" hidden="false" customHeight="false" outlineLevel="0" collapsed="false">
      <c r="A172" s="8" t="s">
        <v>486</v>
      </c>
      <c r="B172" s="8" t="s">
        <v>487</v>
      </c>
      <c r="C172" s="9" t="n">
        <v>67</v>
      </c>
      <c r="D172" s="8" t="s">
        <v>203</v>
      </c>
      <c r="E172" s="8" t="s">
        <v>254</v>
      </c>
      <c r="F172" s="8" t="s">
        <v>255</v>
      </c>
      <c r="G172" s="9" t="n">
        <v>1565</v>
      </c>
      <c r="H172" s="10" t="n">
        <v>45563</v>
      </c>
      <c r="I172" s="8" t="str">
        <f aca="false">A172&amp;"|"&amp;B172&amp;"|"&amp;C172&amp;"|"&amp;D172&amp;"|"&amp;E172&amp;"|"&amp;F172&amp;"|"&amp;G172&amp;"|"&amp;H172</f>
        <v>PT0085|Arjun Kumar|67|m|COVID-19| Favipiravir |1565|45563</v>
      </c>
      <c r="J172" s="8" t="str">
        <f aca="false">IF(COUNTIF($I$2:I172,I172)&gt;1,"Duplicate","Unique")</f>
        <v>Unique</v>
      </c>
    </row>
    <row r="173" customFormat="false" ht="15" hidden="false" customHeight="false" outlineLevel="0" collapsed="false">
      <c r="A173" s="8" t="s">
        <v>488</v>
      </c>
      <c r="B173" s="8" t="s">
        <v>489</v>
      </c>
      <c r="C173" s="9" t="n">
        <v>57</v>
      </c>
      <c r="D173" s="8" t="s">
        <v>190</v>
      </c>
      <c r="E173" s="8" t="s">
        <v>220</v>
      </c>
      <c r="F173" s="8" t="s">
        <v>221</v>
      </c>
      <c r="G173" s="9" t="n">
        <v>590</v>
      </c>
      <c r="H173" s="10"/>
      <c r="I173" s="8" t="str">
        <f aca="false">A173&amp;"|"&amp;B173&amp;"|"&amp;C173&amp;"|"&amp;D173&amp;"|"&amp;E173&amp;"|"&amp;F173&amp;"|"&amp;G173&amp;"|"&amp;H173</f>
        <v>PT0062|Praveen Singh|57|Male |flu|paracetamol|590|</v>
      </c>
      <c r="J173" s="8" t="str">
        <f aca="false">IF(COUNTIF($I$2:I173,I173)&gt;1,"Duplicate","Unique")</f>
        <v>Unique</v>
      </c>
    </row>
    <row r="174" customFormat="false" ht="15" hidden="false" customHeight="false" outlineLevel="0" collapsed="false">
      <c r="A174" s="8" t="s">
        <v>490</v>
      </c>
      <c r="B174" s="8" t="s">
        <v>491</v>
      </c>
      <c r="C174" s="9" t="n">
        <v>17</v>
      </c>
      <c r="D174" s="8" t="s">
        <v>81</v>
      </c>
      <c r="E174" s="8" t="s">
        <v>171</v>
      </c>
      <c r="F174" s="8" t="s">
        <v>172</v>
      </c>
      <c r="G174" s="9" t="n">
        <v>75</v>
      </c>
      <c r="H174" s="10" t="n">
        <v>46035</v>
      </c>
      <c r="I174" s="8" t="str">
        <f aca="false">A174&amp;"|"&amp;B174&amp;"|"&amp;C174&amp;"|"&amp;D174&amp;"|"&amp;E174&amp;"|"&amp;F174&amp;"|"&amp;G174&amp;"|"&amp;H174</f>
        <v>PT0083|Kiran Pandey|17|female|obesity|orlistat|75|46035</v>
      </c>
      <c r="J174" s="8" t="str">
        <f aca="false">IF(COUNTIF($I$2:I174,I174)&gt;1,"Duplicate","Unique")</f>
        <v>Unique</v>
      </c>
    </row>
    <row r="175" customFormat="false" ht="15" hidden="false" customHeight="false" outlineLevel="0" collapsed="false">
      <c r="A175" s="8" t="s">
        <v>492</v>
      </c>
      <c r="B175" s="8" t="s">
        <v>493</v>
      </c>
      <c r="C175" s="9" t="n">
        <v>50</v>
      </c>
      <c r="D175" s="8" t="s">
        <v>109</v>
      </c>
      <c r="E175" s="8"/>
      <c r="F175" s="8" t="s">
        <v>200</v>
      </c>
      <c r="G175" s="9"/>
      <c r="H175" s="10" t="n">
        <v>46224</v>
      </c>
      <c r="I175" s="8" t="str">
        <f aca="false">A175&amp;"|"&amp;B175&amp;"|"&amp;C175&amp;"|"&amp;D175&amp;"|"&amp;E175&amp;"|"&amp;F175&amp;"|"&amp;G175&amp;"|"&amp;H175</f>
        <v>PT0126|Radha Choudhary|50|f||Ibuprofen  ||46224</v>
      </c>
      <c r="J175" s="8" t="str">
        <f aca="false">IF(COUNTIF($I$2:I175,I175)&gt;1,"Duplicate","Unique")</f>
        <v>Unique</v>
      </c>
    </row>
    <row r="176" customFormat="false" ht="15" hidden="false" customHeight="false" outlineLevel="0" collapsed="false">
      <c r="A176" s="8" t="s">
        <v>494</v>
      </c>
      <c r="B176" s="8" t="s">
        <v>495</v>
      </c>
      <c r="C176" s="9" t="n">
        <v>46</v>
      </c>
      <c r="D176" s="8" t="s">
        <v>67</v>
      </c>
      <c r="E176" s="8" t="s">
        <v>399</v>
      </c>
      <c r="F176" s="8" t="s">
        <v>118</v>
      </c>
      <c r="G176" s="9" t="n">
        <v>115</v>
      </c>
      <c r="H176" s="10" t="n">
        <v>46176</v>
      </c>
      <c r="I176" s="8" t="str">
        <f aca="false">A176&amp;"|"&amp;B176&amp;"|"&amp;C176&amp;"|"&amp;D176&amp;"|"&amp;E176&amp;"|"&amp;F176&amp;"|"&amp;G176&amp;"|"&amp;H176</f>
        <v>PT0020|Dinesh Kumar|46|M|Asthma  |salbutamol|115|46176</v>
      </c>
      <c r="J176" s="8" t="str">
        <f aca="false">IF(COUNTIF($I$2:I176,I176)&gt;1,"Duplicate","Unique")</f>
        <v>Unique</v>
      </c>
    </row>
    <row r="177" customFormat="false" ht="15" hidden="false" customHeight="false" outlineLevel="0" collapsed="false">
      <c r="A177" s="8" t="s">
        <v>443</v>
      </c>
      <c r="B177" s="8" t="s">
        <v>444</v>
      </c>
      <c r="C177" s="9" t="n">
        <v>33</v>
      </c>
      <c r="D177" s="8"/>
      <c r="E177" s="8" t="s">
        <v>162</v>
      </c>
      <c r="F177" s="8" t="s">
        <v>193</v>
      </c>
      <c r="G177" s="9" t="n">
        <v>10</v>
      </c>
      <c r="H177" s="10" t="n">
        <v>46172</v>
      </c>
      <c r="I177" s="8" t="str">
        <f aca="false">A177&amp;"|"&amp;B177&amp;"|"&amp;C177&amp;"|"&amp;D177&amp;"|"&amp;E177&amp;"|"&amp;F177&amp;"|"&amp;G177&amp;"|"&amp;H177</f>
        <v>PT0043|Ajay Joshi|33||Hypertension  |Amlodipine  |10|46172</v>
      </c>
      <c r="J177" s="8" t="str">
        <f aca="false">IF(COUNTIF($I$2:I177,I177)&gt;1,"Duplicate","Unique")</f>
        <v>Duplicate</v>
      </c>
    </row>
    <row r="178" customFormat="false" ht="15" hidden="false" customHeight="false" outlineLevel="0" collapsed="false">
      <c r="A178" s="8" t="s">
        <v>496</v>
      </c>
      <c r="B178" s="8" t="s">
        <v>497</v>
      </c>
      <c r="C178" s="9" t="n">
        <v>46</v>
      </c>
      <c r="D178" s="8" t="s">
        <v>203</v>
      </c>
      <c r="E178" s="8" t="s">
        <v>371</v>
      </c>
      <c r="F178" s="8"/>
      <c r="G178" s="9" t="n">
        <v>170</v>
      </c>
      <c r="H178" s="10" t="n">
        <v>45820</v>
      </c>
      <c r="I178" s="8" t="str">
        <f aca="false">A178&amp;"|"&amp;B178&amp;"|"&amp;C178&amp;"|"&amp;D178&amp;"|"&amp;E178&amp;"|"&amp;F178&amp;"|"&amp;G178&amp;"|"&amp;H178</f>
        <v>PT0127|Rakesh Verma|46|m|ASTHMA||170|45820</v>
      </c>
      <c r="J178" s="8" t="str">
        <f aca="false">IF(COUNTIF($I$2:I178,I178)&gt;1,"Duplicate","Unique")</f>
        <v>Unique</v>
      </c>
    </row>
    <row r="179" customFormat="false" ht="15" hidden="false" customHeight="false" outlineLevel="0" collapsed="false">
      <c r="A179" s="8" t="s">
        <v>498</v>
      </c>
      <c r="B179" s="8" t="s">
        <v>499</v>
      </c>
      <c r="C179" s="9" t="n">
        <v>23</v>
      </c>
      <c r="D179" s="8" t="s">
        <v>76</v>
      </c>
      <c r="E179" s="8" t="s">
        <v>196</v>
      </c>
      <c r="F179" s="8" t="s">
        <v>221</v>
      </c>
      <c r="G179" s="9" t="n">
        <v>585</v>
      </c>
      <c r="H179" s="10" t="n">
        <v>45766</v>
      </c>
      <c r="I179" s="8" t="str">
        <f aca="false">A179&amp;"|"&amp;B179&amp;"|"&amp;C179&amp;"|"&amp;D179&amp;"|"&amp;E179&amp;"|"&amp;F179&amp;"|"&amp;G179&amp;"|"&amp;H179</f>
        <v>PT0121|Gopal Choudhary|23| Male|FLU|paracetamol|585|45766</v>
      </c>
      <c r="J179" s="8" t="str">
        <f aca="false">IF(COUNTIF($I$2:I179,I179)&gt;1,"Duplicate","Unique")</f>
        <v>Unique</v>
      </c>
    </row>
    <row r="180" customFormat="false" ht="15" hidden="false" customHeight="false" outlineLevel="0" collapsed="false">
      <c r="A180" s="8" t="s">
        <v>500</v>
      </c>
      <c r="B180" s="8" t="s">
        <v>288</v>
      </c>
      <c r="C180" s="9" t="n">
        <v>53</v>
      </c>
      <c r="D180" s="8" t="s">
        <v>131</v>
      </c>
      <c r="E180" s="8" t="s">
        <v>501</v>
      </c>
      <c r="F180" s="8" t="s">
        <v>166</v>
      </c>
      <c r="G180" s="9" t="n">
        <v>100</v>
      </c>
      <c r="H180" s="10" t="n">
        <v>45573</v>
      </c>
      <c r="I180" s="8" t="str">
        <f aca="false">A180&amp;"|"&amp;B180&amp;"|"&amp;C180&amp;"|"&amp;D180&amp;"|"&amp;E180&amp;"|"&amp;F180&amp;"|"&amp;G180&amp;"|"&amp;H180</f>
        <v>PT0130|Radha Shukla|53|Female |Obesity|Orlistat|100|45573</v>
      </c>
      <c r="J180" s="8" t="str">
        <f aca="false">IF(COUNTIF($I$2:I180,I180)&gt;1,"Duplicate","Unique")</f>
        <v>Unique</v>
      </c>
    </row>
    <row r="181" customFormat="false" ht="15" hidden="false" customHeight="false" outlineLevel="0" collapsed="false">
      <c r="A181" s="8" t="s">
        <v>502</v>
      </c>
      <c r="B181" s="8" t="s">
        <v>503</v>
      </c>
      <c r="C181" s="9" t="n">
        <v>57</v>
      </c>
      <c r="D181" s="8" t="s">
        <v>81</v>
      </c>
      <c r="E181" s="8" t="s">
        <v>144</v>
      </c>
      <c r="F181" s="8" t="s">
        <v>135</v>
      </c>
      <c r="G181" s="9" t="n">
        <v>55</v>
      </c>
      <c r="H181" s="10" t="n">
        <v>46088</v>
      </c>
      <c r="I181" s="8" t="str">
        <f aca="false">A181&amp;"|"&amp;B181&amp;"|"&amp;C181&amp;"|"&amp;D181&amp;"|"&amp;E181&amp;"|"&amp;F181&amp;"|"&amp;G181&amp;"|"&amp;H181</f>
        <v>PT0029|Sunita Chauhan|57|female|MIGRAINE|Sumatriptan  |55|46088</v>
      </c>
      <c r="J181" s="8" t="str">
        <f aca="false">IF(COUNTIF($I$2:I181,I181)&gt;1,"Duplicate","Unique")</f>
        <v>Unique</v>
      </c>
    </row>
    <row r="182" customFormat="false" ht="15" hidden="false" customHeight="false" outlineLevel="0" collapsed="false">
      <c r="A182" s="8" t="s">
        <v>504</v>
      </c>
      <c r="B182" s="8" t="s">
        <v>505</v>
      </c>
      <c r="C182" s="9" t="n">
        <v>-5</v>
      </c>
      <c r="D182" s="8" t="s">
        <v>109</v>
      </c>
      <c r="E182" s="8" t="s">
        <v>86</v>
      </c>
      <c r="F182" s="8" t="s">
        <v>217</v>
      </c>
      <c r="G182" s="9" t="n">
        <v>520</v>
      </c>
      <c r="H182" s="10" t="n">
        <v>46239</v>
      </c>
      <c r="I182" s="8" t="str">
        <f aca="false">A182&amp;"|"&amp;B182&amp;"|"&amp;C182&amp;"|"&amp;D182&amp;"|"&amp;E182&amp;"|"&amp;F182&amp;"|"&amp;G182&amp;"|"&amp;H182</f>
        <v>PT0188|Radha Tiwari|-5|f| Flu |PARACETAMOL|520|46239</v>
      </c>
      <c r="J182" s="8" t="str">
        <f aca="false">IF(COUNTIF($I$2:I182,I182)&gt;1,"Duplicate","Unique")</f>
        <v>Unique</v>
      </c>
    </row>
    <row r="183" customFormat="false" ht="15" hidden="false" customHeight="false" outlineLevel="0" collapsed="false">
      <c r="A183" s="8" t="s">
        <v>506</v>
      </c>
      <c r="B183" s="8" t="s">
        <v>349</v>
      </c>
      <c r="C183" s="9" t="n">
        <v>28</v>
      </c>
      <c r="D183" s="8" t="s">
        <v>104</v>
      </c>
      <c r="E183" s="8" t="s">
        <v>235</v>
      </c>
      <c r="F183" s="8" t="s">
        <v>73</v>
      </c>
      <c r="G183" s="9" t="n">
        <v>500</v>
      </c>
      <c r="H183" s="10" t="n">
        <v>45699</v>
      </c>
      <c r="I183" s="8" t="str">
        <f aca="false">A183&amp;"|"&amp;B183&amp;"|"&amp;C183&amp;"|"&amp;D183&amp;"|"&amp;E183&amp;"|"&amp;F183&amp;"|"&amp;G183&amp;"|"&amp;H183</f>
        <v>PT0003|Meena Rao|28| Female|DIABETES| Metformin |500|45699</v>
      </c>
      <c r="J183" s="8" t="str">
        <f aca="false">IF(COUNTIF($I$2:I183,I183)&gt;1,"Duplicate","Unique")</f>
        <v>Unique</v>
      </c>
    </row>
    <row r="184" customFormat="false" ht="15" hidden="false" customHeight="false" outlineLevel="0" collapsed="false">
      <c r="A184" s="8" t="s">
        <v>507</v>
      </c>
      <c r="B184" s="8" t="s">
        <v>508</v>
      </c>
      <c r="C184" s="9" t="n">
        <v>66</v>
      </c>
      <c r="D184" s="8" t="s">
        <v>131</v>
      </c>
      <c r="E184" s="8" t="s">
        <v>427</v>
      </c>
      <c r="F184" s="8" t="s">
        <v>118</v>
      </c>
      <c r="G184" s="9" t="n">
        <v>190</v>
      </c>
      <c r="H184" s="10" t="n">
        <v>45974</v>
      </c>
      <c r="I184" s="8" t="str">
        <f aca="false">A184&amp;"|"&amp;B184&amp;"|"&amp;C184&amp;"|"&amp;D184&amp;"|"&amp;E184&amp;"|"&amp;F184&amp;"|"&amp;G184&amp;"|"&amp;H184</f>
        <v>PT0014|Rekha Rao|66|Female |Asthma|salbutamol|190|45974</v>
      </c>
      <c r="J184" s="8" t="str">
        <f aca="false">IF(COUNTIF($I$2:I184,I184)&gt;1,"Duplicate","Unique")</f>
        <v>Unique</v>
      </c>
    </row>
    <row r="185" customFormat="false" ht="15" hidden="false" customHeight="false" outlineLevel="0" collapsed="false">
      <c r="A185" s="8" t="s">
        <v>509</v>
      </c>
      <c r="B185" s="8" t="s">
        <v>510</v>
      </c>
      <c r="C185" s="9" t="n">
        <v>42</v>
      </c>
      <c r="D185" s="8" t="s">
        <v>121</v>
      </c>
      <c r="E185" s="8" t="s">
        <v>378</v>
      </c>
      <c r="F185" s="8" t="s">
        <v>312</v>
      </c>
      <c r="G185" s="9" t="n">
        <v>295</v>
      </c>
      <c r="H185" s="10" t="n">
        <v>45814</v>
      </c>
      <c r="I185" s="8" t="str">
        <f aca="false">A185&amp;"|"&amp;B185&amp;"|"&amp;C185&amp;"|"&amp;D185&amp;"|"&amp;E185&amp;"|"&amp;F185&amp;"|"&amp;G185&amp;"|"&amp;H185</f>
        <v>PT0047|Payal Yadav|42|FEMALE|Bronchitis|azithromycin|295|45814</v>
      </c>
      <c r="J185" s="8" t="str">
        <f aca="false">IF(COUNTIF($I$2:I185,I185)&gt;1,"Duplicate","Unique")</f>
        <v>Unique</v>
      </c>
    </row>
    <row r="186" customFormat="false" ht="15" hidden="false" customHeight="false" outlineLevel="0" collapsed="false">
      <c r="A186" s="8" t="s">
        <v>511</v>
      </c>
      <c r="B186" s="8" t="s">
        <v>512</v>
      </c>
      <c r="C186" s="9" t="n">
        <v>77</v>
      </c>
      <c r="D186" s="8" t="s">
        <v>203</v>
      </c>
      <c r="E186" s="8" t="s">
        <v>239</v>
      </c>
      <c r="F186" s="8" t="s">
        <v>145</v>
      </c>
      <c r="G186" s="9" t="n">
        <v>45</v>
      </c>
      <c r="H186" s="10" t="n">
        <v>46043</v>
      </c>
      <c r="I186" s="8" t="str">
        <f aca="false">A186&amp;"|"&amp;B186&amp;"|"&amp;C186&amp;"|"&amp;D186&amp;"|"&amp;E186&amp;"|"&amp;F186&amp;"|"&amp;G186&amp;"|"&amp;H186</f>
        <v>PT0143|Arjun Shukla|77|m|Migraine  |Sumatriptan|45|46043</v>
      </c>
      <c r="J186" s="8" t="str">
        <f aca="false">IF(COUNTIF($I$2:I186,I186)&gt;1,"Duplicate","Unique")</f>
        <v>Unique</v>
      </c>
    </row>
    <row r="187" customFormat="false" ht="15" hidden="false" customHeight="false" outlineLevel="0" collapsed="false">
      <c r="A187" s="8" t="s">
        <v>513</v>
      </c>
      <c r="B187" s="8" t="s">
        <v>514</v>
      </c>
      <c r="C187" s="9" t="n">
        <v>70</v>
      </c>
      <c r="D187" s="8" t="s">
        <v>67</v>
      </c>
      <c r="E187" s="8" t="s">
        <v>49</v>
      </c>
      <c r="F187" s="8" t="s">
        <v>193</v>
      </c>
      <c r="G187" s="9" t="n">
        <v>5</v>
      </c>
      <c r="H187" s="10" t="n">
        <v>45606</v>
      </c>
      <c r="I187" s="8" t="str">
        <f aca="false">A187&amp;"|"&amp;B187&amp;"|"&amp;C187&amp;"|"&amp;D187&amp;"|"&amp;E187&amp;"|"&amp;F187&amp;"|"&amp;G187&amp;"|"&amp;H187</f>
        <v>PT0039|Praveen Reddy|70|M|Hypertension|Amlodipine  |5|45606</v>
      </c>
      <c r="J187" s="8" t="str">
        <f aca="false">IF(COUNTIF($I$2:I187,I187)&gt;1,"Duplicate","Unique")</f>
        <v>Unique</v>
      </c>
    </row>
    <row r="188" customFormat="false" ht="15" hidden="false" customHeight="false" outlineLevel="0" collapsed="false">
      <c r="A188" s="8" t="s">
        <v>515</v>
      </c>
      <c r="B188" s="8" t="s">
        <v>516</v>
      </c>
      <c r="C188" s="9" t="n">
        <v>12</v>
      </c>
      <c r="D188" s="8" t="s">
        <v>190</v>
      </c>
      <c r="E188" s="8" t="s">
        <v>517</v>
      </c>
      <c r="F188" s="8" t="s">
        <v>317</v>
      </c>
      <c r="G188" s="9" t="n">
        <v>300</v>
      </c>
      <c r="H188" s="10" t="n">
        <v>45787</v>
      </c>
      <c r="I188" s="8" t="str">
        <f aca="false">A188&amp;"|"&amp;B188&amp;"|"&amp;C188&amp;"|"&amp;D188&amp;"|"&amp;E188&amp;"|"&amp;F188&amp;"|"&amp;G188&amp;"|"&amp;H188</f>
        <v>PT0099|Ashok Nair|12|Male |arthritis|ibuprofen|300|45787</v>
      </c>
      <c r="J188" s="8" t="str">
        <f aca="false">IF(COUNTIF($I$2:I188,I188)&gt;1,"Duplicate","Unique")</f>
        <v>Unique</v>
      </c>
    </row>
    <row r="189" customFormat="false" ht="15" hidden="false" customHeight="false" outlineLevel="0" collapsed="false">
      <c r="A189" s="8" t="s">
        <v>518</v>
      </c>
      <c r="B189" s="8" t="s">
        <v>519</v>
      </c>
      <c r="C189" s="9" t="n">
        <v>24</v>
      </c>
      <c r="D189" s="8" t="s">
        <v>85</v>
      </c>
      <c r="E189" s="8" t="s">
        <v>49</v>
      </c>
      <c r="F189" s="8" t="s">
        <v>110</v>
      </c>
      <c r="G189" s="9" t="n">
        <v>5</v>
      </c>
      <c r="H189" s="10" t="n">
        <v>46001</v>
      </c>
      <c r="I189" s="8" t="str">
        <f aca="false">A189&amp;"|"&amp;B189&amp;"|"&amp;C189&amp;"|"&amp;D189&amp;"|"&amp;E189&amp;"|"&amp;F189&amp;"|"&amp;G189&amp;"|"&amp;H189</f>
        <v>PT0165|Arjun Rao|24|MALE|Hypertension| Amlodipine |5|46001</v>
      </c>
      <c r="J189" s="8" t="str">
        <f aca="false">IF(COUNTIF($I$2:I189,I189)&gt;1,"Duplicate","Unique")</f>
        <v>Unique</v>
      </c>
    </row>
    <row r="190" customFormat="false" ht="15" hidden="false" customHeight="false" outlineLevel="0" collapsed="false">
      <c r="A190" s="8" t="s">
        <v>520</v>
      </c>
      <c r="B190" s="8" t="s">
        <v>521</v>
      </c>
      <c r="C190" s="9" t="n">
        <v>82</v>
      </c>
      <c r="D190" s="8" t="s">
        <v>90</v>
      </c>
      <c r="E190" s="8" t="s">
        <v>125</v>
      </c>
      <c r="F190" s="8" t="s">
        <v>214</v>
      </c>
      <c r="G190" s="9" t="n">
        <v>595</v>
      </c>
      <c r="H190" s="10" t="n">
        <v>46207</v>
      </c>
      <c r="I190" s="8" t="str">
        <f aca="false">A190&amp;"|"&amp;B190&amp;"|"&amp;C190&amp;"|"&amp;D190&amp;"|"&amp;E190&amp;"|"&amp;F190&amp;"|"&amp;G190&amp;"|"&amp;H190</f>
        <v>PT0212|Geeta Patel|82|Female|diabetes|Metformin|595|46207</v>
      </c>
      <c r="J190" s="8" t="str">
        <f aca="false">IF(COUNTIF($I$2:I190,I190)&gt;1,"Duplicate","Unique")</f>
        <v>Unique</v>
      </c>
    </row>
    <row r="191" customFormat="false" ht="15" hidden="false" customHeight="false" outlineLevel="0" collapsed="false">
      <c r="A191" s="8" t="s">
        <v>522</v>
      </c>
      <c r="B191" s="8" t="s">
        <v>338</v>
      </c>
      <c r="C191" s="9" t="n">
        <v>25</v>
      </c>
      <c r="D191" s="8" t="s">
        <v>203</v>
      </c>
      <c r="E191" s="8" t="s">
        <v>523</v>
      </c>
      <c r="F191" s="8" t="s">
        <v>251</v>
      </c>
      <c r="G191" s="9" t="n">
        <v>200</v>
      </c>
      <c r="H191" s="10" t="n">
        <v>45720</v>
      </c>
      <c r="I191" s="8" t="str">
        <f aca="false">A191&amp;"|"&amp;B191&amp;"|"&amp;C191&amp;"|"&amp;D191&amp;"|"&amp;E191&amp;"|"&amp;F191&amp;"|"&amp;G191&amp;"|"&amp;H191</f>
        <v>PT0195|Ashok Sharma|25|m|Anemia  | Ferrous Sulfate |200|45720</v>
      </c>
      <c r="J191" s="8" t="str">
        <f aca="false">IF(COUNTIF($I$2:I191,I191)&gt;1,"Duplicate","Unique")</f>
        <v>Unique</v>
      </c>
    </row>
    <row r="192" customFormat="false" ht="15" hidden="false" customHeight="false" outlineLevel="0" collapsed="false">
      <c r="A192" s="8" t="s">
        <v>524</v>
      </c>
      <c r="B192" s="8" t="s">
        <v>525</v>
      </c>
      <c r="C192" s="9" t="n">
        <v>45</v>
      </c>
      <c r="D192" s="8" t="s">
        <v>67</v>
      </c>
      <c r="E192" s="8" t="s">
        <v>393</v>
      </c>
      <c r="F192" s="8" t="s">
        <v>526</v>
      </c>
      <c r="G192" s="9" t="n">
        <v>60</v>
      </c>
      <c r="H192" s="10" t="n">
        <v>46201</v>
      </c>
      <c r="I192" s="8" t="str">
        <f aca="false">A192&amp;"|"&amp;B192&amp;"|"&amp;C192&amp;"|"&amp;D192&amp;"|"&amp;E192&amp;"|"&amp;F192&amp;"|"&amp;G192&amp;"|"&amp;H192</f>
        <v>PT0089|Naveen Sharma|45|M|thyroid disorder|levothyroxine|60|46201</v>
      </c>
      <c r="J192" s="8" t="str">
        <f aca="false">IF(COUNTIF($I$2:I192,I192)&gt;1,"Duplicate","Unique")</f>
        <v>Unique</v>
      </c>
    </row>
    <row r="193" customFormat="false" ht="15" hidden="false" customHeight="false" outlineLevel="0" collapsed="false">
      <c r="A193" s="8" t="s">
        <v>527</v>
      </c>
      <c r="B193" s="8" t="s">
        <v>528</v>
      </c>
      <c r="C193" s="9" t="n">
        <v>19</v>
      </c>
      <c r="D193" s="8" t="s">
        <v>109</v>
      </c>
      <c r="E193" s="8" t="s">
        <v>529</v>
      </c>
      <c r="F193" s="8" t="s">
        <v>530</v>
      </c>
      <c r="G193" s="9" t="n">
        <v>30</v>
      </c>
      <c r="H193" s="10" t="n">
        <v>46207</v>
      </c>
      <c r="I193" s="8" t="str">
        <f aca="false">A193&amp;"|"&amp;B193&amp;"|"&amp;C193&amp;"|"&amp;D193&amp;"|"&amp;E193&amp;"|"&amp;F193&amp;"|"&amp;G193&amp;"|"&amp;H193</f>
        <v>PT0224|Radha Yadav|19|f|GASTRITIS| Omeprazole |30|46207</v>
      </c>
      <c r="J193" s="8" t="str">
        <f aca="false">IF(COUNTIF($I$2:I193,I193)&gt;1,"Duplicate","Unique")</f>
        <v>Unique</v>
      </c>
    </row>
    <row r="194" customFormat="false" ht="15" hidden="false" customHeight="false" outlineLevel="0" collapsed="false">
      <c r="A194" s="8" t="s">
        <v>531</v>
      </c>
      <c r="B194" s="8" t="s">
        <v>532</v>
      </c>
      <c r="C194" s="9" t="n">
        <v>45</v>
      </c>
      <c r="D194" s="8" t="s">
        <v>95</v>
      </c>
      <c r="E194" s="8" t="s">
        <v>134</v>
      </c>
      <c r="F194" s="8" t="s">
        <v>240</v>
      </c>
      <c r="G194" s="9" t="n">
        <v>40</v>
      </c>
      <c r="H194" s="10" t="n">
        <v>46273</v>
      </c>
      <c r="I194" s="8" t="str">
        <f aca="false">A194&amp;"|"&amp;B194&amp;"|"&amp;C194&amp;"|"&amp;D194&amp;"|"&amp;E194&amp;"|"&amp;F194&amp;"|"&amp;G194&amp;"|"&amp;H194</f>
        <v>PT0064|Radha Chauhan|45|F| Migraine | Sumatriptan |40|46273</v>
      </c>
      <c r="J194" s="8" t="str">
        <f aca="false">IF(COUNTIF($I$2:I194,I194)&gt;1,"Duplicate","Unique")</f>
        <v>Unique</v>
      </c>
    </row>
    <row r="195" customFormat="false" ht="15" hidden="false" customHeight="false" outlineLevel="0" collapsed="false">
      <c r="A195" s="8" t="s">
        <v>533</v>
      </c>
      <c r="B195" s="8" t="s">
        <v>534</v>
      </c>
      <c r="C195" s="9" t="n">
        <v>47</v>
      </c>
      <c r="D195" s="8" t="s">
        <v>131</v>
      </c>
      <c r="E195" s="8" t="s">
        <v>49</v>
      </c>
      <c r="F195" s="8" t="s">
        <v>193</v>
      </c>
      <c r="G195" s="9" t="n">
        <v>5</v>
      </c>
      <c r="H195" s="10" t="n">
        <v>46055</v>
      </c>
      <c r="I195" s="8" t="str">
        <f aca="false">A195&amp;"|"&amp;B195&amp;"|"&amp;C195&amp;"|"&amp;D195&amp;"|"&amp;E195&amp;"|"&amp;F195&amp;"|"&amp;G195&amp;"|"&amp;H195</f>
        <v>PT0228|Pooja Yadav|47|Female |Hypertension|Amlodipine  |5|46055</v>
      </c>
      <c r="J195" s="8" t="str">
        <f aca="false">IF(COUNTIF($I$2:I195,I195)&gt;1,"Duplicate","Unique")</f>
        <v>Unique</v>
      </c>
    </row>
    <row r="196" customFormat="false" ht="15" hidden="false" customHeight="false" outlineLevel="0" collapsed="false">
      <c r="A196" s="8" t="s">
        <v>535</v>
      </c>
      <c r="B196" s="8" t="s">
        <v>536</v>
      </c>
      <c r="C196" s="9" t="n">
        <v>40</v>
      </c>
      <c r="D196" s="8" t="s">
        <v>203</v>
      </c>
      <c r="E196" s="8" t="s">
        <v>231</v>
      </c>
      <c r="F196" s="8" t="s">
        <v>106</v>
      </c>
      <c r="G196" s="9" t="n">
        <v>185</v>
      </c>
      <c r="H196" s="10" t="n">
        <v>45965</v>
      </c>
      <c r="I196" s="8" t="str">
        <f aca="false">A196&amp;"|"&amp;B196&amp;"|"&amp;C196&amp;"|"&amp;D196&amp;"|"&amp;E196&amp;"|"&amp;F196&amp;"|"&amp;G196&amp;"|"&amp;H196</f>
        <v>PT0170|Ramesh Shukla|40|m|asthma|SALBUTAMOL|185|45965</v>
      </c>
      <c r="J196" s="8" t="str">
        <f aca="false">IF(COUNTIF($I$2:I196,I196)&gt;1,"Duplicate","Unique")</f>
        <v>Unique</v>
      </c>
    </row>
    <row r="197" customFormat="false" ht="15" hidden="false" customHeight="false" outlineLevel="0" collapsed="false">
      <c r="A197" s="8" t="s">
        <v>537</v>
      </c>
      <c r="B197" s="8" t="s">
        <v>538</v>
      </c>
      <c r="C197" s="9" t="n">
        <v>34</v>
      </c>
      <c r="D197" s="8" t="s">
        <v>104</v>
      </c>
      <c r="E197" s="8" t="s">
        <v>134</v>
      </c>
      <c r="F197" s="8" t="s">
        <v>135</v>
      </c>
      <c r="G197" s="9" t="n">
        <v>100</v>
      </c>
      <c r="H197" s="10" t="n">
        <v>45641</v>
      </c>
      <c r="I197" s="8" t="str">
        <f aca="false">A197&amp;"|"&amp;B197&amp;"|"&amp;C197&amp;"|"&amp;D197&amp;"|"&amp;E197&amp;"|"&amp;F197&amp;"|"&amp;G197&amp;"|"&amp;H197</f>
        <v>PT0111|Sunita Rao|34| Female| Migraine |Sumatriptan  |100|45641</v>
      </c>
      <c r="J197" s="8" t="str">
        <f aca="false">IF(COUNTIF($I$2:I197,I197)&gt;1,"Duplicate","Unique")</f>
        <v>Unique</v>
      </c>
    </row>
    <row r="198" customFormat="false" ht="15" hidden="false" customHeight="false" outlineLevel="0" collapsed="false">
      <c r="A198" s="8" t="s">
        <v>539</v>
      </c>
      <c r="B198" s="8" t="s">
        <v>540</v>
      </c>
      <c r="C198" s="9" t="n">
        <v>56</v>
      </c>
      <c r="D198" s="8" t="s">
        <v>90</v>
      </c>
      <c r="E198" s="8" t="s">
        <v>517</v>
      </c>
      <c r="F198" s="8" t="s">
        <v>243</v>
      </c>
      <c r="G198" s="9" t="n">
        <v>265</v>
      </c>
      <c r="H198" s="10" t="n">
        <v>46088</v>
      </c>
      <c r="I198" s="8" t="str">
        <f aca="false">A198&amp;"|"&amp;B198&amp;"|"&amp;C198&amp;"|"&amp;D198&amp;"|"&amp;E198&amp;"|"&amp;F198&amp;"|"&amp;G198&amp;"|"&amp;H198</f>
        <v>PT0025|Renu Rao|56|Female|arthritis| Ibuprofen |265|46088</v>
      </c>
      <c r="J198" s="8" t="str">
        <f aca="false">IF(COUNTIF($I$2:I198,I198)&gt;1,"Duplicate","Unique")</f>
        <v>Unique</v>
      </c>
    </row>
    <row r="199" customFormat="false" ht="15" hidden="false" customHeight="false" outlineLevel="0" collapsed="false">
      <c r="A199" s="8" t="s">
        <v>541</v>
      </c>
      <c r="B199" s="8" t="s">
        <v>542</v>
      </c>
      <c r="C199" s="9" t="n">
        <v>49</v>
      </c>
      <c r="D199" s="8" t="s">
        <v>203</v>
      </c>
      <c r="E199" s="8" t="s">
        <v>72</v>
      </c>
      <c r="F199" s="8" t="s">
        <v>214</v>
      </c>
      <c r="G199" s="9" t="n">
        <v>660</v>
      </c>
      <c r="H199" s="10" t="n">
        <v>46230</v>
      </c>
      <c r="I199" s="8" t="str">
        <f aca="false">A199&amp;"|"&amp;B199&amp;"|"&amp;C199&amp;"|"&amp;D199&amp;"|"&amp;E199&amp;"|"&amp;F199&amp;"|"&amp;G199&amp;"|"&amp;H199</f>
        <v>PT0159|Deepak Saxena|49|m|Diabetes|Metformin|660|46230</v>
      </c>
      <c r="J199" s="8" t="str">
        <f aca="false">IF(COUNTIF($I$2:I199,I199)&gt;1,"Duplicate","Unique")</f>
        <v>Unique</v>
      </c>
    </row>
    <row r="200" customFormat="false" ht="15" hidden="false" customHeight="false" outlineLevel="0" collapsed="false">
      <c r="A200" s="8" t="s">
        <v>543</v>
      </c>
      <c r="B200" s="8" t="s">
        <v>544</v>
      </c>
      <c r="C200" s="9" t="n">
        <v>43</v>
      </c>
      <c r="D200" s="8" t="s">
        <v>85</v>
      </c>
      <c r="E200" s="8" t="s">
        <v>399</v>
      </c>
      <c r="F200" s="8" t="s">
        <v>352</v>
      </c>
      <c r="G200" s="9" t="n">
        <v>155</v>
      </c>
      <c r="H200" s="10" t="n">
        <v>46061</v>
      </c>
      <c r="I200" s="8" t="str">
        <f aca="false">A200&amp;"|"&amp;B200&amp;"|"&amp;C200&amp;"|"&amp;D200&amp;"|"&amp;E200&amp;"|"&amp;F200&amp;"|"&amp;G200&amp;"|"&amp;H200</f>
        <v>PT0180|Yogesh Gupta|43|MALE|Asthma  |Salbutamol  |155|46061</v>
      </c>
      <c r="J200" s="8" t="str">
        <f aca="false">IF(COUNTIF($I$2:I200,I200)&gt;1,"Duplicate","Unique")</f>
        <v>Unique</v>
      </c>
    </row>
    <row r="201" customFormat="false" ht="15" hidden="false" customHeight="false" outlineLevel="0" collapsed="false">
      <c r="A201" s="8" t="s">
        <v>545</v>
      </c>
      <c r="B201" s="8" t="s">
        <v>546</v>
      </c>
      <c r="C201" s="9" t="n">
        <v>81</v>
      </c>
      <c r="D201" s="8" t="s">
        <v>121</v>
      </c>
      <c r="E201" s="8" t="s">
        <v>162</v>
      </c>
      <c r="F201" s="8" t="s">
        <v>97</v>
      </c>
      <c r="G201" s="9" t="n">
        <v>5</v>
      </c>
      <c r="H201" s="10" t="n">
        <v>46089</v>
      </c>
      <c r="I201" s="8" t="str">
        <f aca="false">A201&amp;"|"&amp;B201&amp;"|"&amp;C201&amp;"|"&amp;D201&amp;"|"&amp;E201&amp;"|"&amp;F201&amp;"|"&amp;G201&amp;"|"&amp;H201</f>
        <v>PT0177|Pooja Saxena|81|FEMALE|Hypertension  |amlodipine|5|46089</v>
      </c>
      <c r="J201" s="8" t="str">
        <f aca="false">IF(COUNTIF($I$2:I201,I201)&gt;1,"Duplicate","Unique")</f>
        <v>Unique</v>
      </c>
    </row>
    <row r="202" customFormat="false" ht="15" hidden="false" customHeight="false" outlineLevel="0" collapsed="false">
      <c r="A202" s="8" t="s">
        <v>547</v>
      </c>
      <c r="B202" s="8" t="s">
        <v>548</v>
      </c>
      <c r="C202" s="9" t="n">
        <v>23</v>
      </c>
      <c r="D202" s="8" t="s">
        <v>67</v>
      </c>
      <c r="E202" s="8" t="s">
        <v>162</v>
      </c>
      <c r="F202" s="8" t="s">
        <v>97</v>
      </c>
      <c r="G202" s="9" t="n">
        <v>5</v>
      </c>
      <c r="H202" s="10" t="n">
        <v>46262</v>
      </c>
      <c r="I202" s="8" t="str">
        <f aca="false">A202&amp;"|"&amp;B202&amp;"|"&amp;C202&amp;"|"&amp;D202&amp;"|"&amp;E202&amp;"|"&amp;F202&amp;"|"&amp;G202&amp;"|"&amp;H202</f>
        <v>PT0134|Sandeep Nair|23|M|Hypertension  |amlodipine|5|46262</v>
      </c>
      <c r="J202" s="8" t="str">
        <f aca="false">IF(COUNTIF($I$2:I202,I202)&gt;1,"Duplicate","Unique")</f>
        <v>Unique</v>
      </c>
    </row>
    <row r="203" customFormat="false" ht="15" hidden="false" customHeight="false" outlineLevel="0" collapsed="false">
      <c r="A203" s="8" t="s">
        <v>549</v>
      </c>
      <c r="B203" s="8" t="s">
        <v>473</v>
      </c>
      <c r="C203" s="9" t="n">
        <v>24</v>
      </c>
      <c r="D203" s="8" t="s">
        <v>95</v>
      </c>
      <c r="E203" s="8"/>
      <c r="F203" s="8" t="s">
        <v>214</v>
      </c>
      <c r="G203" s="9" t="n">
        <v>850</v>
      </c>
      <c r="H203" s="10" t="n">
        <v>45670</v>
      </c>
      <c r="I203" s="8" t="str">
        <f aca="false">A203&amp;"|"&amp;B203&amp;"|"&amp;C203&amp;"|"&amp;D203&amp;"|"&amp;E203&amp;"|"&amp;F203&amp;"|"&amp;G203&amp;"|"&amp;H203</f>
        <v>PT0133|Preeti Nair|24|F||Metformin|850|45670</v>
      </c>
      <c r="J203" s="8" t="str">
        <f aca="false">IF(COUNTIF($I$2:I203,I203)&gt;1,"Duplicate","Unique")</f>
        <v>Unique</v>
      </c>
    </row>
    <row r="204" customFormat="false" ht="15" hidden="false" customHeight="false" outlineLevel="0" collapsed="false">
      <c r="A204" s="8" t="s">
        <v>550</v>
      </c>
      <c r="B204" s="8" t="s">
        <v>551</v>
      </c>
      <c r="C204" s="9" t="n">
        <v>51</v>
      </c>
      <c r="D204" s="8" t="s">
        <v>131</v>
      </c>
      <c r="E204" s="8" t="s">
        <v>298</v>
      </c>
      <c r="F204" s="8" t="s">
        <v>87</v>
      </c>
      <c r="G204" s="9" t="n">
        <v>570</v>
      </c>
      <c r="H204" s="10" t="n">
        <v>45870</v>
      </c>
      <c r="I204" s="8" t="str">
        <f aca="false">A204&amp;"|"&amp;B204&amp;"|"&amp;C204&amp;"|"&amp;D204&amp;"|"&amp;E204&amp;"|"&amp;F204&amp;"|"&amp;G204&amp;"|"&amp;H204</f>
        <v>PT0087|Ritu Joshi|51|Female |Flu|Paracetamol  |570|45870</v>
      </c>
      <c r="J204" s="8" t="str">
        <f aca="false">IF(COUNTIF($I$2:I204,I204)&gt;1,"Duplicate","Unique")</f>
        <v>Unique</v>
      </c>
    </row>
    <row r="205" customFormat="false" ht="15" hidden="false" customHeight="false" outlineLevel="0" collapsed="false">
      <c r="A205" s="8" t="s">
        <v>552</v>
      </c>
      <c r="B205" s="8" t="s">
        <v>264</v>
      </c>
      <c r="C205" s="9" t="n">
        <v>28</v>
      </c>
      <c r="D205" s="8" t="s">
        <v>67</v>
      </c>
      <c r="E205" s="8" t="s">
        <v>523</v>
      </c>
      <c r="F205" s="8" t="s">
        <v>154</v>
      </c>
      <c r="G205" s="9" t="n">
        <v>230</v>
      </c>
      <c r="H205" s="10" t="n">
        <v>45990</v>
      </c>
      <c r="I205" s="8" t="str">
        <f aca="false">A205&amp;"|"&amp;B205&amp;"|"&amp;C205&amp;"|"&amp;D205&amp;"|"&amp;E205&amp;"|"&amp;F205&amp;"|"&amp;G205&amp;"|"&amp;H205</f>
        <v>PT0172|Manoj Verma|28|M|Anemia  |Ferrous Sulfate|230|45990</v>
      </c>
      <c r="J205" s="8" t="str">
        <f aca="false">IF(COUNTIF($I$2:I205,I205)&gt;1,"Duplicate","Unique")</f>
        <v>Unique</v>
      </c>
    </row>
    <row r="206" customFormat="false" ht="15" hidden="false" customHeight="false" outlineLevel="0" collapsed="false">
      <c r="A206" s="8" t="s">
        <v>553</v>
      </c>
      <c r="B206" s="8" t="s">
        <v>480</v>
      </c>
      <c r="C206" s="9" t="n">
        <v>35</v>
      </c>
      <c r="D206" s="8" t="s">
        <v>121</v>
      </c>
      <c r="E206" s="8" t="s">
        <v>125</v>
      </c>
      <c r="F206" s="8" t="s">
        <v>126</v>
      </c>
      <c r="G206" s="9" t="n">
        <v>920</v>
      </c>
      <c r="H206" s="10" t="n">
        <v>45733</v>
      </c>
      <c r="I206" s="8" t="str">
        <f aca="false">A206&amp;"|"&amp;B206&amp;"|"&amp;C206&amp;"|"&amp;D206&amp;"|"&amp;E206&amp;"|"&amp;F206&amp;"|"&amp;G206&amp;"|"&amp;H206</f>
        <v>PT0058|Swati Mishra|35|FEMALE|diabetes|Metformin  |920|45733</v>
      </c>
      <c r="J206" s="8" t="str">
        <f aca="false">IF(COUNTIF($I$2:I206,I206)&gt;1,"Duplicate","Unique")</f>
        <v>Unique</v>
      </c>
    </row>
    <row r="207" customFormat="false" ht="15" hidden="false" customHeight="false" outlineLevel="0" collapsed="false">
      <c r="A207" s="8" t="s">
        <v>554</v>
      </c>
      <c r="B207" s="8" t="s">
        <v>555</v>
      </c>
      <c r="C207" s="9" t="n">
        <v>25</v>
      </c>
      <c r="D207" s="8" t="s">
        <v>46</v>
      </c>
      <c r="E207" s="8" t="s">
        <v>250</v>
      </c>
      <c r="F207" s="8" t="s">
        <v>251</v>
      </c>
      <c r="G207" s="9" t="n">
        <v>265</v>
      </c>
      <c r="H207" s="10" t="n">
        <v>46206</v>
      </c>
      <c r="I207" s="8" t="str">
        <f aca="false">A207&amp;"|"&amp;B207&amp;"|"&amp;C207&amp;"|"&amp;D207&amp;"|"&amp;E207&amp;"|"&amp;F207&amp;"|"&amp;G207&amp;"|"&amp;H207</f>
        <v>PT0145|Sandeep Singh|25|Male|anemia| Ferrous Sulfate |265|46206</v>
      </c>
      <c r="J207" s="8" t="str">
        <f aca="false">IF(COUNTIF($I$2:I207,I207)&gt;1,"Duplicate","Unique")</f>
        <v>Unique</v>
      </c>
    </row>
    <row r="208" customFormat="false" ht="15" hidden="false" customHeight="false" outlineLevel="0" collapsed="false">
      <c r="A208" s="8" t="s">
        <v>340</v>
      </c>
      <c r="B208" s="8" t="s">
        <v>341</v>
      </c>
      <c r="C208" s="9" t="n">
        <v>52</v>
      </c>
      <c r="D208" s="8" t="s">
        <v>67</v>
      </c>
      <c r="E208" s="8" t="s">
        <v>250</v>
      </c>
      <c r="F208" s="8" t="s">
        <v>339</v>
      </c>
      <c r="G208" s="9" t="n">
        <v>230</v>
      </c>
      <c r="H208" s="10" t="n">
        <v>45976</v>
      </c>
      <c r="I208" s="8" t="str">
        <f aca="false">A208&amp;"|"&amp;B208&amp;"|"&amp;C208&amp;"|"&amp;D208&amp;"|"&amp;E208&amp;"|"&amp;F208&amp;"|"&amp;G208&amp;"|"&amp;H208</f>
        <v>PT0186|Dinesh Rao|52|M|anemia|Ferrous Sulfate  |230|45976</v>
      </c>
      <c r="J208" s="8" t="str">
        <f aca="false">IF(COUNTIF($I$2:I208,I208)&gt;1,"Duplicate","Unique")</f>
        <v>Duplicate</v>
      </c>
    </row>
    <row r="209" customFormat="false" ht="15" hidden="false" customHeight="false" outlineLevel="0" collapsed="false">
      <c r="A209" s="8" t="s">
        <v>556</v>
      </c>
      <c r="B209" s="8" t="s">
        <v>557</v>
      </c>
      <c r="C209" s="9" t="n">
        <v>17</v>
      </c>
      <c r="D209" s="8" t="s">
        <v>190</v>
      </c>
      <c r="E209" s="8" t="s">
        <v>558</v>
      </c>
      <c r="F209" s="8" t="s">
        <v>149</v>
      </c>
      <c r="G209" s="9" t="n">
        <v>30</v>
      </c>
      <c r="H209" s="10" t="n">
        <v>46168</v>
      </c>
      <c r="I209" s="8" t="str">
        <f aca="false">A209&amp;"|"&amp;B209&amp;"|"&amp;C209&amp;"|"&amp;D209&amp;"|"&amp;E209&amp;"|"&amp;F209&amp;"|"&amp;G209&amp;"|"&amp;H209</f>
        <v>PT0148|Harish Nair|17|Male |Depression  | Sertraline |30|46168</v>
      </c>
      <c r="J209" s="8" t="str">
        <f aca="false">IF(COUNTIF($I$2:I209,I209)&gt;1,"Duplicate","Unique")</f>
        <v>Unique</v>
      </c>
    </row>
    <row r="210" customFormat="false" ht="15" hidden="false" customHeight="false" outlineLevel="0" collapsed="false">
      <c r="A210" s="8" t="s">
        <v>559</v>
      </c>
      <c r="B210" s="8" t="s">
        <v>560</v>
      </c>
      <c r="C210" s="9" t="n">
        <v>64</v>
      </c>
      <c r="D210" s="8" t="s">
        <v>109</v>
      </c>
      <c r="E210" s="8" t="s">
        <v>561</v>
      </c>
      <c r="F210" s="8" t="s">
        <v>562</v>
      </c>
      <c r="G210" s="9" t="n">
        <v>120</v>
      </c>
      <c r="H210" s="10" t="n">
        <v>45855</v>
      </c>
      <c r="I210" s="8" t="str">
        <f aca="false">A210&amp;"|"&amp;B210&amp;"|"&amp;C210&amp;"|"&amp;D210&amp;"|"&amp;E210&amp;"|"&amp;F210&amp;"|"&amp;G210&amp;"|"&amp;H210</f>
        <v>PT0191|Radha Pandey|64|f|Thyroid Disorder|LEVOTHYROXINE|120|45855</v>
      </c>
      <c r="J210" s="8" t="str">
        <f aca="false">IF(COUNTIF($I$2:I210,I210)&gt;1,"Duplicate","Unique")</f>
        <v>Unique</v>
      </c>
    </row>
    <row r="211" customFormat="false" ht="15" hidden="false" customHeight="false" outlineLevel="0" collapsed="false">
      <c r="A211" s="8" t="s">
        <v>563</v>
      </c>
      <c r="B211" s="8" t="s">
        <v>564</v>
      </c>
      <c r="C211" s="9" t="n">
        <v>41</v>
      </c>
      <c r="D211" s="8" t="s">
        <v>109</v>
      </c>
      <c r="E211" s="8" t="s">
        <v>369</v>
      </c>
      <c r="F211" s="8" t="s">
        <v>565</v>
      </c>
      <c r="G211" s="9" t="n">
        <v>255</v>
      </c>
      <c r="H211" s="10" t="n">
        <v>45629</v>
      </c>
      <c r="I211" s="8" t="str">
        <f aca="false">A211&amp;"|"&amp;B211&amp;"|"&amp;C211&amp;"|"&amp;D211&amp;"|"&amp;E211&amp;"|"&amp;F211&amp;"|"&amp;G211&amp;"|"&amp;H211</f>
        <v>PT0197|Pooja Choudhary|41|f|BRONCHITIS|Azithromycin  |255|45629</v>
      </c>
      <c r="J211" s="8" t="str">
        <f aca="false">IF(COUNTIF($I$2:I211,I211)&gt;1,"Duplicate","Unique")</f>
        <v>Unique</v>
      </c>
    </row>
    <row r="212" customFormat="false" ht="15" hidden="false" customHeight="false" outlineLevel="0" collapsed="false">
      <c r="A212" s="8" t="s">
        <v>566</v>
      </c>
      <c r="B212" s="8" t="s">
        <v>567</v>
      </c>
      <c r="C212" s="9" t="n">
        <v>37</v>
      </c>
      <c r="D212" s="8" t="s">
        <v>104</v>
      </c>
      <c r="E212" s="8" t="s">
        <v>568</v>
      </c>
      <c r="F212" s="8" t="s">
        <v>255</v>
      </c>
      <c r="G212" s="9" t="n">
        <v>490</v>
      </c>
      <c r="H212" s="10" t="n">
        <v>46008</v>
      </c>
      <c r="I212" s="8" t="str">
        <f aca="false">A212&amp;"|"&amp;B212&amp;"|"&amp;C212&amp;"|"&amp;D212&amp;"|"&amp;E212&amp;"|"&amp;F212&amp;"|"&amp;G212&amp;"|"&amp;H212</f>
        <v>PT0135|Divya Sharma|37| Female|covid-19| Favipiravir |490|46008</v>
      </c>
      <c r="J212" s="8" t="str">
        <f aca="false">IF(COUNTIF($I$2:I212,I212)&gt;1,"Duplicate","Unique")</f>
        <v>Unique</v>
      </c>
    </row>
    <row r="213" customFormat="false" ht="15" hidden="false" customHeight="false" outlineLevel="0" collapsed="false">
      <c r="A213" s="8" t="s">
        <v>545</v>
      </c>
      <c r="B213" s="8" t="s">
        <v>546</v>
      </c>
      <c r="C213" s="9" t="n">
        <v>81</v>
      </c>
      <c r="D213" s="8" t="s">
        <v>121</v>
      </c>
      <c r="E213" s="8" t="s">
        <v>162</v>
      </c>
      <c r="F213" s="8" t="s">
        <v>97</v>
      </c>
      <c r="G213" s="9" t="n">
        <v>5</v>
      </c>
      <c r="H213" s="10" t="n">
        <v>46089</v>
      </c>
      <c r="I213" s="8" t="str">
        <f aca="false">A213&amp;"|"&amp;B213&amp;"|"&amp;C213&amp;"|"&amp;D213&amp;"|"&amp;E213&amp;"|"&amp;F213&amp;"|"&amp;G213&amp;"|"&amp;H213</f>
        <v>PT0177|Pooja Saxena|81|FEMALE|Hypertension  |amlodipine|5|46089</v>
      </c>
      <c r="J213" s="8" t="str">
        <f aca="false">IF(COUNTIF($I$2:I213,I213)&gt;1,"Duplicate","Unique")</f>
        <v>Duplicate</v>
      </c>
    </row>
    <row r="214" customFormat="false" ht="15" hidden="false" customHeight="false" outlineLevel="0" collapsed="false">
      <c r="A214" s="8" t="s">
        <v>569</v>
      </c>
      <c r="B214" s="8" t="s">
        <v>570</v>
      </c>
      <c r="C214" s="9" t="n">
        <v>49</v>
      </c>
      <c r="D214" s="8" t="s">
        <v>203</v>
      </c>
      <c r="E214" s="8" t="s">
        <v>153</v>
      </c>
      <c r="F214" s="8" t="s">
        <v>339</v>
      </c>
      <c r="G214" s="9" t="n">
        <v>305</v>
      </c>
      <c r="H214" s="10" t="n">
        <v>46069</v>
      </c>
      <c r="I214" s="8" t="str">
        <f aca="false">A214&amp;"|"&amp;B214&amp;"|"&amp;C214&amp;"|"&amp;D214&amp;"|"&amp;E214&amp;"|"&amp;F214&amp;"|"&amp;G214&amp;"|"&amp;H214</f>
        <v>PT0181|Sandeep Reddy|49|m| Anemia |Ferrous Sulfate  |305|46069</v>
      </c>
      <c r="J214" s="8" t="str">
        <f aca="false">IF(COUNTIF($I$2:I214,I214)&gt;1,"Duplicate","Unique")</f>
        <v>Unique</v>
      </c>
    </row>
    <row r="215" customFormat="false" ht="15" hidden="false" customHeight="false" outlineLevel="0" collapsed="false">
      <c r="A215" s="8" t="s">
        <v>571</v>
      </c>
      <c r="B215" s="8" t="s">
        <v>572</v>
      </c>
      <c r="C215" s="9" t="n">
        <v>55</v>
      </c>
      <c r="D215" s="8" t="s">
        <v>203</v>
      </c>
      <c r="E215" s="8" t="s">
        <v>100</v>
      </c>
      <c r="F215" s="8" t="s">
        <v>110</v>
      </c>
      <c r="G215" s="9"/>
      <c r="H215" s="10" t="n">
        <v>45640</v>
      </c>
      <c r="I215" s="8" t="str">
        <f aca="false">A215&amp;"|"&amp;B215&amp;"|"&amp;C215&amp;"|"&amp;D215&amp;"|"&amp;E215&amp;"|"&amp;F215&amp;"|"&amp;G215&amp;"|"&amp;H215</f>
        <v>PT0004|Ravi Tiwari|55|m|hypertension| Amlodipine ||45640</v>
      </c>
      <c r="J215" s="8" t="str">
        <f aca="false">IF(COUNTIF($I$2:I215,I215)&gt;1,"Duplicate","Unique")</f>
        <v>Unique</v>
      </c>
    </row>
    <row r="216" customFormat="false" ht="15" hidden="false" customHeight="false" outlineLevel="0" collapsed="false">
      <c r="A216" s="8" t="s">
        <v>573</v>
      </c>
      <c r="B216" s="8" t="s">
        <v>574</v>
      </c>
      <c r="C216" s="9" t="n">
        <v>34</v>
      </c>
      <c r="D216" s="8" t="s">
        <v>81</v>
      </c>
      <c r="E216" s="8" t="s">
        <v>328</v>
      </c>
      <c r="F216" s="8" t="s">
        <v>299</v>
      </c>
      <c r="G216" s="9" t="n">
        <v>640</v>
      </c>
      <c r="H216" s="10" t="n">
        <v>46134</v>
      </c>
      <c r="I216" s="8" t="str">
        <f aca="false">A216&amp;"|"&amp;B216&amp;"|"&amp;C216&amp;"|"&amp;D216&amp;"|"&amp;E216&amp;"|"&amp;F216&amp;"|"&amp;G216&amp;"|"&amp;H216</f>
        <v>PT0081|Divya Joshi|34|female|Flu  | Paracetamol |640|46134</v>
      </c>
      <c r="J216" s="8" t="str">
        <f aca="false">IF(COUNTIF($I$2:I216,I216)&gt;1,"Duplicate","Unique")</f>
        <v>Unique</v>
      </c>
    </row>
    <row r="217" customFormat="false" ht="15" hidden="false" customHeight="false" outlineLevel="0" collapsed="false">
      <c r="A217" s="8" t="s">
        <v>575</v>
      </c>
      <c r="B217" s="8" t="s">
        <v>576</v>
      </c>
      <c r="C217" s="9" t="n">
        <v>51</v>
      </c>
      <c r="D217" s="8" t="s">
        <v>46</v>
      </c>
      <c r="E217" s="8" t="s">
        <v>261</v>
      </c>
      <c r="F217" s="8" t="s">
        <v>262</v>
      </c>
      <c r="G217" s="9" t="n">
        <v>10</v>
      </c>
      <c r="H217" s="10" t="n">
        <v>46200</v>
      </c>
      <c r="I217" s="8" t="str">
        <f aca="false">A217&amp;"|"&amp;B217&amp;"|"&amp;C217&amp;"|"&amp;D217&amp;"|"&amp;E217&amp;"|"&amp;F217&amp;"|"&amp;G217&amp;"|"&amp;H217</f>
        <v>PT0168|Gopal Joshi|51|Male|ALLERGY|Cetirizine|10|46200</v>
      </c>
      <c r="J217" s="8" t="str">
        <f aca="false">IF(COUNTIF($I$2:I217,I217)&gt;1,"Duplicate","Unique")</f>
        <v>Unique</v>
      </c>
    </row>
    <row r="218" customFormat="false" ht="15" hidden="false" customHeight="false" outlineLevel="0" collapsed="false">
      <c r="A218" s="8" t="s">
        <v>577</v>
      </c>
      <c r="B218" s="8" t="s">
        <v>519</v>
      </c>
      <c r="C218" s="9"/>
      <c r="D218" s="8" t="s">
        <v>190</v>
      </c>
      <c r="E218" s="8" t="s">
        <v>82</v>
      </c>
      <c r="F218" s="8" t="s">
        <v>92</v>
      </c>
      <c r="G218" s="9" t="n">
        <v>1000</v>
      </c>
      <c r="H218" s="10" t="n">
        <v>46129</v>
      </c>
      <c r="I218" s="8" t="str">
        <f aca="false">A218&amp;"|"&amp;B218&amp;"|"&amp;C218&amp;"|"&amp;D218&amp;"|"&amp;E218&amp;"|"&amp;F218&amp;"|"&amp;G218&amp;"|"&amp;H218</f>
        <v>PT0067|Arjun Rao||Male |Diabetes  |metformin|1000|46129</v>
      </c>
      <c r="J218" s="8" t="str">
        <f aca="false">IF(COUNTIF($I$2:I218,I218)&gt;1,"Duplicate","Unique")</f>
        <v>Unique</v>
      </c>
    </row>
    <row r="219" customFormat="false" ht="15" hidden="false" customHeight="false" outlineLevel="0" collapsed="false">
      <c r="A219" s="8" t="s">
        <v>578</v>
      </c>
      <c r="B219" s="8" t="s">
        <v>579</v>
      </c>
      <c r="C219" s="9" t="n">
        <v>67</v>
      </c>
      <c r="D219" s="8" t="s">
        <v>131</v>
      </c>
      <c r="E219" s="8" t="s">
        <v>580</v>
      </c>
      <c r="F219" s="8" t="s">
        <v>394</v>
      </c>
      <c r="G219" s="9" t="n">
        <v>25</v>
      </c>
      <c r="H219" s="10" t="n">
        <v>46232</v>
      </c>
      <c r="I219" s="8" t="str">
        <f aca="false">A219&amp;"|"&amp;B219&amp;"|"&amp;C219&amp;"|"&amp;D219&amp;"|"&amp;E219&amp;"|"&amp;F219&amp;"|"&amp;G219&amp;"|"&amp;H219</f>
        <v>PT0017|Kiran Saxena|67|Female | Thyroid Disorder |Levothyroxine|25|46232</v>
      </c>
      <c r="J219" s="8" t="str">
        <f aca="false">IF(COUNTIF($I$2:I219,I219)&gt;1,"Duplicate","Unique")</f>
        <v>Unique</v>
      </c>
    </row>
    <row r="220" customFormat="false" ht="15" hidden="false" customHeight="false" outlineLevel="0" collapsed="false">
      <c r="A220" s="8" t="s">
        <v>581</v>
      </c>
      <c r="B220" s="8" t="s">
        <v>582</v>
      </c>
      <c r="C220" s="9" t="n">
        <v>61</v>
      </c>
      <c r="D220" s="8" t="s">
        <v>76</v>
      </c>
      <c r="E220" s="8" t="s">
        <v>86</v>
      </c>
      <c r="F220" s="8" t="s">
        <v>221</v>
      </c>
      <c r="G220" s="9" t="n">
        <v>510</v>
      </c>
      <c r="H220" s="10" t="n">
        <v>45752</v>
      </c>
      <c r="I220" s="8" t="str">
        <f aca="false">A220&amp;"|"&amp;B220&amp;"|"&amp;C220&amp;"|"&amp;D220&amp;"|"&amp;E220&amp;"|"&amp;F220&amp;"|"&amp;G220&amp;"|"&amp;H220</f>
        <v>PT0012|Karan Chauhan|61| Male| Flu |paracetamol|510|45752</v>
      </c>
      <c r="J220" s="8" t="str">
        <f aca="false">IF(COUNTIF($I$2:I220,I220)&gt;1,"Duplicate","Unique")</f>
        <v>Unique</v>
      </c>
    </row>
    <row r="221" customFormat="false" ht="15" hidden="false" customHeight="false" outlineLevel="0" collapsed="false">
      <c r="A221" s="8" t="s">
        <v>515</v>
      </c>
      <c r="B221" s="8" t="s">
        <v>516</v>
      </c>
      <c r="C221" s="9" t="n">
        <v>12</v>
      </c>
      <c r="D221" s="8" t="s">
        <v>190</v>
      </c>
      <c r="E221" s="8" t="s">
        <v>517</v>
      </c>
      <c r="F221" s="8" t="s">
        <v>317</v>
      </c>
      <c r="G221" s="9" t="n">
        <v>300</v>
      </c>
      <c r="H221" s="10" t="n">
        <v>45787</v>
      </c>
      <c r="I221" s="8" t="str">
        <f aca="false">A221&amp;"|"&amp;B221&amp;"|"&amp;C221&amp;"|"&amp;D221&amp;"|"&amp;E221&amp;"|"&amp;F221&amp;"|"&amp;G221&amp;"|"&amp;H221</f>
        <v>PT0099|Ashok Nair|12|Male |arthritis|ibuprofen|300|45787</v>
      </c>
      <c r="J221" s="8" t="str">
        <f aca="false">IF(COUNTIF($I$2:I221,I221)&gt;1,"Duplicate","Unique")</f>
        <v>Duplicate</v>
      </c>
    </row>
    <row r="222" customFormat="false" ht="15" hidden="false" customHeight="false" outlineLevel="0" collapsed="false">
      <c r="A222" s="8" t="s">
        <v>583</v>
      </c>
      <c r="B222" s="8"/>
      <c r="C222" s="9" t="n">
        <v>72</v>
      </c>
      <c r="D222" s="8" t="s">
        <v>131</v>
      </c>
      <c r="E222" s="8" t="s">
        <v>86</v>
      </c>
      <c r="F222" s="8" t="s">
        <v>390</v>
      </c>
      <c r="G222" s="9" t="n">
        <v>615</v>
      </c>
      <c r="H222" s="10" t="n">
        <v>46099</v>
      </c>
      <c r="I222" s="8" t="str">
        <f aca="false">A222&amp;"|"&amp;B222&amp;"|"&amp;C222&amp;"|"&amp;D222&amp;"|"&amp;E222&amp;"|"&amp;F222&amp;"|"&amp;G222&amp;"|"&amp;H222</f>
        <v>PT0106||72|Female | Flu |Paracetamol|615|46099</v>
      </c>
      <c r="J222" s="8" t="str">
        <f aca="false">IF(COUNTIF($I$2:I222,I222)&gt;1,"Duplicate","Unique")</f>
        <v>Unique</v>
      </c>
    </row>
    <row r="223" customFormat="false" ht="15" hidden="false" customHeight="false" outlineLevel="0" collapsed="false">
      <c r="A223" s="8" t="s">
        <v>502</v>
      </c>
      <c r="B223" s="8" t="s">
        <v>503</v>
      </c>
      <c r="C223" s="9" t="n">
        <v>57</v>
      </c>
      <c r="D223" s="8" t="s">
        <v>81</v>
      </c>
      <c r="E223" s="8" t="s">
        <v>144</v>
      </c>
      <c r="F223" s="8" t="s">
        <v>135</v>
      </c>
      <c r="G223" s="9" t="n">
        <v>55</v>
      </c>
      <c r="H223" s="10" t="n">
        <v>46088</v>
      </c>
      <c r="I223" s="8" t="str">
        <f aca="false">A223&amp;"|"&amp;B223&amp;"|"&amp;C223&amp;"|"&amp;D223&amp;"|"&amp;E223&amp;"|"&amp;F223&amp;"|"&amp;G223&amp;"|"&amp;H223</f>
        <v>PT0029|Sunita Chauhan|57|female|MIGRAINE|Sumatriptan  |55|46088</v>
      </c>
      <c r="J223" s="8" t="str">
        <f aca="false">IF(COUNTIF($I$2:I223,I223)&gt;1,"Duplicate","Unique")</f>
        <v>Duplicate</v>
      </c>
    </row>
    <row r="224" customFormat="false" ht="15" hidden="false" customHeight="false" outlineLevel="0" collapsed="false">
      <c r="A224" s="8" t="s">
        <v>584</v>
      </c>
      <c r="B224" s="8" t="s">
        <v>585</v>
      </c>
      <c r="C224" s="9" t="n">
        <v>64</v>
      </c>
      <c r="D224" s="8" t="s">
        <v>109</v>
      </c>
      <c r="E224" s="8" t="s">
        <v>328</v>
      </c>
      <c r="F224" s="8" t="s">
        <v>390</v>
      </c>
      <c r="G224" s="9" t="n">
        <v>540</v>
      </c>
      <c r="H224" s="10" t="n">
        <v>45562</v>
      </c>
      <c r="I224" s="8" t="str">
        <f aca="false">A224&amp;"|"&amp;B224&amp;"|"&amp;C224&amp;"|"&amp;D224&amp;"|"&amp;E224&amp;"|"&amp;F224&amp;"|"&amp;G224&amp;"|"&amp;H224</f>
        <v>PT0125|Anita Saxena|64|f|Flu  |Paracetamol|540|45562</v>
      </c>
      <c r="J224" s="8" t="str">
        <f aca="false">IF(COUNTIF($I$2:I224,I224)&gt;1,"Duplicate","Unique")</f>
        <v>Unique</v>
      </c>
    </row>
    <row r="225" customFormat="false" ht="15" hidden="false" customHeight="false" outlineLevel="0" collapsed="false">
      <c r="A225" s="8" t="s">
        <v>479</v>
      </c>
      <c r="B225" s="8" t="s">
        <v>480</v>
      </c>
      <c r="C225" s="9" t="n">
        <v>42</v>
      </c>
      <c r="D225" s="8" t="s">
        <v>104</v>
      </c>
      <c r="E225" s="8" t="s">
        <v>125</v>
      </c>
      <c r="F225" s="8" t="s">
        <v>126</v>
      </c>
      <c r="G225" s="9" t="n">
        <v>580</v>
      </c>
      <c r="H225" s="10" t="n">
        <v>45967</v>
      </c>
      <c r="I225" s="8" t="str">
        <f aca="false">A225&amp;"|"&amp;B225&amp;"|"&amp;C225&amp;"|"&amp;D225&amp;"|"&amp;E225&amp;"|"&amp;F225&amp;"|"&amp;G225&amp;"|"&amp;H225</f>
        <v>PT0179|Swati Mishra|42| Female|diabetes|Metformin  |580|45967</v>
      </c>
      <c r="J225" s="8" t="str">
        <f aca="false">IF(COUNTIF($I$2:I225,I225)&gt;1,"Duplicate","Unique")</f>
        <v>Duplicate</v>
      </c>
    </row>
    <row r="226" customFormat="false" ht="15" hidden="false" customHeight="false" outlineLevel="0" collapsed="false">
      <c r="A226" s="8" t="s">
        <v>381</v>
      </c>
      <c r="B226" s="8" t="s">
        <v>382</v>
      </c>
      <c r="C226" s="9" t="n">
        <v>51</v>
      </c>
      <c r="D226" s="8" t="s">
        <v>104</v>
      </c>
      <c r="E226" s="8" t="s">
        <v>162</v>
      </c>
      <c r="F226" s="8" t="s">
        <v>110</v>
      </c>
      <c r="G226" s="9" t="n">
        <v>5</v>
      </c>
      <c r="H226" s="10" t="n">
        <v>45631</v>
      </c>
      <c r="I226" s="8" t="str">
        <f aca="false">A226&amp;"|"&amp;B226&amp;"|"&amp;C226&amp;"|"&amp;D226&amp;"|"&amp;E226&amp;"|"&amp;F226&amp;"|"&amp;G226&amp;"|"&amp;H226</f>
        <v>PT0034|Ritu Rao|51| Female|Hypertension  | Amlodipine |5|45631</v>
      </c>
      <c r="J226" s="8" t="str">
        <f aca="false">IF(COUNTIF($I$2:I226,I226)&gt;1,"Duplicate","Unique")</f>
        <v>Duplicate</v>
      </c>
    </row>
    <row r="227" customFormat="false" ht="15" hidden="false" customHeight="false" outlineLevel="0" collapsed="false">
      <c r="A227" s="8" t="s">
        <v>586</v>
      </c>
      <c r="B227" s="8" t="s">
        <v>587</v>
      </c>
      <c r="C227" s="9" t="n">
        <v>35</v>
      </c>
      <c r="D227" s="8" t="s">
        <v>109</v>
      </c>
      <c r="E227" s="8" t="s">
        <v>196</v>
      </c>
      <c r="F227" s="8" t="s">
        <v>390</v>
      </c>
      <c r="G227" s="9" t="n">
        <v>515</v>
      </c>
      <c r="H227" s="10" t="n">
        <v>45856</v>
      </c>
      <c r="I227" s="8" t="str">
        <f aca="false">A227&amp;"|"&amp;B227&amp;"|"&amp;C227&amp;"|"&amp;D227&amp;"|"&amp;E227&amp;"|"&amp;F227&amp;"|"&amp;G227&amp;"|"&amp;H227</f>
        <v>PT0187|Rekha Pandey|35|f|FLU|Paracetamol|515|45856</v>
      </c>
      <c r="J227" s="8" t="str">
        <f aca="false">IF(COUNTIF($I$2:I227,I227)&gt;1,"Duplicate","Unique")</f>
        <v>Unique</v>
      </c>
    </row>
    <row r="228" customFormat="false" ht="15" hidden="false" customHeight="false" outlineLevel="0" collapsed="false">
      <c r="A228" s="8" t="s">
        <v>588</v>
      </c>
      <c r="B228" s="8" t="s">
        <v>589</v>
      </c>
      <c r="C228" s="9"/>
      <c r="D228" s="8" t="s">
        <v>81</v>
      </c>
      <c r="E228" s="8" t="s">
        <v>199</v>
      </c>
      <c r="F228" s="8" t="s">
        <v>317</v>
      </c>
      <c r="G228" s="9" t="n">
        <v>310</v>
      </c>
      <c r="H228" s="10" t="n">
        <v>46055</v>
      </c>
      <c r="I228" s="8" t="str">
        <f aca="false">A228&amp;"|"&amp;B228&amp;"|"&amp;C228&amp;"|"&amp;D228&amp;"|"&amp;E228&amp;"|"&amp;F228&amp;"|"&amp;G228&amp;"|"&amp;H228</f>
        <v>PT0215|Renu Joshi||female|Arthritis  |ibuprofen|310|46055</v>
      </c>
      <c r="J228" s="8" t="str">
        <f aca="false">IF(COUNTIF($I$2:I228,I228)&gt;1,"Duplicate","Unique")</f>
        <v>Unique</v>
      </c>
    </row>
    <row r="229" customFormat="false" ht="15" hidden="false" customHeight="false" outlineLevel="0" collapsed="false">
      <c r="A229" s="8" t="s">
        <v>590</v>
      </c>
      <c r="B229" s="8" t="s">
        <v>591</v>
      </c>
      <c r="C229" s="9" t="n">
        <v>21</v>
      </c>
      <c r="D229" s="8" t="s">
        <v>76</v>
      </c>
      <c r="E229" s="8" t="s">
        <v>144</v>
      </c>
      <c r="F229" s="8" t="s">
        <v>157</v>
      </c>
      <c r="G229" s="9"/>
      <c r="H229" s="10" t="n">
        <v>46197</v>
      </c>
      <c r="I229" s="8" t="str">
        <f aca="false">A229&amp;"|"&amp;B229&amp;"|"&amp;C229&amp;"|"&amp;D229&amp;"|"&amp;E229&amp;"|"&amp;F229&amp;"|"&amp;G229&amp;"|"&amp;H229</f>
        <v>PT0226|Nitin Yadav|21| Male|MIGRAINE|sumatriptan||46197</v>
      </c>
      <c r="J229" s="8" t="str">
        <f aca="false">IF(COUNTIF($I$2:I229,I229)&gt;1,"Duplicate","Unique")</f>
        <v>Unique</v>
      </c>
    </row>
    <row r="230" customFormat="false" ht="15" hidden="false" customHeight="false" outlineLevel="0" collapsed="false">
      <c r="A230" s="8" t="s">
        <v>592</v>
      </c>
      <c r="B230" s="8" t="s">
        <v>593</v>
      </c>
      <c r="C230" s="9" t="n">
        <v>44</v>
      </c>
      <c r="D230" s="8" t="s">
        <v>109</v>
      </c>
      <c r="E230" s="8" t="s">
        <v>82</v>
      </c>
      <c r="F230" s="8" t="s">
        <v>236</v>
      </c>
      <c r="G230" s="9" t="n">
        <v>635</v>
      </c>
      <c r="H230" s="10" t="n">
        <v>45774</v>
      </c>
      <c r="I230" s="8" t="str">
        <f aca="false">A230&amp;"|"&amp;B230&amp;"|"&amp;C230&amp;"|"&amp;D230&amp;"|"&amp;E230&amp;"|"&amp;F230&amp;"|"&amp;G230&amp;"|"&amp;H230</f>
        <v>PT0176|Shalini Rao|44|f|Diabetes  |METFORMIN|635|45774</v>
      </c>
      <c r="J230" s="8" t="str">
        <f aca="false">IF(COUNTIF($I$2:I230,I230)&gt;1,"Duplicate","Unique")</f>
        <v>Unique</v>
      </c>
    </row>
    <row r="231" customFormat="false" ht="15" hidden="false" customHeight="false" outlineLevel="0" collapsed="false">
      <c r="A231" s="8" t="s">
        <v>594</v>
      </c>
      <c r="B231" s="8" t="s">
        <v>595</v>
      </c>
      <c r="C231" s="9" t="n">
        <v>19</v>
      </c>
      <c r="D231" s="8" t="s">
        <v>46</v>
      </c>
      <c r="E231" s="8" t="s">
        <v>86</v>
      </c>
      <c r="F231" s="8"/>
      <c r="G231" s="9" t="n">
        <v>620</v>
      </c>
      <c r="H231" s="10" t="n">
        <v>45882</v>
      </c>
      <c r="I231" s="8" t="str">
        <f aca="false">A231&amp;"|"&amp;B231&amp;"|"&amp;C231&amp;"|"&amp;D231&amp;"|"&amp;E231&amp;"|"&amp;F231&amp;"|"&amp;G231&amp;"|"&amp;H231</f>
        <v>PT0221|Vinod Kumar|19|Male| Flu ||620|45882</v>
      </c>
      <c r="J231" s="8" t="str">
        <f aca="false">IF(COUNTIF($I$2:I231,I231)&gt;1,"Duplicate","Unique")</f>
        <v>Unique</v>
      </c>
    </row>
    <row r="232" customFormat="false" ht="15" hidden="false" customHeight="false" outlineLevel="0" collapsed="false">
      <c r="A232" s="8" t="s">
        <v>596</v>
      </c>
      <c r="B232" s="8" t="s">
        <v>71</v>
      </c>
      <c r="C232" s="9" t="n">
        <v>32</v>
      </c>
      <c r="D232" s="8" t="s">
        <v>67</v>
      </c>
      <c r="E232" s="8" t="s">
        <v>459</v>
      </c>
      <c r="F232" s="8" t="s">
        <v>149</v>
      </c>
      <c r="G232" s="9" t="n">
        <v>85</v>
      </c>
      <c r="H232" s="10" t="n">
        <v>45820</v>
      </c>
      <c r="I232" s="8" t="str">
        <f aca="false">A232&amp;"|"&amp;B232&amp;"|"&amp;C232&amp;"|"&amp;D232&amp;"|"&amp;E232&amp;"|"&amp;F232&amp;"|"&amp;G232&amp;"|"&amp;H232</f>
        <v>PT0008|Alok Mishra|32|M|depression| Sertraline |85|45820</v>
      </c>
      <c r="J232" s="8" t="str">
        <f aca="false">IF(COUNTIF($I$2:I232,I232)&gt;1,"Duplicate","Unique")</f>
        <v>Unique</v>
      </c>
    </row>
    <row r="233" customFormat="false" ht="15" hidden="false" customHeight="false" outlineLevel="0" collapsed="false">
      <c r="A233" s="8" t="s">
        <v>188</v>
      </c>
      <c r="B233" s="8" t="s">
        <v>189</v>
      </c>
      <c r="C233" s="9" t="n">
        <v>33</v>
      </c>
      <c r="D233" s="8" t="s">
        <v>190</v>
      </c>
      <c r="E233" s="8"/>
      <c r="F233" s="8" t="s">
        <v>135</v>
      </c>
      <c r="G233" s="9" t="n">
        <v>60</v>
      </c>
      <c r="H233" s="10" t="n">
        <v>45739</v>
      </c>
      <c r="I233" s="8" t="str">
        <f aca="false">A233&amp;"|"&amp;B233&amp;"|"&amp;C233&amp;"|"&amp;D233&amp;"|"&amp;E233&amp;"|"&amp;F233&amp;"|"&amp;G233&amp;"|"&amp;H233</f>
        <v>PT0070|Dinesh Mishra|33|Male ||Sumatriptan  |60|45739</v>
      </c>
      <c r="J233" s="8" t="str">
        <f aca="false">IF(COUNTIF($I$2:I233,I233)&gt;1,"Duplicate","Unique")</f>
        <v>Duplicate</v>
      </c>
    </row>
    <row r="234" customFormat="false" ht="15" hidden="false" customHeight="false" outlineLevel="0" collapsed="false">
      <c r="A234" s="8" t="s">
        <v>597</v>
      </c>
      <c r="B234" s="8" t="s">
        <v>598</v>
      </c>
      <c r="C234" s="9" t="n">
        <v>65</v>
      </c>
      <c r="D234" s="8" t="s">
        <v>203</v>
      </c>
      <c r="E234" s="8" t="s">
        <v>122</v>
      </c>
      <c r="F234" s="8" t="s">
        <v>193</v>
      </c>
      <c r="G234" s="9" t="n">
        <v>5</v>
      </c>
      <c r="H234" s="10" t="n">
        <v>45703</v>
      </c>
      <c r="I234" s="8" t="str">
        <f aca="false">A234&amp;"|"&amp;B234&amp;"|"&amp;C234&amp;"|"&amp;D234&amp;"|"&amp;E234&amp;"|"&amp;F234&amp;"|"&amp;G234&amp;"|"&amp;H234</f>
        <v>PT0092|Dinesh Rathore|65|m| Hypertension |Amlodipine  |5|45703</v>
      </c>
      <c r="J234" s="8" t="str">
        <f aca="false">IF(COUNTIF($I$2:I234,I234)&gt;1,"Duplicate","Unique")</f>
        <v>Unique</v>
      </c>
    </row>
    <row r="235" customFormat="false" ht="15" hidden="false" customHeight="false" outlineLevel="0" collapsed="false">
      <c r="A235" s="8" t="s">
        <v>599</v>
      </c>
      <c r="B235" s="8" t="s">
        <v>124</v>
      </c>
      <c r="C235" s="9" t="n">
        <v>22</v>
      </c>
      <c r="D235" s="8" t="s">
        <v>95</v>
      </c>
      <c r="E235" s="8" t="s">
        <v>239</v>
      </c>
      <c r="F235" s="8" t="s">
        <v>157</v>
      </c>
      <c r="G235" s="9" t="n">
        <v>65</v>
      </c>
      <c r="H235" s="10"/>
      <c r="I235" s="8" t="str">
        <f aca="false">A235&amp;"|"&amp;B235&amp;"|"&amp;C235&amp;"|"&amp;D235&amp;"|"&amp;E235&amp;"|"&amp;F235&amp;"|"&amp;G235&amp;"|"&amp;H235</f>
        <v>PT0200|Usha Verma|22|F|Migraine  |sumatriptan|65|</v>
      </c>
      <c r="J235" s="8" t="str">
        <f aca="false">IF(COUNTIF($I$2:I235,I235)&gt;1,"Duplicate","Unique")</f>
        <v>Unique</v>
      </c>
    </row>
    <row r="236" customFormat="false" ht="15" hidden="false" customHeight="false" outlineLevel="0" collapsed="false">
      <c r="A236" s="8" t="s">
        <v>600</v>
      </c>
      <c r="B236" s="8" t="s">
        <v>601</v>
      </c>
      <c r="C236" s="9" t="n">
        <v>73</v>
      </c>
      <c r="D236" s="8" t="s">
        <v>81</v>
      </c>
      <c r="E236" s="8" t="s">
        <v>580</v>
      </c>
      <c r="F236" s="8" t="s">
        <v>394</v>
      </c>
      <c r="G236" s="9" t="n">
        <v>65</v>
      </c>
      <c r="H236" s="10" t="n">
        <v>46166</v>
      </c>
      <c r="I236" s="8" t="str">
        <f aca="false">A236&amp;"|"&amp;B236&amp;"|"&amp;C236&amp;"|"&amp;D236&amp;"|"&amp;E236&amp;"|"&amp;F236&amp;"|"&amp;G236&amp;"|"&amp;H236</f>
        <v>PT0098|Neha Reddy|73|female| Thyroid Disorder |Levothyroxine|65|46166</v>
      </c>
      <c r="J236" s="8" t="str">
        <f aca="false">IF(COUNTIF($I$2:I236,I236)&gt;1,"Duplicate","Unique")</f>
        <v>Unique</v>
      </c>
    </row>
    <row r="237" customFormat="false" ht="15" hidden="false" customHeight="false" outlineLevel="0" collapsed="false">
      <c r="A237" s="8" t="s">
        <v>602</v>
      </c>
      <c r="B237" s="8" t="s">
        <v>603</v>
      </c>
      <c r="C237" s="9"/>
      <c r="D237" s="8" t="s">
        <v>90</v>
      </c>
      <c r="E237" s="8" t="s">
        <v>220</v>
      </c>
      <c r="F237" s="8"/>
      <c r="G237" s="9" t="n">
        <v>500</v>
      </c>
      <c r="H237" s="10" t="n">
        <v>46115</v>
      </c>
      <c r="I237" s="8" t="str">
        <f aca="false">A237&amp;"|"&amp;B237&amp;"|"&amp;C237&amp;"|"&amp;D237&amp;"|"&amp;E237&amp;"|"&amp;F237&amp;"|"&amp;G237&amp;"|"&amp;H237</f>
        <v>PT0157|Suman Agarwal||Female|flu||500|46115</v>
      </c>
      <c r="J237" s="8" t="str">
        <f aca="false">IF(COUNTIF($I$2:I237,I237)&gt;1,"Duplicate","Unique")</f>
        <v>Unique</v>
      </c>
    </row>
    <row r="238" customFormat="false" ht="15" hidden="false" customHeight="false" outlineLevel="0" collapsed="false">
      <c r="A238" s="8" t="s">
        <v>509</v>
      </c>
      <c r="B238" s="8" t="s">
        <v>510</v>
      </c>
      <c r="C238" s="9" t="n">
        <v>42</v>
      </c>
      <c r="D238" s="8" t="s">
        <v>121</v>
      </c>
      <c r="E238" s="8" t="s">
        <v>378</v>
      </c>
      <c r="F238" s="8" t="s">
        <v>312</v>
      </c>
      <c r="G238" s="9" t="n">
        <v>295</v>
      </c>
      <c r="H238" s="10" t="n">
        <v>45814</v>
      </c>
      <c r="I238" s="8" t="str">
        <f aca="false">A238&amp;"|"&amp;B238&amp;"|"&amp;C238&amp;"|"&amp;D238&amp;"|"&amp;E238&amp;"|"&amp;F238&amp;"|"&amp;G238&amp;"|"&amp;H238</f>
        <v>PT0047|Payal Yadav|42|FEMALE|Bronchitis|azithromycin|295|45814</v>
      </c>
      <c r="J238" s="8" t="str">
        <f aca="false">IF(COUNTIF($I$2:I238,I238)&gt;1,"Duplicate","Unique")</f>
        <v>Duplicate</v>
      </c>
    </row>
    <row r="239" customFormat="false" ht="15" hidden="false" customHeight="false" outlineLevel="0" collapsed="false">
      <c r="A239" s="8" t="s">
        <v>604</v>
      </c>
      <c r="B239" s="8" t="s">
        <v>605</v>
      </c>
      <c r="C239" s="9" t="n">
        <v>64</v>
      </c>
      <c r="D239" s="8" t="s">
        <v>90</v>
      </c>
      <c r="E239" s="8" t="s">
        <v>165</v>
      </c>
      <c r="F239" s="8" t="s">
        <v>172</v>
      </c>
      <c r="G239" s="9" t="n">
        <v>90</v>
      </c>
      <c r="H239" s="10" t="n">
        <v>46039</v>
      </c>
      <c r="I239" s="8" t="str">
        <f aca="false">A239&amp;"|"&amp;B239&amp;"|"&amp;C239&amp;"|"&amp;D239&amp;"|"&amp;E239&amp;"|"&amp;F239&amp;"|"&amp;G239&amp;"|"&amp;H239</f>
        <v>PT0113|Sunita Tiwari|64|Female|OBESITY|orlistat|90|46039</v>
      </c>
      <c r="J239" s="8" t="str">
        <f aca="false">IF(COUNTIF($I$2:I239,I239)&gt;1,"Duplicate","Unique")</f>
        <v>Unique</v>
      </c>
    </row>
    <row r="240" customFormat="false" ht="15" hidden="false" customHeight="false" outlineLevel="0" collapsed="false">
      <c r="A240" s="8" t="s">
        <v>606</v>
      </c>
      <c r="B240" s="8" t="s">
        <v>607</v>
      </c>
      <c r="C240" s="9" t="n">
        <v>61</v>
      </c>
      <c r="D240" s="8" t="s">
        <v>104</v>
      </c>
      <c r="E240" s="8" t="s">
        <v>393</v>
      </c>
      <c r="F240" s="8" t="s">
        <v>139</v>
      </c>
      <c r="G240" s="9" t="n">
        <v>95</v>
      </c>
      <c r="H240" s="10" t="n">
        <v>45629</v>
      </c>
      <c r="I240" s="8" t="str">
        <f aca="false">A240&amp;"|"&amp;B240&amp;"|"&amp;C240&amp;"|"&amp;D240&amp;"|"&amp;E240&amp;"|"&amp;F240&amp;"|"&amp;G240&amp;"|"&amp;H240</f>
        <v>PT0174|Meena Singh|61| Female|thyroid disorder| Levothyroxine |95|45629</v>
      </c>
      <c r="J240" s="8" t="str">
        <f aca="false">IF(COUNTIF($I$2:I240,I240)&gt;1,"Duplicate","Unique")</f>
        <v>Unique</v>
      </c>
    </row>
    <row r="241" customFormat="false" ht="15" hidden="false" customHeight="false" outlineLevel="0" collapsed="false">
      <c r="A241" s="8" t="s">
        <v>608</v>
      </c>
      <c r="B241" s="8" t="s">
        <v>609</v>
      </c>
      <c r="C241" s="9" t="n">
        <v>42</v>
      </c>
      <c r="D241" s="8" t="s">
        <v>113</v>
      </c>
      <c r="E241" s="8" t="s">
        <v>369</v>
      </c>
      <c r="F241" s="8" t="s">
        <v>115</v>
      </c>
      <c r="G241" s="9" t="n">
        <v>330</v>
      </c>
      <c r="H241" s="10" t="n">
        <v>45882</v>
      </c>
      <c r="I241" s="8" t="str">
        <f aca="false">A241&amp;"|"&amp;B241&amp;"|"&amp;C241&amp;"|"&amp;D241&amp;"|"&amp;E241&amp;"|"&amp;F241&amp;"|"&amp;G241&amp;"|"&amp;H241</f>
        <v>PT0146|Vijay Nair|42|male|BRONCHITIS|Azithromycin|330|45882</v>
      </c>
      <c r="J241" s="8" t="str">
        <f aca="false">IF(COUNTIF($I$2:I241,I241)&gt;1,"Duplicate","Unique")</f>
        <v>Unique</v>
      </c>
    </row>
    <row r="242" customFormat="false" ht="15" hidden="false" customHeight="false" outlineLevel="0" collapsed="false">
      <c r="A242" s="8" t="s">
        <v>610</v>
      </c>
      <c r="B242" s="8" t="s">
        <v>611</v>
      </c>
      <c r="C242" s="9" t="n">
        <v>45</v>
      </c>
      <c r="D242" s="8" t="s">
        <v>76</v>
      </c>
      <c r="E242" s="8" t="s">
        <v>122</v>
      </c>
      <c r="F242" s="8" t="s">
        <v>97</v>
      </c>
      <c r="G242" s="9" t="n">
        <v>5</v>
      </c>
      <c r="H242" s="10" t="n">
        <v>45856</v>
      </c>
      <c r="I242" s="8" t="str">
        <f aca="false">A242&amp;"|"&amp;B242&amp;"|"&amp;C242&amp;"|"&amp;D242&amp;"|"&amp;E242&amp;"|"&amp;F242&amp;"|"&amp;G242&amp;"|"&amp;H242</f>
        <v>PT0206|Amit Pandey|45| Male| Hypertension |amlodipine|5|45856</v>
      </c>
      <c r="J242" s="8" t="str">
        <f aca="false">IF(COUNTIF($I$2:I242,I242)&gt;1,"Duplicate","Unique")</f>
        <v>Unique</v>
      </c>
    </row>
    <row r="243" customFormat="false" ht="15" hidden="false" customHeight="false" outlineLevel="0" collapsed="false">
      <c r="A243" s="8" t="s">
        <v>612</v>
      </c>
      <c r="B243" s="8" t="s">
        <v>613</v>
      </c>
      <c r="C243" s="9" t="n">
        <v>22</v>
      </c>
      <c r="D243" s="8" t="s">
        <v>85</v>
      </c>
      <c r="E243" s="8" t="s">
        <v>529</v>
      </c>
      <c r="F243" s="8" t="s">
        <v>614</v>
      </c>
      <c r="G243" s="9" t="n">
        <v>40</v>
      </c>
      <c r="H243" s="10" t="n">
        <v>46088</v>
      </c>
      <c r="I243" s="8" t="str">
        <f aca="false">A243&amp;"|"&amp;B243&amp;"|"&amp;C243&amp;"|"&amp;D243&amp;"|"&amp;E243&amp;"|"&amp;F243&amp;"|"&amp;G243&amp;"|"&amp;H243</f>
        <v>PT0124|Sunil Shukla|22|MALE|GASTRITIS|omeprazole|40|46088</v>
      </c>
      <c r="J243" s="8" t="str">
        <f aca="false">IF(COUNTIF($I$2:I243,I243)&gt;1,"Duplicate","Unique")</f>
        <v>Unique</v>
      </c>
    </row>
    <row r="244" customFormat="false" ht="15" hidden="false" customHeight="false" outlineLevel="0" collapsed="false">
      <c r="A244" s="8" t="s">
        <v>615</v>
      </c>
      <c r="B244" s="8" t="s">
        <v>616</v>
      </c>
      <c r="C244" s="9" t="n">
        <v>62</v>
      </c>
      <c r="D244" s="8" t="s">
        <v>203</v>
      </c>
      <c r="E244" s="8" t="s">
        <v>91</v>
      </c>
      <c r="F244" s="8" t="s">
        <v>73</v>
      </c>
      <c r="G244" s="9" t="n">
        <v>890</v>
      </c>
      <c r="H244" s="10" t="n">
        <v>45927</v>
      </c>
      <c r="I244" s="8" t="str">
        <f aca="false">A244&amp;"|"&amp;B244&amp;"|"&amp;C244&amp;"|"&amp;D244&amp;"|"&amp;E244&amp;"|"&amp;F244&amp;"|"&amp;G244&amp;"|"&amp;H244</f>
        <v>PT0152|Anil Kumar|62|m| Diabetes | Metformin |890|45927</v>
      </c>
      <c r="J244" s="8" t="str">
        <f aca="false">IF(COUNTIF($I$2:I244,I244)&gt;1,"Duplicate","Unique")</f>
        <v>Unique</v>
      </c>
    </row>
    <row r="245" customFormat="false" ht="15" hidden="false" customHeight="false" outlineLevel="0" collapsed="false">
      <c r="A245" s="8" t="s">
        <v>387</v>
      </c>
      <c r="B245" s="8" t="s">
        <v>338</v>
      </c>
      <c r="C245" s="9" t="n">
        <v>33</v>
      </c>
      <c r="D245" s="8" t="s">
        <v>190</v>
      </c>
      <c r="E245" s="8" t="s">
        <v>125</v>
      </c>
      <c r="F245" s="8" t="s">
        <v>126</v>
      </c>
      <c r="G245" s="9" t="n">
        <v>760</v>
      </c>
      <c r="H245" s="10" t="n">
        <v>46036</v>
      </c>
      <c r="I245" s="8" t="str">
        <f aca="false">A245&amp;"|"&amp;B245&amp;"|"&amp;C245&amp;"|"&amp;D245&amp;"|"&amp;E245&amp;"|"&amp;F245&amp;"|"&amp;G245&amp;"|"&amp;H245</f>
        <v>PT0103|Ashok Sharma|33|Male |diabetes|Metformin  |760|46036</v>
      </c>
      <c r="J245" s="8" t="str">
        <f aca="false">IF(COUNTIF($I$2:I245,I245)&gt;1,"Duplicate","Unique")</f>
        <v>Duplicate</v>
      </c>
    </row>
    <row r="246" customFormat="false" ht="15" hidden="false" customHeight="false" outlineLevel="0" collapsed="false">
      <c r="A246" s="8" t="s">
        <v>617</v>
      </c>
      <c r="B246" s="8" t="s">
        <v>618</v>
      </c>
      <c r="C246" s="9" t="n">
        <v>43</v>
      </c>
      <c r="D246" s="8" t="s">
        <v>121</v>
      </c>
      <c r="E246" s="8" t="s">
        <v>162</v>
      </c>
      <c r="F246" s="8" t="s">
        <v>193</v>
      </c>
      <c r="G246" s="9" t="n">
        <v>5</v>
      </c>
      <c r="H246" s="10" t="n">
        <v>45859</v>
      </c>
      <c r="I246" s="8" t="str">
        <f aca="false">A246&amp;"|"&amp;B246&amp;"|"&amp;C246&amp;"|"&amp;D246&amp;"|"&amp;E246&amp;"|"&amp;F246&amp;"|"&amp;G246&amp;"|"&amp;H246</f>
        <v>PT0107|Sarita Joshi|43|FEMALE|Hypertension  |Amlodipine  |5|45859</v>
      </c>
      <c r="J246" s="8" t="str">
        <f aca="false">IF(COUNTIF($I$2:I246,I246)&gt;1,"Duplicate","Unique")</f>
        <v>Unique</v>
      </c>
    </row>
    <row r="247" customFormat="false" ht="15" hidden="false" customHeight="false" outlineLevel="0" collapsed="false">
      <c r="A247" s="8" t="s">
        <v>619</v>
      </c>
      <c r="B247" s="8" t="s">
        <v>570</v>
      </c>
      <c r="C247" s="9" t="n">
        <v>32</v>
      </c>
      <c r="D247" s="8" t="s">
        <v>67</v>
      </c>
      <c r="E247" s="8" t="s">
        <v>162</v>
      </c>
      <c r="F247" s="8" t="s">
        <v>52</v>
      </c>
      <c r="G247" s="9" t="n">
        <v>5</v>
      </c>
      <c r="H247" s="10" t="n">
        <v>46138</v>
      </c>
      <c r="I247" s="8" t="str">
        <f aca="false">A247&amp;"|"&amp;B247&amp;"|"&amp;C247&amp;"|"&amp;D247&amp;"|"&amp;E247&amp;"|"&amp;F247&amp;"|"&amp;G247&amp;"|"&amp;H247</f>
        <v>PT0027|Sandeep Reddy|32|M|Hypertension  |Amlodipine|5|46138</v>
      </c>
      <c r="J247" s="8" t="str">
        <f aca="false">IF(COUNTIF($I$2:I247,I247)&gt;1,"Duplicate","Unique")</f>
        <v>Unique</v>
      </c>
    </row>
    <row r="248" customFormat="false" ht="15" hidden="false" customHeight="false" outlineLevel="0" collapsed="false">
      <c r="A248" s="8" t="s">
        <v>620</v>
      </c>
      <c r="B248" s="8" t="s">
        <v>124</v>
      </c>
      <c r="C248" s="9"/>
      <c r="D248" s="8" t="s">
        <v>95</v>
      </c>
      <c r="E248" s="8" t="s">
        <v>175</v>
      </c>
      <c r="F248" s="8" t="s">
        <v>69</v>
      </c>
      <c r="G248" s="9" t="n">
        <v>365</v>
      </c>
      <c r="H248" s="10" t="n">
        <v>45859</v>
      </c>
      <c r="I248" s="8" t="str">
        <f aca="false">A248&amp;"|"&amp;B248&amp;"|"&amp;C248&amp;"|"&amp;D248&amp;"|"&amp;E248&amp;"|"&amp;F248&amp;"|"&amp;G248&amp;"|"&amp;H248</f>
        <v>PT0041|Usha Verma||F|ARTHRITIS|Ibuprofen|365|45859</v>
      </c>
      <c r="J248" s="8" t="str">
        <f aca="false">IF(COUNTIF($I$2:I248,I248)&gt;1,"Duplicate","Unique")</f>
        <v>Unique</v>
      </c>
    </row>
    <row r="249" customFormat="false" ht="15" hidden="false" customHeight="false" outlineLevel="0" collapsed="false">
      <c r="A249" s="8" t="s">
        <v>621</v>
      </c>
      <c r="B249" s="8" t="s">
        <v>622</v>
      </c>
      <c r="C249" s="9" t="n">
        <v>29</v>
      </c>
      <c r="D249" s="8" t="s">
        <v>90</v>
      </c>
      <c r="E249" s="8" t="s">
        <v>399</v>
      </c>
      <c r="F249" s="8"/>
      <c r="G249" s="9" t="n">
        <v>185</v>
      </c>
      <c r="H249" s="10" t="n">
        <v>45578</v>
      </c>
      <c r="I249" s="8" t="str">
        <f aca="false">A249&amp;"|"&amp;B249&amp;"|"&amp;C249&amp;"|"&amp;D249&amp;"|"&amp;E249&amp;"|"&amp;F249&amp;"|"&amp;G249&amp;"|"&amp;H249</f>
        <v>PT0217|Ritu Gupta|29|Female|Asthma  ||185|45578</v>
      </c>
      <c r="J249" s="8" t="str">
        <f aca="false">IF(COUNTIF($I$2:I249,I249)&gt;1,"Duplicate","Unique")</f>
        <v>Unique</v>
      </c>
    </row>
    <row r="250" customFormat="false" ht="15" hidden="false" customHeight="false" outlineLevel="0" collapsed="false">
      <c r="A250" s="8" t="s">
        <v>477</v>
      </c>
      <c r="B250" s="8" t="s">
        <v>478</v>
      </c>
      <c r="C250" s="9" t="n">
        <v>11</v>
      </c>
      <c r="D250" s="8" t="s">
        <v>131</v>
      </c>
      <c r="E250" s="8" t="s">
        <v>171</v>
      </c>
      <c r="F250" s="8" t="s">
        <v>440</v>
      </c>
      <c r="G250" s="9" t="n">
        <v>65</v>
      </c>
      <c r="H250" s="10" t="n">
        <v>45942</v>
      </c>
      <c r="I250" s="8" t="str">
        <f aca="false">A250&amp;"|"&amp;B250&amp;"|"&amp;C250&amp;"|"&amp;D250&amp;"|"&amp;E250&amp;"|"&amp;F250&amp;"|"&amp;G250&amp;"|"&amp;H250</f>
        <v>PT0205|Divya Mishra|11|Female |obesity|ORLISTAT|65|45942</v>
      </c>
      <c r="J250" s="8" t="str">
        <f aca="false">IF(COUNTIF($I$2:I250,I250)&gt;1,"Duplicate","Unique")</f>
        <v>Duplicate</v>
      </c>
    </row>
    <row r="251" customFormat="false" ht="15" hidden="false" customHeight="false" outlineLevel="0" collapsed="false">
      <c r="A251" s="8" t="s">
        <v>623</v>
      </c>
      <c r="B251" s="8" t="s">
        <v>624</v>
      </c>
      <c r="C251" s="9" t="n">
        <v>95</v>
      </c>
      <c r="D251" s="8" t="s">
        <v>67</v>
      </c>
      <c r="E251" s="8" t="s">
        <v>178</v>
      </c>
      <c r="F251" s="8" t="s">
        <v>625</v>
      </c>
      <c r="G251" s="9" t="n">
        <v>385</v>
      </c>
      <c r="H251" s="10" t="n">
        <v>46146</v>
      </c>
      <c r="I251" s="8" t="str">
        <f aca="false">A251&amp;"|"&amp;B251&amp;"|"&amp;C251&amp;"|"&amp;D251&amp;"|"&amp;E251&amp;"|"&amp;F251&amp;"|"&amp;G251&amp;"|"&amp;H251</f>
        <v>PT0016|Ramesh Kumar|95|M|Bronchitis  |AZITHROMYCIN|385|46146</v>
      </c>
      <c r="J251" s="8" t="str">
        <f aca="false">IF(COUNTIF($I$2:I251,I251)&gt;1,"Duplicate","Unique")</f>
        <v>Unique</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4" min="3" style="0" width="16"/>
  </cols>
  <sheetData>
    <row r="2" customFormat="false" ht="19.7" hidden="false" customHeight="false" outlineLevel="0" collapsed="false">
      <c r="B2" s="1" t="s">
        <v>626</v>
      </c>
    </row>
    <row r="3" customFormat="false" ht="15" hidden="false" customHeight="false" outlineLevel="0" collapsed="false">
      <c r="B3" s="2" t="s">
        <v>627</v>
      </c>
    </row>
    <row r="5" customFormat="false" ht="15" hidden="false" customHeight="false" outlineLevel="0" collapsed="false">
      <c r="B5" s="11" t="s">
        <v>628</v>
      </c>
      <c r="C5" s="11"/>
      <c r="D5" s="11"/>
    </row>
    <row r="6" customFormat="false" ht="15" hidden="false" customHeight="false" outlineLevel="0" collapsed="false">
      <c r="B6" s="8" t="s">
        <v>629</v>
      </c>
      <c r="C6" s="12" t="n">
        <f aca="false">COUNTA('Raw Data'!A2:A251)</f>
        <v>250</v>
      </c>
    </row>
    <row r="7" customFormat="false" ht="15" hidden="false" customHeight="false" outlineLevel="0" collapsed="false">
      <c r="B7" s="8" t="s">
        <v>630</v>
      </c>
      <c r="C7" s="12" t="n">
        <f aca="false">COUNTIF('Raw Data'!J2:J251,"Duplicate")</f>
        <v>20</v>
      </c>
    </row>
    <row r="8" customFormat="false" ht="15" hidden="false" customHeight="false" outlineLevel="0" collapsed="false">
      <c r="B8" s="8" t="s">
        <v>631</v>
      </c>
      <c r="C8" s="12" t="n">
        <f aca="false">COUNTIF('Raw Data'!C2:C251,"&lt;=0")+COUNTIF('Raw Data'!C2:C251,"&gt;110")</f>
        <v>4</v>
      </c>
    </row>
    <row r="10" customFormat="false" ht="15" hidden="false" customHeight="false" outlineLevel="0" collapsed="false">
      <c r="B10" s="11" t="s">
        <v>632</v>
      </c>
      <c r="C10" s="11"/>
      <c r="D10" s="11"/>
    </row>
    <row r="11" customFormat="false" ht="15" hidden="false" customHeight="false" outlineLevel="0" collapsed="false">
      <c r="B11" s="5" t="s">
        <v>633</v>
      </c>
      <c r="C11" s="5" t="s">
        <v>634</v>
      </c>
      <c r="D11" s="5" t="s">
        <v>635</v>
      </c>
    </row>
    <row r="12" customFormat="false" ht="15" hidden="false" customHeight="false" outlineLevel="0" collapsed="false">
      <c r="B12" s="13" t="s">
        <v>34</v>
      </c>
      <c r="C12" s="13" t="n">
        <f aca="false">COUNTBLANK('Raw Data'!B2:B251)</f>
        <v>3</v>
      </c>
      <c r="D12" s="14" t="n">
        <f aca="false">C12/250</f>
        <v>0.012</v>
      </c>
    </row>
    <row r="13" customFormat="false" ht="15" hidden="false" customHeight="false" outlineLevel="0" collapsed="false">
      <c r="B13" s="13" t="s">
        <v>39</v>
      </c>
      <c r="C13" s="13" t="n">
        <f aca="false">COUNTBLANK('Raw Data'!C2:C251)</f>
        <v>10</v>
      </c>
      <c r="D13" s="14" t="n">
        <f aca="false">C13/250</f>
        <v>0.04</v>
      </c>
    </row>
    <row r="14" customFormat="false" ht="15" hidden="false" customHeight="false" outlineLevel="0" collapsed="false">
      <c r="B14" s="13" t="s">
        <v>44</v>
      </c>
      <c r="C14" s="13" t="n">
        <f aca="false">COUNTBLANK('Raw Data'!D2:D251)</f>
        <v>7</v>
      </c>
      <c r="D14" s="14" t="n">
        <f aca="false">C14/250</f>
        <v>0.028</v>
      </c>
    </row>
    <row r="15" customFormat="false" ht="15" hidden="false" customHeight="false" outlineLevel="0" collapsed="false">
      <c r="B15" s="13" t="s">
        <v>47</v>
      </c>
      <c r="C15" s="13" t="n">
        <f aca="false">COUNTBLANK('Raw Data'!E2:E251)</f>
        <v>10</v>
      </c>
      <c r="D15" s="14" t="n">
        <f aca="false">C15/250</f>
        <v>0.04</v>
      </c>
    </row>
    <row r="16" customFormat="false" ht="15" hidden="false" customHeight="false" outlineLevel="0" collapsed="false">
      <c r="B16" s="13" t="s">
        <v>50</v>
      </c>
      <c r="C16" s="13" t="n">
        <f aca="false">COUNTBLANK('Raw Data'!F2:F251)</f>
        <v>12</v>
      </c>
      <c r="D16" s="14" t="n">
        <f aca="false">C16/250</f>
        <v>0.048</v>
      </c>
    </row>
    <row r="17" customFormat="false" ht="15" hidden="false" customHeight="false" outlineLevel="0" collapsed="false">
      <c r="B17" s="13" t="s">
        <v>53</v>
      </c>
      <c r="C17" s="13" t="n">
        <f aca="false">COUNTBLANK('Raw Data'!G2:G251)</f>
        <v>8</v>
      </c>
      <c r="D17" s="14" t="n">
        <f aca="false">C17/250</f>
        <v>0.032</v>
      </c>
    </row>
    <row r="18" customFormat="false" ht="15" hidden="false" customHeight="false" outlineLevel="0" collapsed="false">
      <c r="B18" s="13" t="s">
        <v>58</v>
      </c>
      <c r="C18" s="13" t="n">
        <f aca="false">COUNTBLANK('Raw Data'!H2:H251)</f>
        <v>8</v>
      </c>
      <c r="D18" s="14" t="n">
        <f aca="false">C18/250</f>
        <v>0.032</v>
      </c>
    </row>
    <row r="20" customFormat="false" ht="15" hidden="false" customHeight="false" outlineLevel="0" collapsed="false">
      <c r="B20" s="11" t="s">
        <v>636</v>
      </c>
      <c r="C20" s="11"/>
      <c r="D20" s="11"/>
    </row>
    <row r="21" customFormat="false" ht="30" hidden="false" customHeight="true" outlineLevel="0" collapsed="false">
      <c r="B21" s="15" t="s">
        <v>637</v>
      </c>
      <c r="C21" s="15"/>
      <c r="D21" s="15"/>
    </row>
    <row r="22" customFormat="false" ht="30" hidden="false" customHeight="true" outlineLevel="0" collapsed="false">
      <c r="B22" s="15" t="s">
        <v>638</v>
      </c>
      <c r="C22" s="15"/>
      <c r="D22" s="15"/>
    </row>
    <row r="23" customFormat="false" ht="30" hidden="false" customHeight="true" outlineLevel="0" collapsed="false">
      <c r="B23" s="15" t="s">
        <v>639</v>
      </c>
      <c r="C23" s="15"/>
      <c r="D23" s="15"/>
    </row>
    <row r="24" customFormat="false" ht="30" hidden="false" customHeight="true" outlineLevel="0" collapsed="false">
      <c r="B24" s="15" t="s">
        <v>640</v>
      </c>
      <c r="C24" s="15"/>
      <c r="D24" s="15"/>
    </row>
    <row r="25" customFormat="false" ht="30" hidden="false" customHeight="true" outlineLevel="0" collapsed="false">
      <c r="B25" s="15" t="s">
        <v>641</v>
      </c>
      <c r="C25" s="15"/>
      <c r="D25" s="15"/>
    </row>
    <row r="26" customFormat="false" ht="30" hidden="false" customHeight="true" outlineLevel="0" collapsed="false">
      <c r="B26" s="15" t="s">
        <v>642</v>
      </c>
      <c r="C26" s="15"/>
      <c r="D26" s="15"/>
    </row>
    <row r="27" customFormat="false" ht="30" hidden="false" customHeight="true" outlineLevel="0" collapsed="false">
      <c r="B27" s="15" t="s">
        <v>643</v>
      </c>
      <c r="C27" s="15"/>
      <c r="D27" s="15"/>
    </row>
    <row r="29" customFormat="false" ht="15" hidden="false" customHeight="false" outlineLevel="0" collapsed="false">
      <c r="B29" s="11" t="s">
        <v>644</v>
      </c>
      <c r="C29" s="11"/>
      <c r="D29" s="11"/>
    </row>
    <row r="30" customFormat="false" ht="15" hidden="false" customHeight="false" outlineLevel="0" collapsed="false">
      <c r="B30" s="8" t="s">
        <v>645</v>
      </c>
      <c r="C30" s="12" t="n">
        <f aca="false">COUNTA('Cleaned Data'!A2:A231)</f>
        <v>230</v>
      </c>
    </row>
  </sheetData>
  <mergeCells count="11">
    <mergeCell ref="B5:D5"/>
    <mergeCell ref="B10:D10"/>
    <mergeCell ref="B20:D20"/>
    <mergeCell ref="B21:D21"/>
    <mergeCell ref="B22:D22"/>
    <mergeCell ref="B23:D23"/>
    <mergeCell ref="B24:D24"/>
    <mergeCell ref="B25:D25"/>
    <mergeCell ref="B26:D26"/>
    <mergeCell ref="B27:D27"/>
    <mergeCell ref="B29:D2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7"/>
    <col collapsed="false" customWidth="true" hidden="false" outlineLevel="0" max="4" min="4" style="0" width="10"/>
    <col collapsed="false" customWidth="true" hidden="false" outlineLevel="0" max="6" min="5" style="0" width="16"/>
    <col collapsed="false" customWidth="true" hidden="false" outlineLevel="0" max="7" min="7" style="0" width="11"/>
    <col collapsed="false" customWidth="true" hidden="false" outlineLevel="0" max="8" min="8" style="0" width="15"/>
  </cols>
  <sheetData>
    <row r="1" customFormat="false" ht="15" hidden="false" customHeight="false" outlineLevel="0" collapsed="false">
      <c r="A1" s="5" t="s">
        <v>29</v>
      </c>
      <c r="B1" s="5" t="s">
        <v>34</v>
      </c>
      <c r="C1" s="5" t="s">
        <v>39</v>
      </c>
      <c r="D1" s="5" t="s">
        <v>44</v>
      </c>
      <c r="E1" s="5" t="s">
        <v>47</v>
      </c>
      <c r="F1" s="5" t="s">
        <v>50</v>
      </c>
      <c r="G1" s="5" t="s">
        <v>53</v>
      </c>
      <c r="H1" s="5" t="s">
        <v>58</v>
      </c>
    </row>
    <row r="2" customFormat="false" ht="15" hidden="false" customHeight="false" outlineLevel="0" collapsed="false">
      <c r="A2" s="8" t="s">
        <v>65</v>
      </c>
      <c r="B2" s="8" t="s">
        <v>66</v>
      </c>
      <c r="C2" s="9" t="n">
        <v>58</v>
      </c>
      <c r="D2" s="8" t="s">
        <v>46</v>
      </c>
      <c r="E2" s="8" t="s">
        <v>68</v>
      </c>
      <c r="F2" s="8" t="s">
        <v>69</v>
      </c>
      <c r="G2" s="9" t="n">
        <v>320</v>
      </c>
      <c r="H2" s="10" t="n">
        <v>45731</v>
      </c>
    </row>
    <row r="3" customFormat="false" ht="15" hidden="false" customHeight="false" outlineLevel="0" collapsed="false">
      <c r="A3" s="8" t="s">
        <v>70</v>
      </c>
      <c r="B3" s="8" t="s">
        <v>71</v>
      </c>
      <c r="C3" s="9" t="n">
        <v>55</v>
      </c>
      <c r="D3" s="8" t="s">
        <v>46</v>
      </c>
      <c r="E3" s="8" t="s">
        <v>72</v>
      </c>
      <c r="F3" s="8" t="s">
        <v>214</v>
      </c>
      <c r="G3" s="9" t="n">
        <v>755</v>
      </c>
      <c r="H3" s="10" t="n">
        <v>45596</v>
      </c>
    </row>
    <row r="4" customFormat="false" ht="15" hidden="false" customHeight="false" outlineLevel="0" collapsed="false">
      <c r="A4" s="8" t="s">
        <v>74</v>
      </c>
      <c r="B4" s="8" t="s">
        <v>75</v>
      </c>
      <c r="C4" s="9" t="n">
        <v>50</v>
      </c>
      <c r="D4" s="8" t="s">
        <v>46</v>
      </c>
      <c r="E4" s="8" t="s">
        <v>148</v>
      </c>
      <c r="F4" s="8" t="s">
        <v>646</v>
      </c>
      <c r="G4" s="9" t="n">
        <v>75</v>
      </c>
      <c r="H4" s="10" t="n">
        <v>45690</v>
      </c>
    </row>
    <row r="5" customFormat="false" ht="15" hidden="false" customHeight="false" outlineLevel="0" collapsed="false">
      <c r="A5" s="8" t="s">
        <v>79</v>
      </c>
      <c r="B5" s="8" t="s">
        <v>80</v>
      </c>
      <c r="C5" s="9" t="n">
        <v>58</v>
      </c>
      <c r="D5" s="8" t="s">
        <v>90</v>
      </c>
      <c r="E5" s="8" t="s">
        <v>72</v>
      </c>
      <c r="F5" s="8" t="s">
        <v>647</v>
      </c>
      <c r="G5" s="9" t="n">
        <v>765</v>
      </c>
      <c r="H5" s="10" t="n">
        <v>45794</v>
      </c>
    </row>
    <row r="6" customFormat="false" ht="15" hidden="false" customHeight="false" outlineLevel="0" collapsed="false">
      <c r="A6" s="8" t="s">
        <v>83</v>
      </c>
      <c r="B6" s="8" t="s">
        <v>84</v>
      </c>
      <c r="C6" s="9" t="n">
        <v>39</v>
      </c>
      <c r="D6" s="8" t="s">
        <v>46</v>
      </c>
      <c r="E6" s="8" t="s">
        <v>298</v>
      </c>
      <c r="F6" s="8" t="s">
        <v>390</v>
      </c>
      <c r="G6" s="9" t="n">
        <v>550</v>
      </c>
      <c r="H6" s="10" t="n">
        <v>45697</v>
      </c>
    </row>
    <row r="7" customFormat="false" ht="15" hidden="false" customHeight="false" outlineLevel="0" collapsed="false">
      <c r="A7" s="8" t="s">
        <v>88</v>
      </c>
      <c r="B7" s="8" t="s">
        <v>89</v>
      </c>
      <c r="C7" s="9" t="n">
        <v>55</v>
      </c>
      <c r="D7" s="8" t="s">
        <v>90</v>
      </c>
      <c r="E7" s="8" t="s">
        <v>72</v>
      </c>
      <c r="F7" s="8" t="s">
        <v>214</v>
      </c>
      <c r="G7" s="9" t="n">
        <v>820</v>
      </c>
      <c r="H7" s="10" t="n">
        <v>46152</v>
      </c>
    </row>
    <row r="8" customFormat="false" ht="15" hidden="false" customHeight="false" outlineLevel="0" collapsed="false">
      <c r="A8" s="8" t="s">
        <v>93</v>
      </c>
      <c r="B8" s="8" t="s">
        <v>94</v>
      </c>
      <c r="C8" s="9" t="n">
        <v>74</v>
      </c>
      <c r="D8" s="8" t="s">
        <v>90</v>
      </c>
      <c r="E8" s="8" t="s">
        <v>49</v>
      </c>
      <c r="F8" s="8" t="s">
        <v>52</v>
      </c>
      <c r="G8" s="9" t="n">
        <v>10</v>
      </c>
      <c r="H8" s="10" t="n">
        <v>46258</v>
      </c>
    </row>
    <row r="9" customFormat="false" ht="15" hidden="false" customHeight="false" outlineLevel="0" collapsed="false">
      <c r="A9" s="8" t="s">
        <v>98</v>
      </c>
      <c r="B9" s="8" t="s">
        <v>99</v>
      </c>
      <c r="C9" s="9" t="n">
        <v>45</v>
      </c>
      <c r="D9" s="8" t="s">
        <v>648</v>
      </c>
      <c r="E9" s="8" t="s">
        <v>49</v>
      </c>
      <c r="F9" s="8" t="s">
        <v>52</v>
      </c>
      <c r="G9" s="9" t="n">
        <v>10</v>
      </c>
      <c r="H9" s="10" t="n">
        <v>45565</v>
      </c>
    </row>
    <row r="10" customFormat="false" ht="15" hidden="false" customHeight="false" outlineLevel="0" collapsed="false">
      <c r="A10" s="8" t="s">
        <v>102</v>
      </c>
      <c r="B10" s="8" t="s">
        <v>103</v>
      </c>
      <c r="C10" s="9" t="n">
        <v>23</v>
      </c>
      <c r="D10" s="8" t="s">
        <v>90</v>
      </c>
      <c r="E10" s="8" t="s">
        <v>427</v>
      </c>
      <c r="F10" s="8" t="s">
        <v>277</v>
      </c>
      <c r="G10" s="9" t="n">
        <v>185</v>
      </c>
      <c r="H10" s="10" t="n">
        <v>45791</v>
      </c>
    </row>
    <row r="11" customFormat="false" ht="15" hidden="false" customHeight="false" outlineLevel="0" collapsed="false">
      <c r="A11" s="8" t="s">
        <v>107</v>
      </c>
      <c r="B11" s="8" t="s">
        <v>108</v>
      </c>
      <c r="C11" s="9" t="n">
        <v>59</v>
      </c>
      <c r="D11" s="8" t="s">
        <v>90</v>
      </c>
      <c r="E11" s="8" t="s">
        <v>49</v>
      </c>
      <c r="F11" s="8" t="s">
        <v>52</v>
      </c>
      <c r="G11" s="9" t="n">
        <v>5</v>
      </c>
      <c r="H11" s="10" t="n">
        <v>45891</v>
      </c>
    </row>
    <row r="12" customFormat="false" ht="15" hidden="false" customHeight="false" outlineLevel="0" collapsed="false">
      <c r="A12" s="8" t="s">
        <v>111</v>
      </c>
      <c r="B12" s="8" t="s">
        <v>112</v>
      </c>
      <c r="C12" s="9" t="n">
        <v>48</v>
      </c>
      <c r="D12" s="8" t="s">
        <v>46</v>
      </c>
      <c r="E12" s="8" t="s">
        <v>378</v>
      </c>
      <c r="F12" s="8" t="s">
        <v>115</v>
      </c>
      <c r="G12" s="9" t="n">
        <v>265</v>
      </c>
      <c r="H12" s="10" t="n">
        <v>45770</v>
      </c>
    </row>
    <row r="13" customFormat="false" ht="15" hidden="false" customHeight="false" outlineLevel="0" collapsed="false">
      <c r="A13" s="8" t="s">
        <v>116</v>
      </c>
      <c r="B13" s="8" t="s">
        <v>117</v>
      </c>
      <c r="C13" s="9" t="n">
        <v>57</v>
      </c>
      <c r="D13" s="8" t="s">
        <v>46</v>
      </c>
      <c r="E13" s="8" t="s">
        <v>647</v>
      </c>
      <c r="F13" s="8" t="s">
        <v>277</v>
      </c>
      <c r="G13" s="9" t="n">
        <v>145</v>
      </c>
      <c r="H13" s="10" t="n">
        <v>45584</v>
      </c>
    </row>
    <row r="14" customFormat="false" ht="15" hidden="false" customHeight="false" outlineLevel="0" collapsed="false">
      <c r="A14" s="8" t="s">
        <v>119</v>
      </c>
      <c r="B14" s="8" t="s">
        <v>120</v>
      </c>
      <c r="C14" s="9" t="n">
        <v>69</v>
      </c>
      <c r="D14" s="8" t="s">
        <v>90</v>
      </c>
      <c r="E14" s="8" t="s">
        <v>49</v>
      </c>
      <c r="F14" s="8" t="s">
        <v>52</v>
      </c>
      <c r="G14" s="9" t="n">
        <v>10</v>
      </c>
      <c r="H14" s="10" t="n">
        <v>45947</v>
      </c>
    </row>
    <row r="15" customFormat="false" ht="15" hidden="false" customHeight="false" outlineLevel="0" collapsed="false">
      <c r="A15" s="8" t="s">
        <v>123</v>
      </c>
      <c r="B15" s="8" t="s">
        <v>124</v>
      </c>
      <c r="C15" s="9" t="n">
        <v>60</v>
      </c>
      <c r="D15" s="8" t="s">
        <v>90</v>
      </c>
      <c r="E15" s="8" t="s">
        <v>72</v>
      </c>
      <c r="F15" s="8" t="s">
        <v>214</v>
      </c>
      <c r="G15" s="9" t="n">
        <v>585</v>
      </c>
      <c r="H15" s="10" t="n">
        <v>45797</v>
      </c>
    </row>
    <row r="16" customFormat="false" ht="15" hidden="false" customHeight="false" outlineLevel="0" collapsed="false">
      <c r="A16" s="8" t="s">
        <v>127</v>
      </c>
      <c r="B16" s="8" t="s">
        <v>128</v>
      </c>
      <c r="C16" s="9" t="n">
        <v>56</v>
      </c>
      <c r="D16" s="8" t="s">
        <v>46</v>
      </c>
      <c r="E16" s="8" t="s">
        <v>49</v>
      </c>
      <c r="F16" s="8" t="s">
        <v>52</v>
      </c>
      <c r="G16" s="9" t="n">
        <v>10</v>
      </c>
      <c r="H16" s="10" t="n">
        <v>45647</v>
      </c>
    </row>
    <row r="17" customFormat="false" ht="15" hidden="false" customHeight="false" outlineLevel="0" collapsed="false">
      <c r="A17" s="8" t="s">
        <v>129</v>
      </c>
      <c r="B17" s="8" t="s">
        <v>130</v>
      </c>
      <c r="C17" s="9" t="n">
        <v>40</v>
      </c>
      <c r="D17" s="8" t="s">
        <v>90</v>
      </c>
      <c r="E17" s="8" t="s">
        <v>49</v>
      </c>
      <c r="F17" s="8" t="s">
        <v>647</v>
      </c>
      <c r="G17" s="9" t="n">
        <v>10</v>
      </c>
      <c r="H17" s="8"/>
    </row>
    <row r="18" customFormat="false" ht="15" hidden="false" customHeight="false" outlineLevel="0" collapsed="false">
      <c r="A18" s="8" t="s">
        <v>132</v>
      </c>
      <c r="B18" s="8" t="s">
        <v>133</v>
      </c>
      <c r="C18" s="9" t="n">
        <v>37</v>
      </c>
      <c r="D18" s="8" t="s">
        <v>46</v>
      </c>
      <c r="E18" s="8" t="s">
        <v>468</v>
      </c>
      <c r="F18" s="8" t="s">
        <v>145</v>
      </c>
      <c r="G18" s="9" t="n">
        <v>75</v>
      </c>
      <c r="H18" s="10" t="n">
        <v>45631</v>
      </c>
    </row>
    <row r="19" customFormat="false" ht="15" hidden="false" customHeight="false" outlineLevel="0" collapsed="false">
      <c r="A19" s="8" t="s">
        <v>136</v>
      </c>
      <c r="B19" s="8" t="s">
        <v>137</v>
      </c>
      <c r="C19" s="9" t="n">
        <v>43</v>
      </c>
      <c r="D19" s="8" t="s">
        <v>46</v>
      </c>
      <c r="E19" s="8" t="s">
        <v>561</v>
      </c>
      <c r="F19" s="8" t="s">
        <v>394</v>
      </c>
      <c r="G19" s="9" t="n">
        <v>75</v>
      </c>
      <c r="H19" s="10" t="n">
        <v>45638</v>
      </c>
    </row>
    <row r="20" customFormat="false" ht="15" hidden="false" customHeight="false" outlineLevel="0" collapsed="false">
      <c r="A20" s="8" t="s">
        <v>140</v>
      </c>
      <c r="B20" s="8" t="s">
        <v>141</v>
      </c>
      <c r="C20" s="9" t="n">
        <v>59</v>
      </c>
      <c r="D20" s="8" t="s">
        <v>90</v>
      </c>
      <c r="E20" s="8" t="s">
        <v>72</v>
      </c>
      <c r="F20" s="8" t="s">
        <v>214</v>
      </c>
      <c r="G20" s="9" t="n">
        <v>970</v>
      </c>
      <c r="H20" s="10" t="n">
        <v>46031</v>
      </c>
    </row>
    <row r="21" customFormat="false" ht="15" hidden="false" customHeight="false" outlineLevel="0" collapsed="false">
      <c r="A21" s="8" t="s">
        <v>142</v>
      </c>
      <c r="B21" s="8" t="s">
        <v>143</v>
      </c>
      <c r="C21" s="9" t="n">
        <v>31</v>
      </c>
      <c r="D21" s="8" t="s">
        <v>90</v>
      </c>
      <c r="E21" s="8" t="s">
        <v>468</v>
      </c>
      <c r="F21" s="8" t="s">
        <v>145</v>
      </c>
      <c r="G21" s="9" t="n">
        <v>75</v>
      </c>
      <c r="H21" s="10" t="n">
        <v>46155</v>
      </c>
    </row>
    <row r="22" customFormat="false" ht="15" hidden="false" customHeight="false" outlineLevel="0" collapsed="false">
      <c r="A22" s="8" t="s">
        <v>146</v>
      </c>
      <c r="B22" s="8" t="s">
        <v>147</v>
      </c>
      <c r="C22" s="9" t="n">
        <v>52</v>
      </c>
      <c r="D22" s="8" t="s">
        <v>90</v>
      </c>
      <c r="E22" s="8" t="s">
        <v>148</v>
      </c>
      <c r="F22" s="8" t="s">
        <v>646</v>
      </c>
      <c r="G22" s="9" t="n">
        <v>80</v>
      </c>
      <c r="H22" s="10" t="n">
        <v>46079</v>
      </c>
    </row>
    <row r="23" customFormat="false" ht="15" hidden="false" customHeight="false" outlineLevel="0" collapsed="false">
      <c r="A23" s="8" t="s">
        <v>150</v>
      </c>
      <c r="B23" s="8" t="s">
        <v>151</v>
      </c>
      <c r="C23" s="9" t="n">
        <v>50</v>
      </c>
      <c r="D23" s="8" t="s">
        <v>90</v>
      </c>
      <c r="E23" s="8" t="s">
        <v>427</v>
      </c>
      <c r="F23" s="8" t="s">
        <v>277</v>
      </c>
      <c r="G23" s="9" t="n">
        <v>145</v>
      </c>
      <c r="H23" s="10" t="n">
        <v>45582</v>
      </c>
    </row>
    <row r="24" customFormat="false" ht="15" hidden="false" customHeight="false" outlineLevel="0" collapsed="false">
      <c r="A24" s="8" t="s">
        <v>152</v>
      </c>
      <c r="B24" s="8" t="s">
        <v>133</v>
      </c>
      <c r="C24" s="9" t="n">
        <v>48</v>
      </c>
      <c r="D24" s="8" t="s">
        <v>46</v>
      </c>
      <c r="E24" s="8" t="s">
        <v>649</v>
      </c>
      <c r="F24" s="8" t="s">
        <v>154</v>
      </c>
      <c r="G24" s="9" t="n">
        <v>250</v>
      </c>
      <c r="H24" s="10" t="n">
        <v>45957</v>
      </c>
    </row>
    <row r="25" customFormat="false" ht="15" hidden="false" customHeight="false" outlineLevel="0" collapsed="false">
      <c r="A25" s="8" t="s">
        <v>155</v>
      </c>
      <c r="B25" s="8" t="s">
        <v>156</v>
      </c>
      <c r="C25" s="9" t="n">
        <v>33</v>
      </c>
      <c r="D25" s="8" t="s">
        <v>46</v>
      </c>
      <c r="E25" s="8" t="s">
        <v>468</v>
      </c>
      <c r="F25" s="8" t="s">
        <v>145</v>
      </c>
      <c r="G25" s="9" t="n">
        <v>30</v>
      </c>
      <c r="H25" s="10" t="n">
        <v>45852</v>
      </c>
    </row>
    <row r="26" customFormat="false" ht="15" hidden="false" customHeight="false" outlineLevel="0" collapsed="false">
      <c r="A26" s="8" t="s">
        <v>158</v>
      </c>
      <c r="B26" s="8" t="s">
        <v>159</v>
      </c>
      <c r="C26" s="9" t="n">
        <v>34</v>
      </c>
      <c r="D26" s="8" t="s">
        <v>90</v>
      </c>
      <c r="E26" s="8" t="s">
        <v>72</v>
      </c>
      <c r="F26" s="8" t="s">
        <v>214</v>
      </c>
      <c r="G26" s="9" t="n">
        <v>635</v>
      </c>
      <c r="H26" s="10" t="n">
        <v>45595</v>
      </c>
    </row>
    <row r="27" customFormat="false" ht="15" hidden="false" customHeight="false" outlineLevel="0" collapsed="false">
      <c r="A27" s="8" t="s">
        <v>160</v>
      </c>
      <c r="B27" s="8" t="s">
        <v>161</v>
      </c>
      <c r="C27" s="9" t="n">
        <v>38</v>
      </c>
      <c r="D27" s="8" t="s">
        <v>90</v>
      </c>
      <c r="E27" s="8" t="s">
        <v>49</v>
      </c>
      <c r="F27" s="8" t="s">
        <v>52</v>
      </c>
      <c r="G27" s="9" t="n">
        <v>10</v>
      </c>
      <c r="H27" s="10" t="n">
        <v>46220</v>
      </c>
    </row>
    <row r="28" customFormat="false" ht="15" hidden="false" customHeight="false" outlineLevel="0" collapsed="false">
      <c r="A28" s="8" t="s">
        <v>163</v>
      </c>
      <c r="B28" s="8" t="s">
        <v>164</v>
      </c>
      <c r="C28" s="9" t="n">
        <v>53</v>
      </c>
      <c r="D28" s="8" t="s">
        <v>90</v>
      </c>
      <c r="E28" s="8" t="s">
        <v>501</v>
      </c>
      <c r="F28" s="8" t="s">
        <v>166</v>
      </c>
      <c r="G28" s="9" t="n">
        <v>95</v>
      </c>
      <c r="H28" s="10" t="n">
        <v>45894</v>
      </c>
    </row>
    <row r="29" customFormat="false" ht="15" hidden="false" customHeight="false" outlineLevel="0" collapsed="false">
      <c r="A29" s="8" t="s">
        <v>167</v>
      </c>
      <c r="B29" s="8" t="s">
        <v>168</v>
      </c>
      <c r="C29" s="9" t="n">
        <v>10</v>
      </c>
      <c r="D29" s="8" t="s">
        <v>46</v>
      </c>
      <c r="E29" s="8" t="s">
        <v>72</v>
      </c>
      <c r="F29" s="8" t="s">
        <v>214</v>
      </c>
      <c r="G29" s="9" t="n">
        <v>740</v>
      </c>
      <c r="H29" s="10" t="n">
        <v>46194</v>
      </c>
    </row>
    <row r="30" customFormat="false" ht="15" hidden="false" customHeight="false" outlineLevel="0" collapsed="false">
      <c r="A30" s="8" t="s">
        <v>169</v>
      </c>
      <c r="B30" s="8" t="s">
        <v>170</v>
      </c>
      <c r="C30" s="9" t="n">
        <v>27</v>
      </c>
      <c r="D30" s="8" t="s">
        <v>90</v>
      </c>
      <c r="E30" s="8" t="s">
        <v>501</v>
      </c>
      <c r="F30" s="8" t="s">
        <v>166</v>
      </c>
      <c r="G30" s="9" t="n">
        <v>85</v>
      </c>
      <c r="H30" s="10" t="n">
        <v>45626</v>
      </c>
    </row>
    <row r="31" customFormat="false" ht="15" hidden="false" customHeight="false" outlineLevel="0" collapsed="false">
      <c r="A31" s="8" t="s">
        <v>173</v>
      </c>
      <c r="B31" s="8" t="s">
        <v>174</v>
      </c>
      <c r="C31" s="9" t="n">
        <v>38</v>
      </c>
      <c r="D31" s="8" t="s">
        <v>46</v>
      </c>
      <c r="E31" s="8" t="s">
        <v>68</v>
      </c>
      <c r="F31" s="8" t="s">
        <v>69</v>
      </c>
      <c r="G31" s="9" t="n">
        <v>235</v>
      </c>
      <c r="H31" s="10" t="n">
        <v>45956</v>
      </c>
    </row>
    <row r="32" customFormat="false" ht="15" hidden="false" customHeight="false" outlineLevel="0" collapsed="false">
      <c r="A32" s="8" t="s">
        <v>176</v>
      </c>
      <c r="B32" s="8" t="s">
        <v>177</v>
      </c>
      <c r="C32" s="9" t="n">
        <v>61</v>
      </c>
      <c r="D32" s="8" t="s">
        <v>46</v>
      </c>
      <c r="E32" s="8" t="s">
        <v>378</v>
      </c>
      <c r="F32" s="8" t="s">
        <v>115</v>
      </c>
      <c r="G32" s="9" t="n">
        <v>290</v>
      </c>
      <c r="H32" s="10" t="n">
        <v>46147</v>
      </c>
    </row>
    <row r="33" customFormat="false" ht="15" hidden="false" customHeight="false" outlineLevel="0" collapsed="false">
      <c r="A33" s="8" t="s">
        <v>179</v>
      </c>
      <c r="B33" s="8" t="s">
        <v>180</v>
      </c>
      <c r="C33" s="9" t="n">
        <v>46</v>
      </c>
      <c r="D33" s="8" t="s">
        <v>90</v>
      </c>
      <c r="E33" s="8" t="s">
        <v>468</v>
      </c>
      <c r="F33" s="8" t="s">
        <v>145</v>
      </c>
      <c r="G33" s="9" t="n">
        <v>25</v>
      </c>
      <c r="H33" s="10" t="n">
        <v>45670</v>
      </c>
    </row>
    <row r="34" customFormat="false" ht="15" hidden="false" customHeight="false" outlineLevel="0" collapsed="false">
      <c r="A34" s="8" t="s">
        <v>181</v>
      </c>
      <c r="B34" s="8" t="s">
        <v>182</v>
      </c>
      <c r="C34" s="9" t="n">
        <v>14</v>
      </c>
      <c r="D34" s="8" t="s">
        <v>90</v>
      </c>
      <c r="E34" s="8" t="s">
        <v>501</v>
      </c>
      <c r="F34" s="8" t="s">
        <v>647</v>
      </c>
      <c r="G34" s="9" t="n">
        <v>115</v>
      </c>
      <c r="H34" s="10" t="n">
        <v>45622</v>
      </c>
    </row>
    <row r="35" customFormat="false" ht="15" hidden="false" customHeight="false" outlineLevel="0" collapsed="false">
      <c r="A35" s="8" t="s">
        <v>184</v>
      </c>
      <c r="B35" s="8" t="s">
        <v>185</v>
      </c>
      <c r="C35" s="9" t="n">
        <v>52</v>
      </c>
      <c r="D35" s="8" t="s">
        <v>46</v>
      </c>
      <c r="E35" s="8" t="s">
        <v>186</v>
      </c>
      <c r="F35" s="8" t="s">
        <v>262</v>
      </c>
      <c r="G35" s="9" t="n">
        <v>5</v>
      </c>
      <c r="H35" s="10" t="n">
        <v>46011</v>
      </c>
    </row>
    <row r="36" customFormat="false" ht="15" hidden="false" customHeight="false" outlineLevel="0" collapsed="false">
      <c r="A36" s="8" t="s">
        <v>188</v>
      </c>
      <c r="B36" s="8" t="s">
        <v>189</v>
      </c>
      <c r="C36" s="9" t="n">
        <v>33</v>
      </c>
      <c r="D36" s="8" t="s">
        <v>46</v>
      </c>
      <c r="E36" s="8" t="s">
        <v>647</v>
      </c>
      <c r="F36" s="8" t="s">
        <v>145</v>
      </c>
      <c r="G36" s="9" t="n">
        <v>60</v>
      </c>
      <c r="H36" s="10" t="n">
        <v>45739</v>
      </c>
    </row>
    <row r="37" customFormat="false" ht="15" hidden="false" customHeight="false" outlineLevel="0" collapsed="false">
      <c r="A37" s="8" t="s">
        <v>191</v>
      </c>
      <c r="B37" s="8" t="s">
        <v>192</v>
      </c>
      <c r="C37" s="9" t="n">
        <v>46</v>
      </c>
      <c r="D37" s="8" t="s">
        <v>90</v>
      </c>
      <c r="E37" s="8" t="s">
        <v>49</v>
      </c>
      <c r="F37" s="8" t="s">
        <v>52</v>
      </c>
      <c r="G37" s="9" t="n">
        <v>10</v>
      </c>
      <c r="H37" s="10" t="n">
        <v>45883</v>
      </c>
    </row>
    <row r="38" customFormat="false" ht="15" hidden="false" customHeight="false" outlineLevel="0" collapsed="false">
      <c r="A38" s="8" t="s">
        <v>194</v>
      </c>
      <c r="B38" s="8" t="s">
        <v>195</v>
      </c>
      <c r="C38" s="9" t="n">
        <v>83</v>
      </c>
      <c r="D38" s="8" t="s">
        <v>46</v>
      </c>
      <c r="E38" s="8" t="s">
        <v>298</v>
      </c>
      <c r="F38" s="8" t="s">
        <v>390</v>
      </c>
      <c r="G38" s="9" t="n">
        <v>650</v>
      </c>
      <c r="H38" s="10" t="n">
        <v>46119</v>
      </c>
    </row>
    <row r="39" customFormat="false" ht="15" hidden="false" customHeight="false" outlineLevel="0" collapsed="false">
      <c r="A39" s="8" t="s">
        <v>197</v>
      </c>
      <c r="B39" s="8" t="s">
        <v>198</v>
      </c>
      <c r="C39" s="9" t="n">
        <v>82</v>
      </c>
      <c r="D39" s="8" t="s">
        <v>90</v>
      </c>
      <c r="E39" s="8" t="s">
        <v>68</v>
      </c>
      <c r="F39" s="8" t="s">
        <v>69</v>
      </c>
      <c r="G39" s="9" t="n">
        <v>395</v>
      </c>
      <c r="H39" s="10" t="n">
        <v>45762</v>
      </c>
    </row>
    <row r="40" customFormat="false" ht="15" hidden="false" customHeight="false" outlineLevel="0" collapsed="false">
      <c r="A40" s="8" t="s">
        <v>201</v>
      </c>
      <c r="B40" s="8" t="s">
        <v>202</v>
      </c>
      <c r="C40" s="9" t="n">
        <v>46</v>
      </c>
      <c r="D40" s="8" t="s">
        <v>46</v>
      </c>
      <c r="E40" s="8" t="s">
        <v>427</v>
      </c>
      <c r="F40" s="8" t="s">
        <v>277</v>
      </c>
      <c r="G40" s="9" t="n">
        <v>140</v>
      </c>
      <c r="H40" s="10" t="n">
        <v>45789</v>
      </c>
    </row>
    <row r="41" customFormat="false" ht="15" hidden="false" customHeight="false" outlineLevel="0" collapsed="false">
      <c r="A41" s="8" t="s">
        <v>204</v>
      </c>
      <c r="B41" s="8" t="s">
        <v>205</v>
      </c>
      <c r="C41" s="9" t="n">
        <v>49</v>
      </c>
      <c r="D41" s="8" t="s">
        <v>90</v>
      </c>
      <c r="E41" s="8" t="s">
        <v>49</v>
      </c>
      <c r="F41" s="8" t="s">
        <v>52</v>
      </c>
      <c r="G41" s="9" t="n">
        <v>5</v>
      </c>
      <c r="H41" s="10" t="n">
        <v>45695</v>
      </c>
    </row>
    <row r="42" customFormat="false" ht="15" hidden="false" customHeight="false" outlineLevel="0" collapsed="false">
      <c r="A42" s="8" t="s">
        <v>206</v>
      </c>
      <c r="B42" s="8" t="s">
        <v>207</v>
      </c>
      <c r="C42" s="9" t="n">
        <v>46</v>
      </c>
      <c r="D42" s="8" t="s">
        <v>46</v>
      </c>
      <c r="E42" s="8" t="s">
        <v>49</v>
      </c>
      <c r="F42" s="8" t="s">
        <v>52</v>
      </c>
      <c r="G42" s="9" t="n">
        <v>5</v>
      </c>
      <c r="H42" s="10" t="n">
        <v>46012</v>
      </c>
    </row>
    <row r="43" customFormat="false" ht="15" hidden="false" customHeight="false" outlineLevel="0" collapsed="false">
      <c r="A43" s="8" t="s">
        <v>208</v>
      </c>
      <c r="B43" s="8" t="s">
        <v>209</v>
      </c>
      <c r="C43" s="9" t="n">
        <v>39</v>
      </c>
      <c r="D43" s="8" t="s">
        <v>46</v>
      </c>
      <c r="E43" s="8" t="s">
        <v>186</v>
      </c>
      <c r="F43" s="8" t="s">
        <v>262</v>
      </c>
      <c r="G43" s="9" t="n">
        <v>10</v>
      </c>
      <c r="H43" s="10" t="n">
        <v>45961</v>
      </c>
    </row>
    <row r="44" customFormat="false" ht="15" hidden="false" customHeight="false" outlineLevel="0" collapsed="false">
      <c r="A44" s="8" t="s">
        <v>212</v>
      </c>
      <c r="B44" s="8" t="s">
        <v>213</v>
      </c>
      <c r="C44" s="9" t="n">
        <v>63</v>
      </c>
      <c r="D44" s="8" t="s">
        <v>90</v>
      </c>
      <c r="E44" s="8" t="s">
        <v>72</v>
      </c>
      <c r="F44" s="8" t="s">
        <v>214</v>
      </c>
      <c r="G44" s="9" t="n">
        <v>1000</v>
      </c>
      <c r="H44" s="8"/>
    </row>
    <row r="45" customFormat="false" ht="15" hidden="false" customHeight="false" outlineLevel="0" collapsed="false">
      <c r="A45" s="8" t="s">
        <v>215</v>
      </c>
      <c r="B45" s="8" t="s">
        <v>216</v>
      </c>
      <c r="C45" s="9" t="n">
        <v>51</v>
      </c>
      <c r="D45" s="8" t="s">
        <v>46</v>
      </c>
      <c r="E45" s="8" t="s">
        <v>298</v>
      </c>
      <c r="F45" s="8" t="s">
        <v>390</v>
      </c>
      <c r="G45" s="9" t="n">
        <v>520</v>
      </c>
      <c r="H45" s="10" t="n">
        <v>46114</v>
      </c>
    </row>
    <row r="46" customFormat="false" ht="15" hidden="false" customHeight="false" outlineLevel="0" collapsed="false">
      <c r="A46" s="8" t="s">
        <v>218</v>
      </c>
      <c r="B46" s="8" t="s">
        <v>219</v>
      </c>
      <c r="C46" s="9" t="n">
        <v>34</v>
      </c>
      <c r="D46" s="8" t="s">
        <v>46</v>
      </c>
      <c r="E46" s="8" t="s">
        <v>298</v>
      </c>
      <c r="F46" s="8" t="s">
        <v>390</v>
      </c>
      <c r="G46" s="9" t="n">
        <v>575</v>
      </c>
      <c r="H46" s="10" t="n">
        <v>45753</v>
      </c>
    </row>
    <row r="47" customFormat="false" ht="15" hidden="false" customHeight="false" outlineLevel="0" collapsed="false">
      <c r="A47" s="8" t="s">
        <v>222</v>
      </c>
      <c r="B47" s="8" t="s">
        <v>223</v>
      </c>
      <c r="C47" s="9" t="n">
        <v>42</v>
      </c>
      <c r="D47" s="8" t="s">
        <v>46</v>
      </c>
      <c r="E47" s="8" t="s">
        <v>224</v>
      </c>
      <c r="F47" s="8" t="s">
        <v>650</v>
      </c>
      <c r="G47" s="9" t="n">
        <v>20</v>
      </c>
      <c r="H47" s="10" t="n">
        <v>45803</v>
      </c>
    </row>
    <row r="48" customFormat="false" ht="15" hidden="false" customHeight="false" outlineLevel="0" collapsed="false">
      <c r="A48" s="8" t="s">
        <v>226</v>
      </c>
      <c r="B48" s="8" t="s">
        <v>227</v>
      </c>
      <c r="C48" s="9" t="n">
        <v>73</v>
      </c>
      <c r="D48" s="8" t="s">
        <v>90</v>
      </c>
      <c r="E48" s="8" t="s">
        <v>186</v>
      </c>
      <c r="F48" s="8" t="s">
        <v>262</v>
      </c>
      <c r="G48" s="9" t="n">
        <v>10</v>
      </c>
      <c r="H48" s="10" t="n">
        <v>45760</v>
      </c>
    </row>
    <row r="49" customFormat="false" ht="15" hidden="false" customHeight="false" outlineLevel="0" collapsed="false">
      <c r="A49" s="8" t="s">
        <v>229</v>
      </c>
      <c r="B49" s="8" t="s">
        <v>230</v>
      </c>
      <c r="C49" s="9" t="n">
        <v>86</v>
      </c>
      <c r="D49" s="8" t="s">
        <v>90</v>
      </c>
      <c r="E49" s="8" t="s">
        <v>427</v>
      </c>
      <c r="F49" s="8" t="s">
        <v>277</v>
      </c>
      <c r="G49" s="9" t="n">
        <v>130</v>
      </c>
      <c r="H49" s="10" t="n">
        <v>45908</v>
      </c>
    </row>
    <row r="50" customFormat="false" ht="15" hidden="false" customHeight="false" outlineLevel="0" collapsed="false">
      <c r="A50" s="8" t="s">
        <v>233</v>
      </c>
      <c r="B50" s="8" t="s">
        <v>234</v>
      </c>
      <c r="C50" s="9" t="n">
        <v>50</v>
      </c>
      <c r="D50" s="8" t="s">
        <v>46</v>
      </c>
      <c r="E50" s="8" t="s">
        <v>72</v>
      </c>
      <c r="F50" s="8" t="s">
        <v>214</v>
      </c>
      <c r="G50" s="9" t="n">
        <v>870</v>
      </c>
      <c r="H50" s="10" t="n">
        <v>45913</v>
      </c>
    </row>
    <row r="51" customFormat="false" ht="15" hidden="false" customHeight="false" outlineLevel="0" collapsed="false">
      <c r="A51" s="8" t="s">
        <v>237</v>
      </c>
      <c r="B51" s="8" t="s">
        <v>238</v>
      </c>
      <c r="C51" s="9" t="n">
        <v>54</v>
      </c>
      <c r="D51" s="8" t="s">
        <v>90</v>
      </c>
      <c r="E51" s="8" t="s">
        <v>468</v>
      </c>
      <c r="F51" s="8" t="s">
        <v>145</v>
      </c>
      <c r="G51" s="9" t="n">
        <v>35</v>
      </c>
      <c r="H51" s="10" t="n">
        <v>46159</v>
      </c>
    </row>
    <row r="52" customFormat="false" ht="15" hidden="false" customHeight="false" outlineLevel="0" collapsed="false">
      <c r="A52" s="8" t="s">
        <v>241</v>
      </c>
      <c r="B52" s="8" t="s">
        <v>242</v>
      </c>
      <c r="C52" s="9" t="n">
        <v>73</v>
      </c>
      <c r="D52" s="8" t="s">
        <v>90</v>
      </c>
      <c r="E52" s="8" t="s">
        <v>68</v>
      </c>
      <c r="F52" s="8" t="s">
        <v>69</v>
      </c>
      <c r="G52" s="9" t="n">
        <v>335</v>
      </c>
      <c r="H52" s="10" t="n">
        <v>45666</v>
      </c>
    </row>
    <row r="53" customFormat="false" ht="15" hidden="false" customHeight="false" outlineLevel="0" collapsed="false">
      <c r="A53" s="8" t="s">
        <v>244</v>
      </c>
      <c r="B53" s="8" t="s">
        <v>245</v>
      </c>
      <c r="C53" s="9" t="n">
        <v>24</v>
      </c>
      <c r="D53" s="8" t="s">
        <v>90</v>
      </c>
      <c r="E53" s="8" t="s">
        <v>72</v>
      </c>
      <c r="F53" s="8" t="s">
        <v>214</v>
      </c>
      <c r="G53" s="9" t="n">
        <v>920</v>
      </c>
      <c r="H53" s="10" t="n">
        <v>46029</v>
      </c>
    </row>
    <row r="54" customFormat="false" ht="15" hidden="false" customHeight="false" outlineLevel="0" collapsed="false">
      <c r="A54" s="8" t="s">
        <v>246</v>
      </c>
      <c r="B54" s="8" t="s">
        <v>247</v>
      </c>
      <c r="C54" s="9" t="n">
        <v>46</v>
      </c>
      <c r="D54" s="8" t="s">
        <v>90</v>
      </c>
      <c r="E54" s="8" t="s">
        <v>649</v>
      </c>
      <c r="F54" s="8" t="s">
        <v>154</v>
      </c>
      <c r="G54" s="9" t="n">
        <v>315</v>
      </c>
      <c r="H54" s="10" t="n">
        <v>45805</v>
      </c>
    </row>
    <row r="55" customFormat="false" ht="15" hidden="false" customHeight="false" outlineLevel="0" collapsed="false">
      <c r="A55" s="8" t="s">
        <v>248</v>
      </c>
      <c r="B55" s="8" t="s">
        <v>249</v>
      </c>
      <c r="C55" s="9" t="n">
        <v>16</v>
      </c>
      <c r="D55" s="8" t="s">
        <v>90</v>
      </c>
      <c r="E55" s="8" t="s">
        <v>649</v>
      </c>
      <c r="F55" s="8" t="s">
        <v>154</v>
      </c>
      <c r="G55" s="9" t="n">
        <v>220</v>
      </c>
      <c r="H55" s="10" t="n">
        <v>45816</v>
      </c>
    </row>
    <row r="56" customFormat="false" ht="15" hidden="false" customHeight="false" outlineLevel="0" collapsed="false">
      <c r="A56" s="8" t="s">
        <v>252</v>
      </c>
      <c r="B56" s="8" t="s">
        <v>253</v>
      </c>
      <c r="C56" s="9" t="n">
        <v>31</v>
      </c>
      <c r="D56" s="8" t="s">
        <v>46</v>
      </c>
      <c r="E56" s="8" t="s">
        <v>651</v>
      </c>
      <c r="F56" s="8" t="s">
        <v>323</v>
      </c>
      <c r="G56" s="9" t="n">
        <v>1790</v>
      </c>
      <c r="H56" s="10" t="n">
        <v>46164</v>
      </c>
    </row>
    <row r="57" customFormat="false" ht="15" hidden="false" customHeight="false" outlineLevel="0" collapsed="false">
      <c r="A57" s="8" t="s">
        <v>256</v>
      </c>
      <c r="B57" s="8" t="s">
        <v>257</v>
      </c>
      <c r="C57" s="9" t="n">
        <v>61</v>
      </c>
      <c r="D57" s="8" t="s">
        <v>90</v>
      </c>
      <c r="E57" s="8" t="s">
        <v>649</v>
      </c>
      <c r="F57" s="8" t="s">
        <v>154</v>
      </c>
      <c r="G57" s="9" t="n">
        <v>210</v>
      </c>
      <c r="H57" s="10" t="n">
        <v>45960</v>
      </c>
    </row>
    <row r="58" customFormat="false" ht="15" hidden="false" customHeight="false" outlineLevel="0" collapsed="false">
      <c r="A58" s="8" t="s">
        <v>259</v>
      </c>
      <c r="B58" s="8" t="s">
        <v>260</v>
      </c>
      <c r="C58" s="9" t="n">
        <v>46</v>
      </c>
      <c r="D58" s="8" t="s">
        <v>46</v>
      </c>
      <c r="E58" s="8" t="s">
        <v>186</v>
      </c>
      <c r="F58" s="8" t="s">
        <v>262</v>
      </c>
      <c r="G58" s="9" t="n">
        <v>5</v>
      </c>
      <c r="H58" s="10" t="n">
        <v>45877</v>
      </c>
    </row>
    <row r="59" customFormat="false" ht="15" hidden="false" customHeight="false" outlineLevel="0" collapsed="false">
      <c r="A59" s="8" t="s">
        <v>263</v>
      </c>
      <c r="B59" s="8" t="s">
        <v>264</v>
      </c>
      <c r="C59" s="9" t="n">
        <v>61</v>
      </c>
      <c r="D59" s="8" t="s">
        <v>46</v>
      </c>
      <c r="E59" s="8" t="s">
        <v>72</v>
      </c>
      <c r="F59" s="8" t="s">
        <v>214</v>
      </c>
      <c r="G59" s="9" t="n">
        <v>500</v>
      </c>
      <c r="H59" s="10" t="n">
        <v>45877</v>
      </c>
    </row>
    <row r="60" customFormat="false" ht="15" hidden="false" customHeight="false" outlineLevel="0" collapsed="false">
      <c r="A60" s="8" t="s">
        <v>265</v>
      </c>
      <c r="B60" s="8" t="s">
        <v>266</v>
      </c>
      <c r="C60" s="9" t="n">
        <v>58</v>
      </c>
      <c r="D60" s="8" t="s">
        <v>90</v>
      </c>
      <c r="E60" s="8" t="s">
        <v>49</v>
      </c>
      <c r="F60" s="8" t="s">
        <v>52</v>
      </c>
      <c r="G60" s="9" t="n">
        <v>10</v>
      </c>
      <c r="H60" s="10" t="n">
        <v>46162</v>
      </c>
    </row>
    <row r="61" customFormat="false" ht="15" hidden="false" customHeight="false" outlineLevel="0" collapsed="false">
      <c r="A61" s="8" t="s">
        <v>267</v>
      </c>
      <c r="B61" s="8" t="s">
        <v>652</v>
      </c>
      <c r="C61" s="9" t="n">
        <v>67</v>
      </c>
      <c r="D61" s="8" t="s">
        <v>90</v>
      </c>
      <c r="E61" s="8" t="s">
        <v>68</v>
      </c>
      <c r="F61" s="8" t="s">
        <v>69</v>
      </c>
      <c r="G61" s="9" t="n">
        <v>310</v>
      </c>
      <c r="H61" s="10" t="n">
        <v>45598</v>
      </c>
    </row>
    <row r="62" customFormat="false" ht="15" hidden="false" customHeight="false" outlineLevel="0" collapsed="false">
      <c r="A62" s="8" t="s">
        <v>269</v>
      </c>
      <c r="B62" s="8" t="s">
        <v>270</v>
      </c>
      <c r="C62" s="9" t="n">
        <v>40</v>
      </c>
      <c r="D62" s="8" t="s">
        <v>46</v>
      </c>
      <c r="E62" s="8" t="s">
        <v>49</v>
      </c>
      <c r="F62" s="8" t="s">
        <v>52</v>
      </c>
      <c r="G62" s="9" t="n">
        <v>5</v>
      </c>
      <c r="H62" s="10" t="n">
        <v>45868</v>
      </c>
    </row>
    <row r="63" customFormat="false" ht="15" hidden="false" customHeight="false" outlineLevel="0" collapsed="false">
      <c r="A63" s="8" t="s">
        <v>271</v>
      </c>
      <c r="B63" s="8" t="s">
        <v>272</v>
      </c>
      <c r="C63" s="9" t="n">
        <v>75</v>
      </c>
      <c r="D63" s="8" t="s">
        <v>90</v>
      </c>
      <c r="E63" s="8" t="s">
        <v>298</v>
      </c>
      <c r="F63" s="8" t="s">
        <v>390</v>
      </c>
      <c r="G63" s="9" t="n">
        <v>515</v>
      </c>
      <c r="H63" s="10" t="n">
        <v>46184</v>
      </c>
    </row>
    <row r="64" customFormat="false" ht="15" hidden="false" customHeight="false" outlineLevel="0" collapsed="false">
      <c r="A64" s="8" t="s">
        <v>273</v>
      </c>
      <c r="B64" s="8" t="s">
        <v>274</v>
      </c>
      <c r="C64" s="9" t="n">
        <v>40</v>
      </c>
      <c r="D64" s="8" t="s">
        <v>90</v>
      </c>
      <c r="E64" s="8" t="s">
        <v>186</v>
      </c>
      <c r="F64" s="8" t="s">
        <v>262</v>
      </c>
      <c r="G64" s="9" t="n">
        <v>5</v>
      </c>
      <c r="H64" s="10" t="n">
        <v>45611</v>
      </c>
    </row>
    <row r="65" customFormat="false" ht="15" hidden="false" customHeight="false" outlineLevel="0" collapsed="false">
      <c r="A65" s="8" t="s">
        <v>275</v>
      </c>
      <c r="B65" s="8" t="s">
        <v>276</v>
      </c>
      <c r="C65" s="9" t="n">
        <v>54</v>
      </c>
      <c r="D65" s="8" t="s">
        <v>46</v>
      </c>
      <c r="E65" s="8" t="s">
        <v>427</v>
      </c>
      <c r="F65" s="8" t="s">
        <v>277</v>
      </c>
      <c r="G65" s="9" t="n">
        <v>140</v>
      </c>
      <c r="H65" s="10" t="n">
        <v>46006</v>
      </c>
    </row>
    <row r="66" customFormat="false" ht="15" hidden="false" customHeight="false" outlineLevel="0" collapsed="false">
      <c r="A66" s="8" t="s">
        <v>278</v>
      </c>
      <c r="B66" s="8" t="s">
        <v>279</v>
      </c>
      <c r="C66" s="9" t="n">
        <v>32</v>
      </c>
      <c r="D66" s="8" t="s">
        <v>46</v>
      </c>
      <c r="E66" s="8" t="s">
        <v>72</v>
      </c>
      <c r="F66" s="8" t="s">
        <v>214</v>
      </c>
      <c r="G66" s="9" t="n">
        <v>750</v>
      </c>
      <c r="H66" s="8"/>
    </row>
    <row r="67" customFormat="false" ht="15" hidden="false" customHeight="false" outlineLevel="0" collapsed="false">
      <c r="A67" s="8" t="s">
        <v>280</v>
      </c>
      <c r="B67" s="8" t="s">
        <v>281</v>
      </c>
      <c r="C67" s="9" t="n">
        <v>55</v>
      </c>
      <c r="D67" s="8" t="s">
        <v>46</v>
      </c>
      <c r="E67" s="8" t="s">
        <v>49</v>
      </c>
      <c r="F67" s="8" t="s">
        <v>52</v>
      </c>
      <c r="G67" s="9" t="n">
        <v>5</v>
      </c>
      <c r="H67" s="10" t="n">
        <v>46100</v>
      </c>
    </row>
    <row r="68" customFormat="false" ht="15" hidden="false" customHeight="false" outlineLevel="0" collapsed="false">
      <c r="A68" s="8" t="s">
        <v>282</v>
      </c>
      <c r="B68" s="8" t="s">
        <v>283</v>
      </c>
      <c r="C68" s="9" t="n">
        <v>46</v>
      </c>
      <c r="D68" s="8" t="s">
        <v>46</v>
      </c>
      <c r="E68" s="8" t="s">
        <v>72</v>
      </c>
      <c r="F68" s="8" t="s">
        <v>214</v>
      </c>
      <c r="G68" s="9" t="n">
        <v>780</v>
      </c>
      <c r="H68" s="10" t="n">
        <v>45985</v>
      </c>
    </row>
    <row r="69" customFormat="false" ht="15" hidden="false" customHeight="false" outlineLevel="0" collapsed="false">
      <c r="A69" s="8" t="s">
        <v>284</v>
      </c>
      <c r="B69" s="8" t="s">
        <v>99</v>
      </c>
      <c r="C69" s="9" t="n">
        <v>58</v>
      </c>
      <c r="D69" s="8" t="s">
        <v>46</v>
      </c>
      <c r="E69" s="8" t="s">
        <v>427</v>
      </c>
      <c r="F69" s="8" t="s">
        <v>277</v>
      </c>
      <c r="G69" s="9" t="n">
        <v>185</v>
      </c>
      <c r="H69" s="10" t="n">
        <v>46145</v>
      </c>
    </row>
    <row r="70" customFormat="false" ht="15" hidden="false" customHeight="false" outlineLevel="0" collapsed="false">
      <c r="A70" s="8" t="s">
        <v>285</v>
      </c>
      <c r="B70" s="8" t="s">
        <v>286</v>
      </c>
      <c r="C70" s="9" t="n">
        <v>89</v>
      </c>
      <c r="D70" s="8" t="s">
        <v>90</v>
      </c>
      <c r="E70" s="8" t="s">
        <v>49</v>
      </c>
      <c r="F70" s="8" t="s">
        <v>52</v>
      </c>
      <c r="G70" s="9" t="n">
        <v>10</v>
      </c>
      <c r="H70" s="10" t="n">
        <v>46121</v>
      </c>
    </row>
    <row r="71" customFormat="false" ht="15" hidden="false" customHeight="false" outlineLevel="0" collapsed="false">
      <c r="A71" s="8" t="s">
        <v>287</v>
      </c>
      <c r="B71" s="8" t="s">
        <v>288</v>
      </c>
      <c r="C71" s="9" t="n">
        <v>31</v>
      </c>
      <c r="D71" s="8" t="s">
        <v>90</v>
      </c>
      <c r="E71" s="8" t="s">
        <v>468</v>
      </c>
      <c r="F71" s="8" t="s">
        <v>145</v>
      </c>
      <c r="G71" s="9" t="n">
        <v>50</v>
      </c>
      <c r="H71" s="10" t="n">
        <v>46166</v>
      </c>
    </row>
    <row r="72" customFormat="false" ht="15" hidden="false" customHeight="false" outlineLevel="0" collapsed="false">
      <c r="A72" s="8" t="s">
        <v>289</v>
      </c>
      <c r="B72" s="8" t="s">
        <v>290</v>
      </c>
      <c r="C72" s="9" t="n">
        <v>46</v>
      </c>
      <c r="D72" s="8" t="s">
        <v>90</v>
      </c>
      <c r="E72" s="8" t="s">
        <v>647</v>
      </c>
      <c r="F72" s="8" t="s">
        <v>277</v>
      </c>
      <c r="G72" s="9" t="n">
        <v>165</v>
      </c>
      <c r="H72" s="10" t="n">
        <v>45715</v>
      </c>
    </row>
    <row r="73" customFormat="false" ht="15" hidden="false" customHeight="false" outlineLevel="0" collapsed="false">
      <c r="A73" s="8" t="s">
        <v>291</v>
      </c>
      <c r="B73" s="8" t="s">
        <v>71</v>
      </c>
      <c r="C73" s="9" t="n">
        <v>42</v>
      </c>
      <c r="D73" s="8" t="s">
        <v>46</v>
      </c>
      <c r="E73" s="8" t="s">
        <v>72</v>
      </c>
      <c r="F73" s="8" t="s">
        <v>214</v>
      </c>
      <c r="G73" s="9" t="n">
        <v>1000</v>
      </c>
      <c r="H73" s="10" t="n">
        <v>46254</v>
      </c>
    </row>
    <row r="74" customFormat="false" ht="15" hidden="false" customHeight="false" outlineLevel="0" collapsed="false">
      <c r="A74" s="8" t="s">
        <v>292</v>
      </c>
      <c r="B74" s="8" t="s">
        <v>293</v>
      </c>
      <c r="C74" s="9" t="n">
        <v>41</v>
      </c>
      <c r="D74" s="8" t="s">
        <v>90</v>
      </c>
      <c r="E74" s="8" t="s">
        <v>49</v>
      </c>
      <c r="F74" s="8" t="s">
        <v>52</v>
      </c>
      <c r="G74" s="9" t="n">
        <v>5</v>
      </c>
      <c r="H74" s="10" t="n">
        <v>46246</v>
      </c>
    </row>
    <row r="75" customFormat="false" ht="15" hidden="false" customHeight="false" outlineLevel="0" collapsed="false">
      <c r="A75" s="8" t="s">
        <v>294</v>
      </c>
      <c r="B75" s="8" t="s">
        <v>295</v>
      </c>
      <c r="C75" s="9" t="n">
        <v>20</v>
      </c>
      <c r="D75" s="8" t="s">
        <v>46</v>
      </c>
      <c r="E75" s="8" t="s">
        <v>49</v>
      </c>
      <c r="F75" s="8" t="s">
        <v>52</v>
      </c>
      <c r="G75" s="9" t="n">
        <v>5</v>
      </c>
      <c r="H75" s="10" t="n">
        <v>45832</v>
      </c>
    </row>
    <row r="76" customFormat="false" ht="15" hidden="false" customHeight="false" outlineLevel="0" collapsed="false">
      <c r="A76" s="8" t="s">
        <v>296</v>
      </c>
      <c r="B76" s="8" t="s">
        <v>297</v>
      </c>
      <c r="C76" s="9" t="n">
        <v>32</v>
      </c>
      <c r="D76" s="8" t="s">
        <v>46</v>
      </c>
      <c r="E76" s="8" t="s">
        <v>298</v>
      </c>
      <c r="F76" s="8" t="s">
        <v>390</v>
      </c>
      <c r="G76" s="9" t="n">
        <v>605</v>
      </c>
      <c r="H76" s="10" t="n">
        <v>45754</v>
      </c>
    </row>
    <row r="77" customFormat="false" ht="15" hidden="false" customHeight="false" outlineLevel="0" collapsed="false">
      <c r="A77" s="8" t="s">
        <v>300</v>
      </c>
      <c r="B77" s="8" t="s">
        <v>301</v>
      </c>
      <c r="C77" s="9" t="n">
        <v>45</v>
      </c>
      <c r="D77" s="8" t="s">
        <v>90</v>
      </c>
      <c r="E77" s="8" t="s">
        <v>72</v>
      </c>
      <c r="F77" s="8" t="s">
        <v>214</v>
      </c>
      <c r="G77" s="9" t="n">
        <v>575</v>
      </c>
      <c r="H77" s="10" t="n">
        <v>46015</v>
      </c>
    </row>
    <row r="78" customFormat="false" ht="15" hidden="false" customHeight="false" outlineLevel="0" collapsed="false">
      <c r="A78" s="8" t="s">
        <v>302</v>
      </c>
      <c r="B78" s="8" t="s">
        <v>245</v>
      </c>
      <c r="C78" s="9" t="n">
        <v>4</v>
      </c>
      <c r="D78" s="8" t="s">
        <v>90</v>
      </c>
      <c r="E78" s="8" t="s">
        <v>501</v>
      </c>
      <c r="F78" s="8" t="s">
        <v>166</v>
      </c>
      <c r="G78" s="9" t="n">
        <v>80</v>
      </c>
      <c r="H78" s="10" t="n">
        <v>45768</v>
      </c>
    </row>
    <row r="79" customFormat="false" ht="15" hidden="false" customHeight="false" outlineLevel="0" collapsed="false">
      <c r="A79" s="8" t="s">
        <v>303</v>
      </c>
      <c r="B79" s="8" t="s">
        <v>304</v>
      </c>
      <c r="C79" s="9" t="n">
        <v>37</v>
      </c>
      <c r="D79" s="8" t="s">
        <v>46</v>
      </c>
      <c r="E79" s="8" t="s">
        <v>649</v>
      </c>
      <c r="F79" s="8" t="s">
        <v>154</v>
      </c>
      <c r="G79" s="9" t="n">
        <v>285</v>
      </c>
      <c r="H79" s="10" t="n">
        <v>45666</v>
      </c>
    </row>
    <row r="80" customFormat="false" ht="15" hidden="false" customHeight="false" outlineLevel="0" collapsed="false">
      <c r="A80" s="8" t="s">
        <v>305</v>
      </c>
      <c r="B80" s="8" t="s">
        <v>306</v>
      </c>
      <c r="C80" s="9" t="n">
        <v>11</v>
      </c>
      <c r="D80" s="8" t="s">
        <v>46</v>
      </c>
      <c r="E80" s="8" t="s">
        <v>468</v>
      </c>
      <c r="F80" s="8" t="s">
        <v>145</v>
      </c>
      <c r="G80" s="9" t="n">
        <v>35</v>
      </c>
      <c r="H80" s="10" t="n">
        <v>46194</v>
      </c>
    </row>
    <row r="81" customFormat="false" ht="15" hidden="false" customHeight="false" outlineLevel="0" collapsed="false">
      <c r="A81" s="8" t="s">
        <v>308</v>
      </c>
      <c r="B81" s="8" t="s">
        <v>309</v>
      </c>
      <c r="C81" s="9" t="n">
        <v>46</v>
      </c>
      <c r="D81" s="8" t="s">
        <v>648</v>
      </c>
      <c r="E81" s="8" t="s">
        <v>49</v>
      </c>
      <c r="F81" s="8" t="s">
        <v>52</v>
      </c>
      <c r="G81" s="9" t="n">
        <v>10</v>
      </c>
      <c r="H81" s="10" t="n">
        <v>45829</v>
      </c>
    </row>
    <row r="82" customFormat="false" ht="15" hidden="false" customHeight="false" outlineLevel="0" collapsed="false">
      <c r="A82" s="8" t="s">
        <v>310</v>
      </c>
      <c r="B82" s="8" t="s">
        <v>311</v>
      </c>
      <c r="C82" s="9" t="n">
        <v>32</v>
      </c>
      <c r="D82" s="8" t="s">
        <v>46</v>
      </c>
      <c r="E82" s="8" t="s">
        <v>378</v>
      </c>
      <c r="F82" s="8" t="s">
        <v>115</v>
      </c>
      <c r="G82" s="9" t="n">
        <v>285</v>
      </c>
      <c r="H82" s="10" t="n">
        <v>45889</v>
      </c>
    </row>
    <row r="83" customFormat="false" ht="15" hidden="false" customHeight="false" outlineLevel="0" collapsed="false">
      <c r="A83" s="8" t="s">
        <v>313</v>
      </c>
      <c r="B83" s="8" t="s">
        <v>314</v>
      </c>
      <c r="C83" s="9" t="n">
        <v>79</v>
      </c>
      <c r="D83" s="8" t="s">
        <v>46</v>
      </c>
      <c r="E83" s="8" t="s">
        <v>49</v>
      </c>
      <c r="F83" s="8" t="s">
        <v>52</v>
      </c>
      <c r="G83" s="9" t="n">
        <v>5</v>
      </c>
      <c r="H83" s="10" t="n">
        <v>46228</v>
      </c>
    </row>
    <row r="84" customFormat="false" ht="15" hidden="false" customHeight="false" outlineLevel="0" collapsed="false">
      <c r="A84" s="8" t="s">
        <v>315</v>
      </c>
      <c r="B84" s="8" t="s">
        <v>316</v>
      </c>
      <c r="C84" s="9" t="n">
        <v>60</v>
      </c>
      <c r="D84" s="8" t="s">
        <v>90</v>
      </c>
      <c r="E84" s="8" t="s">
        <v>68</v>
      </c>
      <c r="F84" s="8" t="s">
        <v>69</v>
      </c>
      <c r="G84" s="9" t="n">
        <v>360</v>
      </c>
      <c r="H84" s="10" t="n">
        <v>45972</v>
      </c>
    </row>
    <row r="85" customFormat="false" ht="15" hidden="false" customHeight="false" outlineLevel="0" collapsed="false">
      <c r="A85" s="8" t="s">
        <v>318</v>
      </c>
      <c r="B85" s="8" t="s">
        <v>319</v>
      </c>
      <c r="C85" s="9" t="n">
        <v>22</v>
      </c>
      <c r="D85" s="8" t="s">
        <v>90</v>
      </c>
      <c r="E85" s="8" t="s">
        <v>72</v>
      </c>
      <c r="F85" s="8" t="s">
        <v>214</v>
      </c>
      <c r="G85" s="9" t="n">
        <v>645</v>
      </c>
      <c r="H85" s="10" t="n">
        <v>45831</v>
      </c>
    </row>
    <row r="86" customFormat="false" ht="15" hidden="false" customHeight="false" outlineLevel="0" collapsed="false">
      <c r="A86" s="8" t="s">
        <v>320</v>
      </c>
      <c r="B86" s="8" t="s">
        <v>108</v>
      </c>
      <c r="C86" s="9" t="n">
        <v>28</v>
      </c>
      <c r="D86" s="8" t="s">
        <v>90</v>
      </c>
      <c r="E86" s="8" t="s">
        <v>647</v>
      </c>
      <c r="F86" s="8" t="s">
        <v>647</v>
      </c>
      <c r="G86" s="9" t="n">
        <v>30</v>
      </c>
      <c r="H86" s="10" t="n">
        <v>45542</v>
      </c>
    </row>
    <row r="87" customFormat="false" ht="15" hidden="false" customHeight="false" outlineLevel="0" collapsed="false">
      <c r="A87" s="8" t="s">
        <v>321</v>
      </c>
      <c r="B87" s="8" t="s">
        <v>322</v>
      </c>
      <c r="C87" s="9" t="n">
        <v>38</v>
      </c>
      <c r="D87" s="8" t="s">
        <v>46</v>
      </c>
      <c r="E87" s="8" t="s">
        <v>651</v>
      </c>
      <c r="F87" s="8" t="s">
        <v>323</v>
      </c>
      <c r="G87" s="9" t="n">
        <v>595</v>
      </c>
      <c r="H87" s="10" t="n">
        <v>45778</v>
      </c>
    </row>
    <row r="88" customFormat="false" ht="15" hidden="false" customHeight="false" outlineLevel="0" collapsed="false">
      <c r="A88" s="8" t="s">
        <v>324</v>
      </c>
      <c r="B88" s="8" t="s">
        <v>325</v>
      </c>
      <c r="C88" s="9" t="n">
        <v>63</v>
      </c>
      <c r="D88" s="8" t="s">
        <v>90</v>
      </c>
      <c r="E88" s="8" t="s">
        <v>72</v>
      </c>
      <c r="F88" s="8" t="s">
        <v>214</v>
      </c>
      <c r="G88" s="9" t="n">
        <v>880</v>
      </c>
      <c r="H88" s="8"/>
    </row>
    <row r="89" customFormat="false" ht="15" hidden="false" customHeight="false" outlineLevel="0" collapsed="false">
      <c r="A89" s="8" t="s">
        <v>326</v>
      </c>
      <c r="B89" s="8" t="s">
        <v>327</v>
      </c>
      <c r="C89" s="9" t="n">
        <v>46</v>
      </c>
      <c r="D89" s="8" t="s">
        <v>46</v>
      </c>
      <c r="E89" s="8" t="s">
        <v>298</v>
      </c>
      <c r="F89" s="8" t="s">
        <v>390</v>
      </c>
      <c r="G89" s="9" t="n">
        <v>575</v>
      </c>
      <c r="H89" s="10" t="n">
        <v>45889</v>
      </c>
    </row>
    <row r="90" customFormat="false" ht="15" hidden="false" customHeight="false" outlineLevel="0" collapsed="false">
      <c r="A90" s="8" t="s">
        <v>329</v>
      </c>
      <c r="B90" s="8" t="s">
        <v>330</v>
      </c>
      <c r="C90" s="9" t="n">
        <v>52</v>
      </c>
      <c r="D90" s="8" t="s">
        <v>46</v>
      </c>
      <c r="E90" s="8" t="s">
        <v>49</v>
      </c>
      <c r="F90" s="8" t="s">
        <v>52</v>
      </c>
      <c r="G90" s="9" t="n">
        <v>5</v>
      </c>
      <c r="H90" s="10" t="n">
        <v>45806</v>
      </c>
    </row>
    <row r="91" customFormat="false" ht="15" hidden="false" customHeight="false" outlineLevel="0" collapsed="false">
      <c r="A91" s="8" t="s">
        <v>331</v>
      </c>
      <c r="B91" s="8" t="s">
        <v>332</v>
      </c>
      <c r="C91" s="9" t="n">
        <v>49</v>
      </c>
      <c r="D91" s="8" t="s">
        <v>46</v>
      </c>
      <c r="E91" s="8" t="s">
        <v>49</v>
      </c>
      <c r="F91" s="8" t="s">
        <v>52</v>
      </c>
      <c r="G91" s="9" t="n">
        <v>10</v>
      </c>
      <c r="H91" s="10" t="n">
        <v>45669</v>
      </c>
    </row>
    <row r="92" customFormat="false" ht="15" hidden="false" customHeight="false" outlineLevel="0" collapsed="false">
      <c r="A92" s="8" t="s">
        <v>333</v>
      </c>
      <c r="B92" s="8" t="s">
        <v>334</v>
      </c>
      <c r="C92" s="9" t="n">
        <v>59</v>
      </c>
      <c r="D92" s="8" t="s">
        <v>90</v>
      </c>
      <c r="E92" s="8" t="s">
        <v>647</v>
      </c>
      <c r="F92" s="8" t="s">
        <v>145</v>
      </c>
      <c r="G92" s="9" t="n">
        <v>85</v>
      </c>
      <c r="H92" s="10" t="n">
        <v>46231</v>
      </c>
    </row>
    <row r="93" customFormat="false" ht="15" hidden="false" customHeight="false" outlineLevel="0" collapsed="false">
      <c r="A93" s="8" t="s">
        <v>335</v>
      </c>
      <c r="B93" s="8" t="s">
        <v>336</v>
      </c>
      <c r="C93" s="9" t="n">
        <v>49</v>
      </c>
      <c r="D93" s="8" t="s">
        <v>46</v>
      </c>
      <c r="E93" s="8" t="s">
        <v>49</v>
      </c>
      <c r="F93" s="8" t="s">
        <v>52</v>
      </c>
      <c r="G93" s="9" t="n">
        <v>5</v>
      </c>
      <c r="H93" s="10" t="n">
        <v>45770</v>
      </c>
    </row>
    <row r="94" customFormat="false" ht="15" hidden="false" customHeight="false" outlineLevel="0" collapsed="false">
      <c r="A94" s="8" t="s">
        <v>337</v>
      </c>
      <c r="B94" s="8" t="s">
        <v>338</v>
      </c>
      <c r="C94" s="9" t="n">
        <v>78</v>
      </c>
      <c r="D94" s="8" t="s">
        <v>46</v>
      </c>
      <c r="E94" s="8" t="s">
        <v>649</v>
      </c>
      <c r="F94" s="8" t="s">
        <v>154</v>
      </c>
      <c r="G94" s="9" t="n">
        <v>220</v>
      </c>
      <c r="H94" s="10" t="n">
        <v>46094</v>
      </c>
    </row>
    <row r="95" customFormat="false" ht="15" hidden="false" customHeight="false" outlineLevel="0" collapsed="false">
      <c r="A95" s="8" t="s">
        <v>340</v>
      </c>
      <c r="B95" s="8" t="s">
        <v>341</v>
      </c>
      <c r="C95" s="9" t="n">
        <v>52</v>
      </c>
      <c r="D95" s="8" t="s">
        <v>46</v>
      </c>
      <c r="E95" s="8" t="s">
        <v>649</v>
      </c>
      <c r="F95" s="8" t="s">
        <v>154</v>
      </c>
      <c r="G95" s="9" t="n">
        <v>230</v>
      </c>
      <c r="H95" s="10" t="n">
        <v>45976</v>
      </c>
    </row>
    <row r="96" customFormat="false" ht="15" hidden="false" customHeight="false" outlineLevel="0" collapsed="false">
      <c r="A96" s="8" t="s">
        <v>342</v>
      </c>
      <c r="B96" s="8" t="s">
        <v>343</v>
      </c>
      <c r="C96" s="9" t="n">
        <v>52</v>
      </c>
      <c r="D96" s="8" t="s">
        <v>90</v>
      </c>
      <c r="E96" s="8" t="s">
        <v>49</v>
      </c>
      <c r="F96" s="8" t="s">
        <v>52</v>
      </c>
      <c r="G96" s="9" t="n">
        <v>5</v>
      </c>
      <c r="H96" s="10" t="n">
        <v>46079</v>
      </c>
    </row>
    <row r="97" customFormat="false" ht="15" hidden="false" customHeight="false" outlineLevel="0" collapsed="false">
      <c r="A97" s="8" t="s">
        <v>344</v>
      </c>
      <c r="B97" s="8" t="s">
        <v>345</v>
      </c>
      <c r="C97" s="9" t="n">
        <v>64</v>
      </c>
      <c r="D97" s="8" t="s">
        <v>46</v>
      </c>
      <c r="E97" s="8" t="s">
        <v>649</v>
      </c>
      <c r="F97" s="8" t="s">
        <v>154</v>
      </c>
      <c r="G97" s="9" t="n">
        <v>260</v>
      </c>
      <c r="H97" s="10" t="n">
        <v>46223</v>
      </c>
    </row>
    <row r="98" customFormat="false" ht="15" hidden="false" customHeight="false" outlineLevel="0" collapsed="false">
      <c r="A98" s="8" t="s">
        <v>346</v>
      </c>
      <c r="B98" s="8" t="s">
        <v>652</v>
      </c>
      <c r="C98" s="9" t="n">
        <v>47</v>
      </c>
      <c r="D98" s="8" t="s">
        <v>90</v>
      </c>
      <c r="E98" s="8" t="s">
        <v>186</v>
      </c>
      <c r="F98" s="8" t="s">
        <v>262</v>
      </c>
      <c r="G98" s="9" t="n">
        <v>5</v>
      </c>
      <c r="H98" s="10" t="n">
        <v>45677</v>
      </c>
    </row>
    <row r="99" customFormat="false" ht="15" hidden="false" customHeight="false" outlineLevel="0" collapsed="false">
      <c r="A99" s="8" t="s">
        <v>348</v>
      </c>
      <c r="B99" s="8" t="s">
        <v>349</v>
      </c>
      <c r="C99" s="9" t="n">
        <v>27</v>
      </c>
      <c r="D99" s="8" t="s">
        <v>90</v>
      </c>
      <c r="E99" s="8" t="s">
        <v>72</v>
      </c>
      <c r="F99" s="8" t="s">
        <v>214</v>
      </c>
      <c r="G99" s="9" t="n">
        <v>655</v>
      </c>
      <c r="H99" s="10" t="n">
        <v>45613</v>
      </c>
    </row>
    <row r="100" customFormat="false" ht="15" hidden="false" customHeight="false" outlineLevel="0" collapsed="false">
      <c r="A100" s="8" t="s">
        <v>350</v>
      </c>
      <c r="B100" s="8" t="s">
        <v>351</v>
      </c>
      <c r="C100" s="9" t="n">
        <v>87</v>
      </c>
      <c r="D100" s="8" t="s">
        <v>46</v>
      </c>
      <c r="E100" s="8" t="s">
        <v>427</v>
      </c>
      <c r="F100" s="8" t="s">
        <v>277</v>
      </c>
      <c r="G100" s="9" t="n">
        <v>170</v>
      </c>
      <c r="H100" s="10" t="n">
        <v>45884</v>
      </c>
    </row>
    <row r="101" customFormat="false" ht="15" hidden="false" customHeight="false" outlineLevel="0" collapsed="false">
      <c r="A101" s="8" t="s">
        <v>353</v>
      </c>
      <c r="B101" s="8" t="s">
        <v>354</v>
      </c>
      <c r="C101" s="9" t="n">
        <v>45</v>
      </c>
      <c r="D101" s="8" t="s">
        <v>90</v>
      </c>
      <c r="E101" s="8" t="s">
        <v>649</v>
      </c>
      <c r="F101" s="8" t="s">
        <v>154</v>
      </c>
      <c r="G101" s="9" t="n">
        <v>290</v>
      </c>
      <c r="H101" s="10" t="n">
        <v>46129</v>
      </c>
    </row>
    <row r="102" customFormat="false" ht="15" hidden="false" customHeight="false" outlineLevel="0" collapsed="false">
      <c r="A102" s="8" t="s">
        <v>356</v>
      </c>
      <c r="B102" s="8" t="s">
        <v>357</v>
      </c>
      <c r="C102" s="9" t="n">
        <v>60</v>
      </c>
      <c r="D102" s="8" t="s">
        <v>46</v>
      </c>
      <c r="E102" s="8" t="s">
        <v>468</v>
      </c>
      <c r="F102" s="8" t="s">
        <v>145</v>
      </c>
      <c r="G102" s="9" t="n">
        <v>85</v>
      </c>
      <c r="H102" s="10" t="n">
        <v>45942</v>
      </c>
    </row>
    <row r="103" customFormat="false" ht="15" hidden="false" customHeight="false" outlineLevel="0" collapsed="false">
      <c r="A103" s="8" t="s">
        <v>358</v>
      </c>
      <c r="B103" s="8" t="s">
        <v>359</v>
      </c>
      <c r="C103" s="9" t="n">
        <v>46</v>
      </c>
      <c r="D103" s="8" t="s">
        <v>46</v>
      </c>
      <c r="E103" s="8" t="s">
        <v>49</v>
      </c>
      <c r="F103" s="8" t="s">
        <v>52</v>
      </c>
      <c r="G103" s="9" t="n">
        <v>10</v>
      </c>
      <c r="H103" s="10" t="n">
        <v>45548</v>
      </c>
    </row>
    <row r="104" customFormat="false" ht="15" hidden="false" customHeight="false" outlineLevel="0" collapsed="false">
      <c r="A104" s="8" t="s">
        <v>360</v>
      </c>
      <c r="B104" s="8" t="s">
        <v>361</v>
      </c>
      <c r="C104" s="9" t="n">
        <v>51</v>
      </c>
      <c r="D104" s="8" t="s">
        <v>90</v>
      </c>
      <c r="E104" s="8" t="s">
        <v>68</v>
      </c>
      <c r="F104" s="8" t="s">
        <v>69</v>
      </c>
      <c r="G104" s="9" t="n">
        <v>275</v>
      </c>
      <c r="H104" s="10" t="n">
        <v>46020</v>
      </c>
    </row>
    <row r="105" customFormat="false" ht="15" hidden="false" customHeight="false" outlineLevel="0" collapsed="false">
      <c r="A105" s="8" t="s">
        <v>362</v>
      </c>
      <c r="B105" s="8" t="s">
        <v>363</v>
      </c>
      <c r="C105" s="9" t="n">
        <v>50</v>
      </c>
      <c r="D105" s="8" t="s">
        <v>46</v>
      </c>
      <c r="E105" s="8" t="s">
        <v>186</v>
      </c>
      <c r="F105" s="8" t="s">
        <v>262</v>
      </c>
      <c r="G105" s="9" t="n">
        <v>10</v>
      </c>
      <c r="H105" s="10" t="n">
        <v>45829</v>
      </c>
    </row>
    <row r="106" customFormat="false" ht="15" hidden="false" customHeight="false" outlineLevel="0" collapsed="false">
      <c r="A106" s="8" t="s">
        <v>364</v>
      </c>
      <c r="B106" s="8" t="s">
        <v>365</v>
      </c>
      <c r="C106" s="9" t="n">
        <v>44</v>
      </c>
      <c r="D106" s="8" t="s">
        <v>46</v>
      </c>
      <c r="E106" s="8" t="s">
        <v>378</v>
      </c>
      <c r="F106" s="8" t="s">
        <v>115</v>
      </c>
      <c r="G106" s="9" t="n">
        <v>495</v>
      </c>
      <c r="H106" s="10" t="n">
        <v>46192</v>
      </c>
    </row>
    <row r="107" customFormat="false" ht="15" hidden="false" customHeight="false" outlineLevel="0" collapsed="false">
      <c r="A107" s="8" t="s">
        <v>367</v>
      </c>
      <c r="B107" s="8" t="s">
        <v>368</v>
      </c>
      <c r="C107" s="9" t="n">
        <v>55</v>
      </c>
      <c r="D107" s="8" t="s">
        <v>90</v>
      </c>
      <c r="E107" s="8" t="s">
        <v>378</v>
      </c>
      <c r="F107" s="8" t="s">
        <v>647</v>
      </c>
      <c r="G107" s="9" t="n">
        <v>430</v>
      </c>
      <c r="H107" s="10" t="n">
        <v>45767</v>
      </c>
    </row>
    <row r="108" customFormat="false" ht="15" hidden="false" customHeight="false" outlineLevel="0" collapsed="false">
      <c r="A108" s="8" t="s">
        <v>370</v>
      </c>
      <c r="B108" s="8" t="s">
        <v>75</v>
      </c>
      <c r="C108" s="9" t="n">
        <v>38</v>
      </c>
      <c r="D108" s="8" t="s">
        <v>46</v>
      </c>
      <c r="E108" s="8" t="s">
        <v>427</v>
      </c>
      <c r="F108" s="8" t="s">
        <v>277</v>
      </c>
      <c r="G108" s="9" t="n">
        <v>115</v>
      </c>
      <c r="H108" s="10" t="n">
        <v>45907</v>
      </c>
    </row>
    <row r="109" customFormat="false" ht="15" hidden="false" customHeight="false" outlineLevel="0" collapsed="false">
      <c r="A109" s="8" t="s">
        <v>372</v>
      </c>
      <c r="B109" s="8" t="s">
        <v>373</v>
      </c>
      <c r="C109" s="9" t="n">
        <v>25</v>
      </c>
      <c r="D109" s="8" t="s">
        <v>46</v>
      </c>
      <c r="E109" s="8" t="s">
        <v>49</v>
      </c>
      <c r="F109" s="8" t="s">
        <v>52</v>
      </c>
      <c r="G109" s="9" t="n">
        <v>10</v>
      </c>
      <c r="H109" s="8"/>
    </row>
    <row r="110" customFormat="false" ht="15" hidden="false" customHeight="false" outlineLevel="0" collapsed="false">
      <c r="A110" s="8" t="s">
        <v>374</v>
      </c>
      <c r="B110" s="8" t="s">
        <v>375</v>
      </c>
      <c r="C110" s="9" t="n">
        <v>18</v>
      </c>
      <c r="D110" s="8" t="s">
        <v>46</v>
      </c>
      <c r="E110" s="8" t="s">
        <v>468</v>
      </c>
      <c r="F110" s="8" t="s">
        <v>145</v>
      </c>
      <c r="G110" s="9" t="n">
        <v>45</v>
      </c>
      <c r="H110" s="10" t="n">
        <v>45777</v>
      </c>
    </row>
    <row r="111" customFormat="false" ht="15" hidden="false" customHeight="false" outlineLevel="0" collapsed="false">
      <c r="A111" s="8" t="s">
        <v>376</v>
      </c>
      <c r="B111" s="8" t="s">
        <v>377</v>
      </c>
      <c r="C111" s="9" t="n">
        <v>39</v>
      </c>
      <c r="D111" s="8" t="s">
        <v>90</v>
      </c>
      <c r="E111" s="8" t="s">
        <v>378</v>
      </c>
      <c r="F111" s="8" t="s">
        <v>115</v>
      </c>
      <c r="G111" s="9" t="n">
        <v>325</v>
      </c>
      <c r="H111" s="10" t="n">
        <v>45740</v>
      </c>
    </row>
    <row r="112" customFormat="false" ht="15" hidden="false" customHeight="false" outlineLevel="0" collapsed="false">
      <c r="A112" s="8" t="s">
        <v>379</v>
      </c>
      <c r="B112" s="8" t="s">
        <v>380</v>
      </c>
      <c r="C112" s="9" t="n">
        <v>83</v>
      </c>
      <c r="D112" s="8" t="s">
        <v>90</v>
      </c>
      <c r="E112" s="8" t="s">
        <v>72</v>
      </c>
      <c r="F112" s="8" t="s">
        <v>214</v>
      </c>
      <c r="G112" s="9" t="n">
        <v>905</v>
      </c>
      <c r="H112" s="10" t="n">
        <v>45806</v>
      </c>
    </row>
    <row r="113" customFormat="false" ht="15" hidden="false" customHeight="false" outlineLevel="0" collapsed="false">
      <c r="A113" s="8" t="s">
        <v>381</v>
      </c>
      <c r="B113" s="8" t="s">
        <v>382</v>
      </c>
      <c r="C113" s="9" t="n">
        <v>51</v>
      </c>
      <c r="D113" s="8" t="s">
        <v>90</v>
      </c>
      <c r="E113" s="8" t="s">
        <v>49</v>
      </c>
      <c r="F113" s="8" t="s">
        <v>52</v>
      </c>
      <c r="G113" s="9" t="n">
        <v>5</v>
      </c>
      <c r="H113" s="10" t="n">
        <v>45631</v>
      </c>
    </row>
    <row r="114" customFormat="false" ht="15" hidden="false" customHeight="false" outlineLevel="0" collapsed="false">
      <c r="A114" s="8" t="s">
        <v>383</v>
      </c>
      <c r="B114" s="8" t="s">
        <v>384</v>
      </c>
      <c r="C114" s="9" t="n">
        <v>70</v>
      </c>
      <c r="D114" s="8" t="s">
        <v>90</v>
      </c>
      <c r="E114" s="8" t="s">
        <v>378</v>
      </c>
      <c r="F114" s="8" t="s">
        <v>115</v>
      </c>
      <c r="G114" s="9" t="n">
        <v>395</v>
      </c>
      <c r="H114" s="10" t="n">
        <v>45960</v>
      </c>
    </row>
    <row r="115" customFormat="false" ht="15" hidden="false" customHeight="false" outlineLevel="0" collapsed="false">
      <c r="A115" s="8" t="s">
        <v>385</v>
      </c>
      <c r="B115" s="8" t="s">
        <v>386</v>
      </c>
      <c r="C115" s="9" t="n">
        <v>27</v>
      </c>
      <c r="D115" s="8" t="s">
        <v>46</v>
      </c>
      <c r="E115" s="8" t="s">
        <v>378</v>
      </c>
      <c r="F115" s="8" t="s">
        <v>115</v>
      </c>
      <c r="G115" s="9" t="n">
        <v>265</v>
      </c>
      <c r="H115" s="10" t="n">
        <v>45587</v>
      </c>
    </row>
    <row r="116" customFormat="false" ht="15" hidden="false" customHeight="false" outlineLevel="0" collapsed="false">
      <c r="A116" s="8" t="s">
        <v>387</v>
      </c>
      <c r="B116" s="8" t="s">
        <v>338</v>
      </c>
      <c r="C116" s="9" t="n">
        <v>33</v>
      </c>
      <c r="D116" s="8" t="s">
        <v>46</v>
      </c>
      <c r="E116" s="8" t="s">
        <v>72</v>
      </c>
      <c r="F116" s="8" t="s">
        <v>214</v>
      </c>
      <c r="G116" s="9" t="n">
        <v>760</v>
      </c>
      <c r="H116" s="10" t="n">
        <v>46036</v>
      </c>
    </row>
    <row r="117" customFormat="false" ht="15" hidden="false" customHeight="false" outlineLevel="0" collapsed="false">
      <c r="A117" s="8" t="s">
        <v>388</v>
      </c>
      <c r="B117" s="8" t="s">
        <v>389</v>
      </c>
      <c r="C117" s="9" t="n">
        <v>51</v>
      </c>
      <c r="D117" s="8" t="s">
        <v>46</v>
      </c>
      <c r="E117" s="8" t="s">
        <v>298</v>
      </c>
      <c r="F117" s="8" t="s">
        <v>390</v>
      </c>
      <c r="G117" s="9" t="n">
        <v>500</v>
      </c>
      <c r="H117" s="10" t="n">
        <v>45896</v>
      </c>
    </row>
    <row r="118" customFormat="false" ht="15" hidden="false" customHeight="false" outlineLevel="0" collapsed="false">
      <c r="A118" s="8" t="s">
        <v>391</v>
      </c>
      <c r="B118" s="8" t="s">
        <v>392</v>
      </c>
      <c r="C118" s="9" t="n">
        <v>60</v>
      </c>
      <c r="D118" s="8" t="s">
        <v>46</v>
      </c>
      <c r="E118" s="8" t="s">
        <v>561</v>
      </c>
      <c r="F118" s="8" t="s">
        <v>394</v>
      </c>
      <c r="G118" s="9" t="n">
        <v>75</v>
      </c>
      <c r="H118" s="10" t="n">
        <v>46033</v>
      </c>
    </row>
    <row r="119" customFormat="false" ht="15" hidden="false" customHeight="false" outlineLevel="0" collapsed="false">
      <c r="A119" s="8" t="s">
        <v>395</v>
      </c>
      <c r="B119" s="8" t="s">
        <v>396</v>
      </c>
      <c r="C119" s="9" t="n">
        <v>33</v>
      </c>
      <c r="D119" s="8" t="s">
        <v>46</v>
      </c>
      <c r="E119" s="8" t="s">
        <v>49</v>
      </c>
      <c r="F119" s="8" t="s">
        <v>52</v>
      </c>
      <c r="G119" s="9" t="n">
        <v>10</v>
      </c>
      <c r="H119" s="10" t="n">
        <v>46215</v>
      </c>
    </row>
    <row r="120" customFormat="false" ht="15" hidden="false" customHeight="false" outlineLevel="0" collapsed="false">
      <c r="A120" s="8" t="s">
        <v>397</v>
      </c>
      <c r="B120" s="8" t="s">
        <v>398</v>
      </c>
      <c r="C120" s="9" t="n">
        <v>72</v>
      </c>
      <c r="D120" s="8" t="s">
        <v>46</v>
      </c>
      <c r="E120" s="8" t="s">
        <v>427</v>
      </c>
      <c r="F120" s="8" t="s">
        <v>277</v>
      </c>
      <c r="G120" s="9" t="n">
        <v>180</v>
      </c>
      <c r="H120" s="10" t="n">
        <v>45807</v>
      </c>
    </row>
    <row r="121" customFormat="false" ht="15" hidden="false" customHeight="false" outlineLevel="0" collapsed="false">
      <c r="A121" s="8" t="s">
        <v>400</v>
      </c>
      <c r="B121" s="8" t="s">
        <v>401</v>
      </c>
      <c r="C121" s="9" t="n">
        <v>75</v>
      </c>
      <c r="D121" s="8" t="s">
        <v>46</v>
      </c>
      <c r="E121" s="8" t="s">
        <v>49</v>
      </c>
      <c r="F121" s="8" t="s">
        <v>52</v>
      </c>
      <c r="G121" s="9" t="n">
        <v>5</v>
      </c>
      <c r="H121" s="10" t="n">
        <v>46107</v>
      </c>
    </row>
    <row r="122" customFormat="false" ht="15" hidden="false" customHeight="false" outlineLevel="0" collapsed="false">
      <c r="A122" s="8" t="s">
        <v>402</v>
      </c>
      <c r="B122" s="8" t="s">
        <v>202</v>
      </c>
      <c r="C122" s="9" t="n">
        <v>88</v>
      </c>
      <c r="D122" s="8" t="s">
        <v>46</v>
      </c>
      <c r="E122" s="8" t="s">
        <v>298</v>
      </c>
      <c r="F122" s="8" t="s">
        <v>390</v>
      </c>
      <c r="G122" s="9" t="n">
        <v>530</v>
      </c>
      <c r="H122" s="8"/>
    </row>
    <row r="123" customFormat="false" ht="15" hidden="false" customHeight="false" outlineLevel="0" collapsed="false">
      <c r="A123" s="8" t="s">
        <v>403</v>
      </c>
      <c r="B123" s="8" t="s">
        <v>124</v>
      </c>
      <c r="C123" s="9" t="n">
        <v>22</v>
      </c>
      <c r="D123" s="8" t="s">
        <v>90</v>
      </c>
      <c r="E123" s="8" t="s">
        <v>561</v>
      </c>
      <c r="F123" s="8" t="s">
        <v>394</v>
      </c>
      <c r="G123" s="9" t="n">
        <v>55</v>
      </c>
      <c r="H123" s="10" t="n">
        <v>46176</v>
      </c>
    </row>
    <row r="124" customFormat="false" ht="15" hidden="false" customHeight="false" outlineLevel="0" collapsed="false">
      <c r="A124" s="8" t="s">
        <v>404</v>
      </c>
      <c r="B124" s="8" t="s">
        <v>182</v>
      </c>
      <c r="C124" s="9" t="n">
        <v>59</v>
      </c>
      <c r="D124" s="8" t="s">
        <v>90</v>
      </c>
      <c r="E124" s="8" t="s">
        <v>647</v>
      </c>
      <c r="F124" s="8" t="s">
        <v>647</v>
      </c>
      <c r="G124" s="9" t="n">
        <v>115</v>
      </c>
      <c r="H124" s="10" t="n">
        <v>45776</v>
      </c>
    </row>
    <row r="125" customFormat="false" ht="15" hidden="false" customHeight="false" outlineLevel="0" collapsed="false">
      <c r="A125" s="8" t="s">
        <v>405</v>
      </c>
      <c r="B125" s="8" t="s">
        <v>406</v>
      </c>
      <c r="C125" s="9" t="n">
        <v>21</v>
      </c>
      <c r="D125" s="8" t="s">
        <v>90</v>
      </c>
      <c r="E125" s="8" t="s">
        <v>72</v>
      </c>
      <c r="F125" s="8" t="s">
        <v>214</v>
      </c>
      <c r="G125" s="9" t="n">
        <v>875</v>
      </c>
      <c r="H125" s="10" t="n">
        <v>45975</v>
      </c>
    </row>
    <row r="126" customFormat="false" ht="15" hidden="false" customHeight="false" outlineLevel="0" collapsed="false">
      <c r="A126" s="8" t="s">
        <v>407</v>
      </c>
      <c r="B126" s="8" t="s">
        <v>408</v>
      </c>
      <c r="C126" s="9" t="n">
        <v>42</v>
      </c>
      <c r="D126" s="8" t="s">
        <v>46</v>
      </c>
      <c r="E126" s="8" t="s">
        <v>427</v>
      </c>
      <c r="F126" s="8" t="s">
        <v>277</v>
      </c>
      <c r="G126" s="9" t="n">
        <v>145</v>
      </c>
      <c r="H126" s="10" t="n">
        <v>46057</v>
      </c>
    </row>
    <row r="127" customFormat="false" ht="15" hidden="false" customHeight="false" outlineLevel="0" collapsed="false">
      <c r="A127" s="8" t="s">
        <v>409</v>
      </c>
      <c r="B127" s="8" t="s">
        <v>410</v>
      </c>
      <c r="C127" s="9" t="n">
        <v>9</v>
      </c>
      <c r="D127" s="8" t="s">
        <v>648</v>
      </c>
      <c r="E127" s="8" t="s">
        <v>501</v>
      </c>
      <c r="F127" s="8" t="s">
        <v>166</v>
      </c>
      <c r="G127" s="9" t="n">
        <v>65</v>
      </c>
      <c r="H127" s="10" t="n">
        <v>45597</v>
      </c>
    </row>
    <row r="128" customFormat="false" ht="15" hidden="false" customHeight="false" outlineLevel="0" collapsed="false">
      <c r="A128" s="8" t="s">
        <v>411</v>
      </c>
      <c r="B128" s="8" t="s">
        <v>412</v>
      </c>
      <c r="C128" s="9" t="n">
        <v>65</v>
      </c>
      <c r="D128" s="8" t="s">
        <v>46</v>
      </c>
      <c r="E128" s="8" t="s">
        <v>501</v>
      </c>
      <c r="F128" s="8" t="s">
        <v>166</v>
      </c>
      <c r="G128" s="9" t="n">
        <v>105</v>
      </c>
      <c r="H128" s="10" t="n">
        <v>45953</v>
      </c>
    </row>
    <row r="129" customFormat="false" ht="15" hidden="false" customHeight="false" outlineLevel="0" collapsed="false">
      <c r="A129" s="8" t="s">
        <v>414</v>
      </c>
      <c r="B129" s="8" t="s">
        <v>415</v>
      </c>
      <c r="C129" s="9" t="n">
        <v>43</v>
      </c>
      <c r="D129" s="8" t="s">
        <v>46</v>
      </c>
      <c r="E129" s="8" t="s">
        <v>148</v>
      </c>
      <c r="F129" s="8" t="s">
        <v>646</v>
      </c>
      <c r="G129" s="9" t="n">
        <v>65</v>
      </c>
      <c r="H129" s="10" t="n">
        <v>45960</v>
      </c>
    </row>
    <row r="130" customFormat="false" ht="15" hidden="false" customHeight="false" outlineLevel="0" collapsed="false">
      <c r="A130" s="8" t="s">
        <v>416</v>
      </c>
      <c r="B130" s="8" t="s">
        <v>417</v>
      </c>
      <c r="C130" s="9" t="n">
        <v>40</v>
      </c>
      <c r="D130" s="8" t="s">
        <v>90</v>
      </c>
      <c r="E130" s="8" t="s">
        <v>186</v>
      </c>
      <c r="F130" s="8" t="s">
        <v>262</v>
      </c>
      <c r="G130" s="9" t="n">
        <v>10</v>
      </c>
      <c r="H130" s="10" t="n">
        <v>46158</v>
      </c>
    </row>
    <row r="131" customFormat="false" ht="15" hidden="false" customHeight="false" outlineLevel="0" collapsed="false">
      <c r="A131" s="8" t="s">
        <v>418</v>
      </c>
      <c r="B131" s="8" t="s">
        <v>419</v>
      </c>
      <c r="C131" s="9" t="n">
        <v>48</v>
      </c>
      <c r="D131" s="8" t="s">
        <v>46</v>
      </c>
      <c r="E131" s="8" t="s">
        <v>68</v>
      </c>
      <c r="F131" s="8" t="s">
        <v>69</v>
      </c>
      <c r="G131" s="9" t="n">
        <v>400</v>
      </c>
      <c r="H131" s="10" t="n">
        <v>45784</v>
      </c>
    </row>
    <row r="132" customFormat="false" ht="15" hidden="false" customHeight="false" outlineLevel="0" collapsed="false">
      <c r="A132" s="8" t="s">
        <v>421</v>
      </c>
      <c r="B132" s="8" t="s">
        <v>422</v>
      </c>
      <c r="C132" s="9" t="n">
        <v>55</v>
      </c>
      <c r="D132" s="8" t="s">
        <v>90</v>
      </c>
      <c r="E132" s="8" t="s">
        <v>72</v>
      </c>
      <c r="F132" s="8" t="s">
        <v>214</v>
      </c>
      <c r="G132" s="9" t="n">
        <v>565</v>
      </c>
      <c r="H132" s="10" t="n">
        <v>45898</v>
      </c>
    </row>
    <row r="133" customFormat="false" ht="15" hidden="false" customHeight="false" outlineLevel="0" collapsed="false">
      <c r="A133" s="8" t="s">
        <v>423</v>
      </c>
      <c r="B133" s="8" t="s">
        <v>424</v>
      </c>
      <c r="C133" s="9" t="n">
        <v>24</v>
      </c>
      <c r="D133" s="8" t="s">
        <v>90</v>
      </c>
      <c r="E133" s="8" t="s">
        <v>298</v>
      </c>
      <c r="F133" s="8" t="s">
        <v>390</v>
      </c>
      <c r="G133" s="9" t="n">
        <v>580</v>
      </c>
      <c r="H133" s="10" t="n">
        <v>45537</v>
      </c>
    </row>
    <row r="134" customFormat="false" ht="15" hidden="false" customHeight="false" outlineLevel="0" collapsed="false">
      <c r="A134" s="8" t="s">
        <v>425</v>
      </c>
      <c r="B134" s="8" t="s">
        <v>426</v>
      </c>
      <c r="C134" s="9" t="n">
        <v>27</v>
      </c>
      <c r="D134" s="8" t="s">
        <v>46</v>
      </c>
      <c r="E134" s="8" t="s">
        <v>427</v>
      </c>
      <c r="F134" s="8" t="s">
        <v>277</v>
      </c>
      <c r="G134" s="9" t="n">
        <v>135</v>
      </c>
      <c r="H134" s="10" t="n">
        <v>45817</v>
      </c>
    </row>
    <row r="135" customFormat="false" ht="15" hidden="false" customHeight="false" outlineLevel="0" collapsed="false">
      <c r="A135" s="8" t="s">
        <v>428</v>
      </c>
      <c r="B135" s="8" t="s">
        <v>429</v>
      </c>
      <c r="C135" s="9" t="n">
        <v>46</v>
      </c>
      <c r="D135" s="8" t="s">
        <v>46</v>
      </c>
      <c r="E135" s="8" t="s">
        <v>651</v>
      </c>
      <c r="F135" s="8" t="s">
        <v>323</v>
      </c>
      <c r="G135" s="9" t="n">
        <v>1560</v>
      </c>
      <c r="H135" s="10" t="n">
        <v>45664</v>
      </c>
    </row>
    <row r="136" customFormat="false" ht="15" hidden="false" customHeight="false" outlineLevel="0" collapsed="false">
      <c r="A136" s="8" t="s">
        <v>33</v>
      </c>
      <c r="B136" s="8" t="s">
        <v>431</v>
      </c>
      <c r="C136" s="9" t="n">
        <v>45</v>
      </c>
      <c r="D136" s="8" t="s">
        <v>46</v>
      </c>
      <c r="E136" s="8" t="s">
        <v>49</v>
      </c>
      <c r="F136" s="8" t="s">
        <v>52</v>
      </c>
      <c r="G136" s="9" t="n">
        <v>5</v>
      </c>
      <c r="H136" s="10" t="n">
        <v>46140</v>
      </c>
    </row>
    <row r="137" customFormat="false" ht="15" hidden="false" customHeight="false" outlineLevel="0" collapsed="false">
      <c r="A137" s="8" t="s">
        <v>432</v>
      </c>
      <c r="B137" s="8" t="s">
        <v>433</v>
      </c>
      <c r="C137" s="9" t="n">
        <v>69</v>
      </c>
      <c r="D137" s="8" t="s">
        <v>90</v>
      </c>
      <c r="E137" s="8" t="s">
        <v>647</v>
      </c>
      <c r="F137" s="8" t="s">
        <v>69</v>
      </c>
      <c r="G137" s="9" t="n">
        <v>400</v>
      </c>
      <c r="H137" s="10" t="n">
        <v>45916</v>
      </c>
    </row>
    <row r="138" customFormat="false" ht="15" hidden="false" customHeight="false" outlineLevel="0" collapsed="false">
      <c r="A138" s="8" t="s">
        <v>434</v>
      </c>
      <c r="B138" s="8" t="s">
        <v>304</v>
      </c>
      <c r="C138" s="9" t="n">
        <v>21</v>
      </c>
      <c r="D138" s="8" t="s">
        <v>46</v>
      </c>
      <c r="E138" s="8" t="s">
        <v>49</v>
      </c>
      <c r="F138" s="8" t="s">
        <v>52</v>
      </c>
      <c r="G138" s="9" t="n">
        <v>5</v>
      </c>
      <c r="H138" s="10" t="n">
        <v>46206</v>
      </c>
    </row>
    <row r="139" customFormat="false" ht="15" hidden="false" customHeight="false" outlineLevel="0" collapsed="false">
      <c r="A139" s="8" t="s">
        <v>435</v>
      </c>
      <c r="B139" s="8" t="s">
        <v>436</v>
      </c>
      <c r="C139" s="9" t="n">
        <v>59</v>
      </c>
      <c r="D139" s="8" t="s">
        <v>46</v>
      </c>
      <c r="E139" s="8" t="s">
        <v>49</v>
      </c>
      <c r="F139" s="8" t="s">
        <v>52</v>
      </c>
      <c r="G139" s="9" t="n">
        <v>10</v>
      </c>
      <c r="H139" s="10" t="n">
        <v>45812</v>
      </c>
    </row>
    <row r="140" customFormat="false" ht="15" hidden="false" customHeight="false" outlineLevel="0" collapsed="false">
      <c r="A140" s="8" t="s">
        <v>437</v>
      </c>
      <c r="B140" s="8" t="s">
        <v>438</v>
      </c>
      <c r="C140" s="9" t="n">
        <v>46</v>
      </c>
      <c r="D140" s="8" t="s">
        <v>90</v>
      </c>
      <c r="E140" s="8" t="s">
        <v>501</v>
      </c>
      <c r="F140" s="8" t="s">
        <v>166</v>
      </c>
      <c r="G140" s="9" t="n">
        <v>120</v>
      </c>
      <c r="H140" s="10" t="n">
        <v>46175</v>
      </c>
    </row>
    <row r="141" customFormat="false" ht="15" hidden="false" customHeight="false" outlineLevel="0" collapsed="false">
      <c r="A141" s="8" t="s">
        <v>441</v>
      </c>
      <c r="B141" s="8" t="s">
        <v>442</v>
      </c>
      <c r="C141" s="9" t="n">
        <v>46</v>
      </c>
      <c r="D141" s="8" t="s">
        <v>46</v>
      </c>
      <c r="E141" s="8" t="s">
        <v>427</v>
      </c>
      <c r="F141" s="8" t="s">
        <v>277</v>
      </c>
      <c r="G141" s="9" t="n">
        <v>145</v>
      </c>
      <c r="H141" s="10" t="n">
        <v>45882</v>
      </c>
    </row>
    <row r="142" customFormat="false" ht="15" hidden="false" customHeight="false" outlineLevel="0" collapsed="false">
      <c r="A142" s="8" t="s">
        <v>443</v>
      </c>
      <c r="B142" s="8" t="s">
        <v>444</v>
      </c>
      <c r="C142" s="9" t="n">
        <v>33</v>
      </c>
      <c r="D142" s="8" t="s">
        <v>648</v>
      </c>
      <c r="E142" s="8" t="s">
        <v>49</v>
      </c>
      <c r="F142" s="8" t="s">
        <v>52</v>
      </c>
      <c r="G142" s="9" t="n">
        <v>10</v>
      </c>
      <c r="H142" s="10" t="n">
        <v>46172</v>
      </c>
    </row>
    <row r="143" customFormat="false" ht="15" hidden="false" customHeight="false" outlineLevel="0" collapsed="false">
      <c r="A143" s="8" t="s">
        <v>445</v>
      </c>
      <c r="B143" s="8" t="s">
        <v>368</v>
      </c>
      <c r="C143" s="9" t="n">
        <v>59</v>
      </c>
      <c r="D143" s="8" t="s">
        <v>90</v>
      </c>
      <c r="E143" s="8" t="s">
        <v>501</v>
      </c>
      <c r="F143" s="8" t="s">
        <v>166</v>
      </c>
      <c r="G143" s="9" t="n">
        <v>115</v>
      </c>
      <c r="H143" s="10" t="n">
        <v>46006</v>
      </c>
    </row>
    <row r="144" customFormat="false" ht="15" hidden="false" customHeight="false" outlineLevel="0" collapsed="false">
      <c r="A144" s="8" t="s">
        <v>446</v>
      </c>
      <c r="B144" s="8" t="s">
        <v>242</v>
      </c>
      <c r="C144" s="9" t="n">
        <v>31</v>
      </c>
      <c r="D144" s="8" t="s">
        <v>90</v>
      </c>
      <c r="E144" s="8" t="s">
        <v>649</v>
      </c>
      <c r="F144" s="8" t="s">
        <v>154</v>
      </c>
      <c r="G144" s="9" t="n">
        <v>270</v>
      </c>
      <c r="H144" s="10" t="n">
        <v>45845</v>
      </c>
    </row>
    <row r="145" customFormat="false" ht="15" hidden="false" customHeight="false" outlineLevel="0" collapsed="false">
      <c r="A145" s="8" t="s">
        <v>447</v>
      </c>
      <c r="B145" s="8" t="s">
        <v>448</v>
      </c>
      <c r="C145" s="9" t="n">
        <v>61</v>
      </c>
      <c r="D145" s="8" t="s">
        <v>46</v>
      </c>
      <c r="E145" s="8" t="s">
        <v>298</v>
      </c>
      <c r="F145" s="8" t="s">
        <v>647</v>
      </c>
      <c r="G145" s="9" t="n">
        <v>570</v>
      </c>
      <c r="H145" s="10" t="n">
        <v>45591</v>
      </c>
    </row>
    <row r="146" customFormat="false" ht="15" hidden="false" customHeight="false" outlineLevel="0" collapsed="false">
      <c r="A146" s="8" t="s">
        <v>449</v>
      </c>
      <c r="B146" s="8" t="s">
        <v>450</v>
      </c>
      <c r="C146" s="9" t="n">
        <v>26</v>
      </c>
      <c r="D146" s="8" t="s">
        <v>648</v>
      </c>
      <c r="E146" s="8" t="s">
        <v>468</v>
      </c>
      <c r="F146" s="8" t="s">
        <v>145</v>
      </c>
      <c r="G146" s="9" t="n">
        <v>75</v>
      </c>
      <c r="H146" s="10" t="n">
        <v>45926</v>
      </c>
    </row>
    <row r="147" customFormat="false" ht="15" hidden="false" customHeight="false" outlineLevel="0" collapsed="false">
      <c r="A147" s="8" t="s">
        <v>451</v>
      </c>
      <c r="B147" s="8" t="s">
        <v>452</v>
      </c>
      <c r="C147" s="9" t="n">
        <v>34</v>
      </c>
      <c r="D147" s="8" t="s">
        <v>90</v>
      </c>
      <c r="E147" s="8" t="s">
        <v>468</v>
      </c>
      <c r="F147" s="8" t="s">
        <v>145</v>
      </c>
      <c r="G147" s="9" t="n">
        <v>100</v>
      </c>
      <c r="H147" s="10" t="n">
        <v>45629</v>
      </c>
    </row>
    <row r="148" customFormat="false" ht="15" hidden="false" customHeight="false" outlineLevel="0" collapsed="false">
      <c r="A148" s="8" t="s">
        <v>453</v>
      </c>
      <c r="B148" s="8" t="s">
        <v>454</v>
      </c>
      <c r="C148" s="9" t="n">
        <v>46</v>
      </c>
      <c r="D148" s="8" t="s">
        <v>46</v>
      </c>
      <c r="E148" s="8" t="s">
        <v>68</v>
      </c>
      <c r="F148" s="8" t="s">
        <v>69</v>
      </c>
      <c r="G148" s="9" t="n">
        <v>327</v>
      </c>
      <c r="H148" s="10" t="n">
        <v>45623</v>
      </c>
    </row>
    <row r="149" customFormat="false" ht="15" hidden="false" customHeight="false" outlineLevel="0" collapsed="false">
      <c r="A149" s="8" t="s">
        <v>455</v>
      </c>
      <c r="B149" s="8" t="s">
        <v>456</v>
      </c>
      <c r="C149" s="9" t="n">
        <v>47</v>
      </c>
      <c r="D149" s="8" t="s">
        <v>648</v>
      </c>
      <c r="E149" s="8" t="s">
        <v>378</v>
      </c>
      <c r="F149" s="8" t="s">
        <v>115</v>
      </c>
      <c r="G149" s="9" t="n">
        <v>320</v>
      </c>
      <c r="H149" s="10" t="n">
        <v>46071</v>
      </c>
    </row>
    <row r="150" customFormat="false" ht="15" hidden="false" customHeight="false" outlineLevel="0" collapsed="false">
      <c r="A150" s="8" t="s">
        <v>457</v>
      </c>
      <c r="B150" s="8" t="s">
        <v>458</v>
      </c>
      <c r="C150" s="9" t="n">
        <v>66</v>
      </c>
      <c r="D150" s="8" t="s">
        <v>46</v>
      </c>
      <c r="E150" s="8" t="s">
        <v>148</v>
      </c>
      <c r="F150" s="8" t="s">
        <v>646</v>
      </c>
      <c r="G150" s="9" t="n">
        <v>85</v>
      </c>
      <c r="H150" s="10" t="n">
        <v>45860</v>
      </c>
    </row>
    <row r="151" customFormat="false" ht="15" hidden="false" customHeight="false" outlineLevel="0" collapsed="false">
      <c r="A151" s="8" t="s">
        <v>460</v>
      </c>
      <c r="B151" s="8" t="s">
        <v>377</v>
      </c>
      <c r="C151" s="9" t="n">
        <v>38</v>
      </c>
      <c r="D151" s="8" t="s">
        <v>90</v>
      </c>
      <c r="E151" s="8" t="s">
        <v>49</v>
      </c>
      <c r="F151" s="8" t="s">
        <v>52</v>
      </c>
      <c r="G151" s="9" t="n">
        <v>10</v>
      </c>
      <c r="H151" s="10" t="n">
        <v>45623</v>
      </c>
    </row>
    <row r="152" customFormat="false" ht="15" hidden="false" customHeight="false" outlineLevel="0" collapsed="false">
      <c r="A152" s="8" t="s">
        <v>461</v>
      </c>
      <c r="B152" s="8" t="s">
        <v>462</v>
      </c>
      <c r="C152" s="9" t="n">
        <v>26</v>
      </c>
      <c r="D152" s="8" t="s">
        <v>90</v>
      </c>
      <c r="E152" s="8" t="s">
        <v>49</v>
      </c>
      <c r="F152" s="8" t="s">
        <v>52</v>
      </c>
      <c r="G152" s="9" t="n">
        <v>5</v>
      </c>
      <c r="H152" s="10" t="n">
        <v>46101</v>
      </c>
    </row>
    <row r="153" customFormat="false" ht="15" hidden="false" customHeight="false" outlineLevel="0" collapsed="false">
      <c r="A153" s="8" t="s">
        <v>463</v>
      </c>
      <c r="B153" s="8" t="s">
        <v>464</v>
      </c>
      <c r="C153" s="9" t="n">
        <v>37</v>
      </c>
      <c r="D153" s="8" t="s">
        <v>90</v>
      </c>
      <c r="E153" s="8" t="s">
        <v>378</v>
      </c>
      <c r="F153" s="8" t="s">
        <v>115</v>
      </c>
      <c r="G153" s="9" t="n">
        <v>420</v>
      </c>
      <c r="H153" s="10" t="n">
        <v>46079</v>
      </c>
    </row>
    <row r="154" customFormat="false" ht="15" hidden="false" customHeight="false" outlineLevel="0" collapsed="false">
      <c r="A154" s="8" t="s">
        <v>465</v>
      </c>
      <c r="B154" s="8" t="s">
        <v>466</v>
      </c>
      <c r="C154" s="9" t="n">
        <v>60</v>
      </c>
      <c r="D154" s="8" t="s">
        <v>90</v>
      </c>
      <c r="E154" s="8" t="s">
        <v>649</v>
      </c>
      <c r="F154" s="8" t="s">
        <v>154</v>
      </c>
      <c r="G154" s="9" t="n">
        <v>250</v>
      </c>
      <c r="H154" s="10" t="n">
        <v>45982</v>
      </c>
    </row>
    <row r="155" customFormat="false" ht="15" hidden="false" customHeight="false" outlineLevel="0" collapsed="false">
      <c r="A155" s="8" t="s">
        <v>467</v>
      </c>
      <c r="B155" s="8" t="s">
        <v>276</v>
      </c>
      <c r="C155" s="9" t="n">
        <v>44</v>
      </c>
      <c r="D155" s="8" t="s">
        <v>46</v>
      </c>
      <c r="E155" s="8" t="s">
        <v>468</v>
      </c>
      <c r="F155" s="8" t="s">
        <v>145</v>
      </c>
      <c r="G155" s="9" t="n">
        <v>100</v>
      </c>
      <c r="H155" s="10" t="n">
        <v>45994</v>
      </c>
    </row>
    <row r="156" customFormat="false" ht="15" hidden="false" customHeight="false" outlineLevel="0" collapsed="false">
      <c r="A156" s="8" t="s">
        <v>470</v>
      </c>
      <c r="B156" s="8" t="s">
        <v>471</v>
      </c>
      <c r="C156" s="9" t="n">
        <v>81</v>
      </c>
      <c r="D156" s="8" t="s">
        <v>46</v>
      </c>
      <c r="E156" s="8" t="s">
        <v>468</v>
      </c>
      <c r="F156" s="8" t="s">
        <v>145</v>
      </c>
      <c r="G156" s="9" t="n">
        <v>95</v>
      </c>
      <c r="H156" s="10" t="n">
        <v>46260</v>
      </c>
    </row>
    <row r="157" customFormat="false" ht="15" hidden="false" customHeight="false" outlineLevel="0" collapsed="false">
      <c r="A157" s="8" t="s">
        <v>472</v>
      </c>
      <c r="B157" s="8" t="s">
        <v>473</v>
      </c>
      <c r="C157" s="9" t="n">
        <v>22</v>
      </c>
      <c r="D157" s="8" t="s">
        <v>90</v>
      </c>
      <c r="E157" s="8" t="s">
        <v>68</v>
      </c>
      <c r="F157" s="8" t="s">
        <v>69</v>
      </c>
      <c r="G157" s="9" t="n">
        <v>380</v>
      </c>
      <c r="H157" s="10" t="n">
        <v>46194</v>
      </c>
    </row>
    <row r="158" customFormat="false" ht="15" hidden="false" customHeight="false" outlineLevel="0" collapsed="false">
      <c r="A158" s="8" t="s">
        <v>474</v>
      </c>
      <c r="B158" s="8" t="s">
        <v>475</v>
      </c>
      <c r="C158" s="9" t="n">
        <v>15</v>
      </c>
      <c r="D158" s="8" t="s">
        <v>90</v>
      </c>
      <c r="E158" s="8" t="s">
        <v>148</v>
      </c>
      <c r="F158" s="8" t="s">
        <v>646</v>
      </c>
      <c r="G158" s="9" t="n">
        <v>60</v>
      </c>
      <c r="H158" s="10" t="n">
        <v>46121</v>
      </c>
    </row>
    <row r="159" customFormat="false" ht="15" hidden="false" customHeight="false" outlineLevel="0" collapsed="false">
      <c r="A159" s="8" t="s">
        <v>477</v>
      </c>
      <c r="B159" s="8" t="s">
        <v>478</v>
      </c>
      <c r="C159" s="9" t="n">
        <v>11</v>
      </c>
      <c r="D159" s="8" t="s">
        <v>90</v>
      </c>
      <c r="E159" s="8" t="s">
        <v>501</v>
      </c>
      <c r="F159" s="8" t="s">
        <v>166</v>
      </c>
      <c r="G159" s="9" t="n">
        <v>65</v>
      </c>
      <c r="H159" s="10" t="n">
        <v>45942</v>
      </c>
    </row>
    <row r="160" customFormat="false" ht="15" hidden="false" customHeight="false" outlineLevel="0" collapsed="false">
      <c r="A160" s="8" t="s">
        <v>479</v>
      </c>
      <c r="B160" s="8" t="s">
        <v>480</v>
      </c>
      <c r="C160" s="9" t="n">
        <v>42</v>
      </c>
      <c r="D160" s="8" t="s">
        <v>90</v>
      </c>
      <c r="E160" s="8" t="s">
        <v>72</v>
      </c>
      <c r="F160" s="8" t="s">
        <v>214</v>
      </c>
      <c r="G160" s="9" t="n">
        <v>580</v>
      </c>
      <c r="H160" s="10" t="n">
        <v>45967</v>
      </c>
    </row>
    <row r="161" customFormat="false" ht="15" hidden="false" customHeight="false" outlineLevel="0" collapsed="false">
      <c r="A161" s="8" t="s">
        <v>481</v>
      </c>
      <c r="B161" s="8" t="s">
        <v>482</v>
      </c>
      <c r="C161" s="9" t="n">
        <v>50</v>
      </c>
      <c r="D161" s="8" t="s">
        <v>46</v>
      </c>
      <c r="E161" s="8" t="s">
        <v>186</v>
      </c>
      <c r="F161" s="8" t="s">
        <v>262</v>
      </c>
      <c r="G161" s="9" t="n">
        <v>10</v>
      </c>
      <c r="H161" s="10" t="n">
        <v>45682</v>
      </c>
    </row>
    <row r="162" customFormat="false" ht="15" hidden="false" customHeight="false" outlineLevel="0" collapsed="false">
      <c r="A162" s="8" t="s">
        <v>483</v>
      </c>
      <c r="B162" s="8" t="s">
        <v>484</v>
      </c>
      <c r="C162" s="9" t="n">
        <v>43</v>
      </c>
      <c r="D162" s="8" t="s">
        <v>46</v>
      </c>
      <c r="E162" s="8" t="s">
        <v>649</v>
      </c>
      <c r="F162" s="8" t="s">
        <v>154</v>
      </c>
      <c r="G162" s="9" t="n">
        <v>260</v>
      </c>
      <c r="H162" s="10" t="n">
        <v>46042</v>
      </c>
    </row>
    <row r="163" customFormat="false" ht="15" hidden="false" customHeight="false" outlineLevel="0" collapsed="false">
      <c r="A163" s="8" t="s">
        <v>486</v>
      </c>
      <c r="B163" s="8" t="s">
        <v>487</v>
      </c>
      <c r="C163" s="9" t="n">
        <v>67</v>
      </c>
      <c r="D163" s="8" t="s">
        <v>46</v>
      </c>
      <c r="E163" s="8" t="s">
        <v>651</v>
      </c>
      <c r="F163" s="8" t="s">
        <v>323</v>
      </c>
      <c r="G163" s="9" t="n">
        <v>1565</v>
      </c>
      <c r="H163" s="10" t="n">
        <v>45563</v>
      </c>
    </row>
    <row r="164" customFormat="false" ht="15" hidden="false" customHeight="false" outlineLevel="0" collapsed="false">
      <c r="A164" s="8" t="s">
        <v>488</v>
      </c>
      <c r="B164" s="8" t="s">
        <v>489</v>
      </c>
      <c r="C164" s="9" t="n">
        <v>57</v>
      </c>
      <c r="D164" s="8" t="s">
        <v>46</v>
      </c>
      <c r="E164" s="8" t="s">
        <v>298</v>
      </c>
      <c r="F164" s="8" t="s">
        <v>390</v>
      </c>
      <c r="G164" s="9" t="n">
        <v>590</v>
      </c>
      <c r="H164" s="8"/>
    </row>
    <row r="165" customFormat="false" ht="15" hidden="false" customHeight="false" outlineLevel="0" collapsed="false">
      <c r="A165" s="8" t="s">
        <v>490</v>
      </c>
      <c r="B165" s="8" t="s">
        <v>491</v>
      </c>
      <c r="C165" s="9" t="n">
        <v>17</v>
      </c>
      <c r="D165" s="8" t="s">
        <v>90</v>
      </c>
      <c r="E165" s="8" t="s">
        <v>501</v>
      </c>
      <c r="F165" s="8" t="s">
        <v>166</v>
      </c>
      <c r="G165" s="9" t="n">
        <v>75</v>
      </c>
      <c r="H165" s="10" t="n">
        <v>46035</v>
      </c>
    </row>
    <row r="166" customFormat="false" ht="15" hidden="false" customHeight="false" outlineLevel="0" collapsed="false">
      <c r="A166" s="8" t="s">
        <v>492</v>
      </c>
      <c r="B166" s="8" t="s">
        <v>493</v>
      </c>
      <c r="C166" s="9" t="n">
        <v>50</v>
      </c>
      <c r="D166" s="8" t="s">
        <v>90</v>
      </c>
      <c r="E166" s="8" t="s">
        <v>647</v>
      </c>
      <c r="F166" s="8" t="s">
        <v>69</v>
      </c>
      <c r="G166" s="9" t="n">
        <v>327</v>
      </c>
      <c r="H166" s="10" t="n">
        <v>46224</v>
      </c>
    </row>
    <row r="167" customFormat="false" ht="15" hidden="false" customHeight="false" outlineLevel="0" collapsed="false">
      <c r="A167" s="8" t="s">
        <v>494</v>
      </c>
      <c r="B167" s="8" t="s">
        <v>495</v>
      </c>
      <c r="C167" s="9" t="n">
        <v>46</v>
      </c>
      <c r="D167" s="8" t="s">
        <v>46</v>
      </c>
      <c r="E167" s="8" t="s">
        <v>427</v>
      </c>
      <c r="F167" s="8" t="s">
        <v>277</v>
      </c>
      <c r="G167" s="9" t="n">
        <v>115</v>
      </c>
      <c r="H167" s="10" t="n">
        <v>46176</v>
      </c>
    </row>
    <row r="168" customFormat="false" ht="15" hidden="false" customHeight="false" outlineLevel="0" collapsed="false">
      <c r="A168" s="8" t="s">
        <v>496</v>
      </c>
      <c r="B168" s="8" t="s">
        <v>497</v>
      </c>
      <c r="C168" s="9" t="n">
        <v>46</v>
      </c>
      <c r="D168" s="8" t="s">
        <v>46</v>
      </c>
      <c r="E168" s="8" t="s">
        <v>427</v>
      </c>
      <c r="F168" s="8" t="s">
        <v>647</v>
      </c>
      <c r="G168" s="9" t="n">
        <v>170</v>
      </c>
      <c r="H168" s="10" t="n">
        <v>45820</v>
      </c>
    </row>
    <row r="169" customFormat="false" ht="15" hidden="false" customHeight="false" outlineLevel="0" collapsed="false">
      <c r="A169" s="8" t="s">
        <v>498</v>
      </c>
      <c r="B169" s="8" t="s">
        <v>499</v>
      </c>
      <c r="C169" s="9" t="n">
        <v>23</v>
      </c>
      <c r="D169" s="8" t="s">
        <v>46</v>
      </c>
      <c r="E169" s="8" t="s">
        <v>298</v>
      </c>
      <c r="F169" s="8" t="s">
        <v>390</v>
      </c>
      <c r="G169" s="9" t="n">
        <v>585</v>
      </c>
      <c r="H169" s="10" t="n">
        <v>45766</v>
      </c>
    </row>
    <row r="170" customFormat="false" ht="15" hidden="false" customHeight="false" outlineLevel="0" collapsed="false">
      <c r="A170" s="8" t="s">
        <v>500</v>
      </c>
      <c r="B170" s="8" t="s">
        <v>288</v>
      </c>
      <c r="C170" s="9" t="n">
        <v>53</v>
      </c>
      <c r="D170" s="8" t="s">
        <v>90</v>
      </c>
      <c r="E170" s="8" t="s">
        <v>501</v>
      </c>
      <c r="F170" s="8" t="s">
        <v>166</v>
      </c>
      <c r="G170" s="9" t="n">
        <v>100</v>
      </c>
      <c r="H170" s="10" t="n">
        <v>45573</v>
      </c>
    </row>
    <row r="171" customFormat="false" ht="15" hidden="false" customHeight="false" outlineLevel="0" collapsed="false">
      <c r="A171" s="8" t="s">
        <v>502</v>
      </c>
      <c r="B171" s="8" t="s">
        <v>503</v>
      </c>
      <c r="C171" s="9" t="n">
        <v>57</v>
      </c>
      <c r="D171" s="8" t="s">
        <v>90</v>
      </c>
      <c r="E171" s="8" t="s">
        <v>468</v>
      </c>
      <c r="F171" s="8" t="s">
        <v>145</v>
      </c>
      <c r="G171" s="9" t="n">
        <v>55</v>
      </c>
      <c r="H171" s="10" t="n">
        <v>46088</v>
      </c>
    </row>
    <row r="172" customFormat="false" ht="15" hidden="false" customHeight="false" outlineLevel="0" collapsed="false">
      <c r="A172" s="8" t="s">
        <v>504</v>
      </c>
      <c r="B172" s="8" t="s">
        <v>505</v>
      </c>
      <c r="C172" s="9" t="n">
        <v>46</v>
      </c>
      <c r="D172" s="8" t="s">
        <v>90</v>
      </c>
      <c r="E172" s="8" t="s">
        <v>298</v>
      </c>
      <c r="F172" s="8" t="s">
        <v>390</v>
      </c>
      <c r="G172" s="9" t="n">
        <v>520</v>
      </c>
      <c r="H172" s="10" t="n">
        <v>46239</v>
      </c>
    </row>
    <row r="173" customFormat="false" ht="15" hidden="false" customHeight="false" outlineLevel="0" collapsed="false">
      <c r="A173" s="8" t="s">
        <v>506</v>
      </c>
      <c r="B173" s="8" t="s">
        <v>349</v>
      </c>
      <c r="C173" s="9" t="n">
        <v>28</v>
      </c>
      <c r="D173" s="8" t="s">
        <v>90</v>
      </c>
      <c r="E173" s="8" t="s">
        <v>72</v>
      </c>
      <c r="F173" s="8" t="s">
        <v>214</v>
      </c>
      <c r="G173" s="9" t="n">
        <v>500</v>
      </c>
      <c r="H173" s="10" t="n">
        <v>45699</v>
      </c>
    </row>
    <row r="174" customFormat="false" ht="15" hidden="false" customHeight="false" outlineLevel="0" collapsed="false">
      <c r="A174" s="8" t="s">
        <v>507</v>
      </c>
      <c r="B174" s="8" t="s">
        <v>508</v>
      </c>
      <c r="C174" s="9" t="n">
        <v>66</v>
      </c>
      <c r="D174" s="8" t="s">
        <v>90</v>
      </c>
      <c r="E174" s="8" t="s">
        <v>427</v>
      </c>
      <c r="F174" s="8" t="s">
        <v>277</v>
      </c>
      <c r="G174" s="9" t="n">
        <v>190</v>
      </c>
      <c r="H174" s="10" t="n">
        <v>45974</v>
      </c>
    </row>
    <row r="175" customFormat="false" ht="15" hidden="false" customHeight="false" outlineLevel="0" collapsed="false">
      <c r="A175" s="8" t="s">
        <v>509</v>
      </c>
      <c r="B175" s="8" t="s">
        <v>510</v>
      </c>
      <c r="C175" s="9" t="n">
        <v>42</v>
      </c>
      <c r="D175" s="8" t="s">
        <v>90</v>
      </c>
      <c r="E175" s="8" t="s">
        <v>378</v>
      </c>
      <c r="F175" s="8" t="s">
        <v>115</v>
      </c>
      <c r="G175" s="9" t="n">
        <v>295</v>
      </c>
      <c r="H175" s="10" t="n">
        <v>45814</v>
      </c>
    </row>
    <row r="176" customFormat="false" ht="15" hidden="false" customHeight="false" outlineLevel="0" collapsed="false">
      <c r="A176" s="8" t="s">
        <v>511</v>
      </c>
      <c r="B176" s="8" t="s">
        <v>512</v>
      </c>
      <c r="C176" s="9" t="n">
        <v>77</v>
      </c>
      <c r="D176" s="8" t="s">
        <v>46</v>
      </c>
      <c r="E176" s="8" t="s">
        <v>468</v>
      </c>
      <c r="F176" s="8" t="s">
        <v>145</v>
      </c>
      <c r="G176" s="9" t="n">
        <v>45</v>
      </c>
      <c r="H176" s="10" t="n">
        <v>46043</v>
      </c>
    </row>
    <row r="177" customFormat="false" ht="15" hidden="false" customHeight="false" outlineLevel="0" collapsed="false">
      <c r="A177" s="8" t="s">
        <v>513</v>
      </c>
      <c r="B177" s="8" t="s">
        <v>514</v>
      </c>
      <c r="C177" s="9" t="n">
        <v>70</v>
      </c>
      <c r="D177" s="8" t="s">
        <v>46</v>
      </c>
      <c r="E177" s="8" t="s">
        <v>49</v>
      </c>
      <c r="F177" s="8" t="s">
        <v>52</v>
      </c>
      <c r="G177" s="9" t="n">
        <v>5</v>
      </c>
      <c r="H177" s="10" t="n">
        <v>45606</v>
      </c>
    </row>
    <row r="178" customFormat="false" ht="15" hidden="false" customHeight="false" outlineLevel="0" collapsed="false">
      <c r="A178" s="8" t="s">
        <v>515</v>
      </c>
      <c r="B178" s="8" t="s">
        <v>516</v>
      </c>
      <c r="C178" s="9" t="n">
        <v>12</v>
      </c>
      <c r="D178" s="8" t="s">
        <v>46</v>
      </c>
      <c r="E178" s="8" t="s">
        <v>68</v>
      </c>
      <c r="F178" s="8" t="s">
        <v>69</v>
      </c>
      <c r="G178" s="9" t="n">
        <v>300</v>
      </c>
      <c r="H178" s="10" t="n">
        <v>45787</v>
      </c>
    </row>
    <row r="179" customFormat="false" ht="15" hidden="false" customHeight="false" outlineLevel="0" collapsed="false">
      <c r="A179" s="8" t="s">
        <v>518</v>
      </c>
      <c r="B179" s="8" t="s">
        <v>519</v>
      </c>
      <c r="C179" s="9" t="n">
        <v>24</v>
      </c>
      <c r="D179" s="8" t="s">
        <v>46</v>
      </c>
      <c r="E179" s="8" t="s">
        <v>49</v>
      </c>
      <c r="F179" s="8" t="s">
        <v>52</v>
      </c>
      <c r="G179" s="9" t="n">
        <v>5</v>
      </c>
      <c r="H179" s="10" t="n">
        <v>46001</v>
      </c>
    </row>
    <row r="180" customFormat="false" ht="15" hidden="false" customHeight="false" outlineLevel="0" collapsed="false">
      <c r="A180" s="8" t="s">
        <v>520</v>
      </c>
      <c r="B180" s="8" t="s">
        <v>521</v>
      </c>
      <c r="C180" s="9" t="n">
        <v>82</v>
      </c>
      <c r="D180" s="8" t="s">
        <v>90</v>
      </c>
      <c r="E180" s="8" t="s">
        <v>72</v>
      </c>
      <c r="F180" s="8" t="s">
        <v>214</v>
      </c>
      <c r="G180" s="9" t="n">
        <v>595</v>
      </c>
      <c r="H180" s="10" t="n">
        <v>46207</v>
      </c>
    </row>
    <row r="181" customFormat="false" ht="15" hidden="false" customHeight="false" outlineLevel="0" collapsed="false">
      <c r="A181" s="8" t="s">
        <v>522</v>
      </c>
      <c r="B181" s="8" t="s">
        <v>338</v>
      </c>
      <c r="C181" s="9" t="n">
        <v>25</v>
      </c>
      <c r="D181" s="8" t="s">
        <v>46</v>
      </c>
      <c r="E181" s="8" t="s">
        <v>649</v>
      </c>
      <c r="F181" s="8" t="s">
        <v>154</v>
      </c>
      <c r="G181" s="9" t="n">
        <v>200</v>
      </c>
      <c r="H181" s="10" t="n">
        <v>45720</v>
      </c>
    </row>
    <row r="182" customFormat="false" ht="15" hidden="false" customHeight="false" outlineLevel="0" collapsed="false">
      <c r="A182" s="8" t="s">
        <v>524</v>
      </c>
      <c r="B182" s="8" t="s">
        <v>525</v>
      </c>
      <c r="C182" s="9" t="n">
        <v>45</v>
      </c>
      <c r="D182" s="8" t="s">
        <v>46</v>
      </c>
      <c r="E182" s="8" t="s">
        <v>561</v>
      </c>
      <c r="F182" s="8" t="s">
        <v>394</v>
      </c>
      <c r="G182" s="9" t="n">
        <v>60</v>
      </c>
      <c r="H182" s="10" t="n">
        <v>46201</v>
      </c>
    </row>
    <row r="183" customFormat="false" ht="15" hidden="false" customHeight="false" outlineLevel="0" collapsed="false">
      <c r="A183" s="8" t="s">
        <v>527</v>
      </c>
      <c r="B183" s="8" t="s">
        <v>528</v>
      </c>
      <c r="C183" s="9" t="n">
        <v>19</v>
      </c>
      <c r="D183" s="8" t="s">
        <v>90</v>
      </c>
      <c r="E183" s="8" t="s">
        <v>224</v>
      </c>
      <c r="F183" s="8" t="s">
        <v>650</v>
      </c>
      <c r="G183" s="9" t="n">
        <v>30</v>
      </c>
      <c r="H183" s="10" t="n">
        <v>46207</v>
      </c>
    </row>
    <row r="184" customFormat="false" ht="15" hidden="false" customHeight="false" outlineLevel="0" collapsed="false">
      <c r="A184" s="8" t="s">
        <v>531</v>
      </c>
      <c r="B184" s="8" t="s">
        <v>532</v>
      </c>
      <c r="C184" s="9" t="n">
        <v>45</v>
      </c>
      <c r="D184" s="8" t="s">
        <v>90</v>
      </c>
      <c r="E184" s="8" t="s">
        <v>468</v>
      </c>
      <c r="F184" s="8" t="s">
        <v>145</v>
      </c>
      <c r="G184" s="9" t="n">
        <v>40</v>
      </c>
      <c r="H184" s="10" t="n">
        <v>46273</v>
      </c>
    </row>
    <row r="185" customFormat="false" ht="15" hidden="false" customHeight="false" outlineLevel="0" collapsed="false">
      <c r="A185" s="8" t="s">
        <v>533</v>
      </c>
      <c r="B185" s="8" t="s">
        <v>534</v>
      </c>
      <c r="C185" s="9" t="n">
        <v>47</v>
      </c>
      <c r="D185" s="8" t="s">
        <v>90</v>
      </c>
      <c r="E185" s="8" t="s">
        <v>49</v>
      </c>
      <c r="F185" s="8" t="s">
        <v>52</v>
      </c>
      <c r="G185" s="9" t="n">
        <v>5</v>
      </c>
      <c r="H185" s="10" t="n">
        <v>46055</v>
      </c>
    </row>
    <row r="186" customFormat="false" ht="15" hidden="false" customHeight="false" outlineLevel="0" collapsed="false">
      <c r="A186" s="8" t="s">
        <v>535</v>
      </c>
      <c r="B186" s="8" t="s">
        <v>536</v>
      </c>
      <c r="C186" s="9" t="n">
        <v>40</v>
      </c>
      <c r="D186" s="8" t="s">
        <v>46</v>
      </c>
      <c r="E186" s="8" t="s">
        <v>427</v>
      </c>
      <c r="F186" s="8" t="s">
        <v>277</v>
      </c>
      <c r="G186" s="9" t="n">
        <v>185</v>
      </c>
      <c r="H186" s="10" t="n">
        <v>45965</v>
      </c>
    </row>
    <row r="187" customFormat="false" ht="15" hidden="false" customHeight="false" outlineLevel="0" collapsed="false">
      <c r="A187" s="8" t="s">
        <v>537</v>
      </c>
      <c r="B187" s="8" t="s">
        <v>538</v>
      </c>
      <c r="C187" s="9" t="n">
        <v>34</v>
      </c>
      <c r="D187" s="8" t="s">
        <v>90</v>
      </c>
      <c r="E187" s="8" t="s">
        <v>468</v>
      </c>
      <c r="F187" s="8" t="s">
        <v>145</v>
      </c>
      <c r="G187" s="9" t="n">
        <v>100</v>
      </c>
      <c r="H187" s="10" t="n">
        <v>45641</v>
      </c>
    </row>
    <row r="188" customFormat="false" ht="15" hidden="false" customHeight="false" outlineLevel="0" collapsed="false">
      <c r="A188" s="8" t="s">
        <v>539</v>
      </c>
      <c r="B188" s="8" t="s">
        <v>540</v>
      </c>
      <c r="C188" s="9" t="n">
        <v>56</v>
      </c>
      <c r="D188" s="8" t="s">
        <v>90</v>
      </c>
      <c r="E188" s="8" t="s">
        <v>68</v>
      </c>
      <c r="F188" s="8" t="s">
        <v>69</v>
      </c>
      <c r="G188" s="9" t="n">
        <v>265</v>
      </c>
      <c r="H188" s="10" t="n">
        <v>46088</v>
      </c>
    </row>
    <row r="189" customFormat="false" ht="15" hidden="false" customHeight="false" outlineLevel="0" collapsed="false">
      <c r="A189" s="8" t="s">
        <v>541</v>
      </c>
      <c r="B189" s="8" t="s">
        <v>542</v>
      </c>
      <c r="C189" s="9" t="n">
        <v>49</v>
      </c>
      <c r="D189" s="8" t="s">
        <v>46</v>
      </c>
      <c r="E189" s="8" t="s">
        <v>72</v>
      </c>
      <c r="F189" s="8" t="s">
        <v>214</v>
      </c>
      <c r="G189" s="9" t="n">
        <v>660</v>
      </c>
      <c r="H189" s="10" t="n">
        <v>46230</v>
      </c>
    </row>
    <row r="190" customFormat="false" ht="15" hidden="false" customHeight="false" outlineLevel="0" collapsed="false">
      <c r="A190" s="8" t="s">
        <v>543</v>
      </c>
      <c r="B190" s="8" t="s">
        <v>544</v>
      </c>
      <c r="C190" s="9" t="n">
        <v>43</v>
      </c>
      <c r="D190" s="8" t="s">
        <v>46</v>
      </c>
      <c r="E190" s="8" t="s">
        <v>427</v>
      </c>
      <c r="F190" s="8" t="s">
        <v>277</v>
      </c>
      <c r="G190" s="9" t="n">
        <v>155</v>
      </c>
      <c r="H190" s="10" t="n">
        <v>46061</v>
      </c>
    </row>
    <row r="191" customFormat="false" ht="15" hidden="false" customHeight="false" outlineLevel="0" collapsed="false">
      <c r="A191" s="8" t="s">
        <v>545</v>
      </c>
      <c r="B191" s="8" t="s">
        <v>546</v>
      </c>
      <c r="C191" s="9" t="n">
        <v>81</v>
      </c>
      <c r="D191" s="8" t="s">
        <v>90</v>
      </c>
      <c r="E191" s="8" t="s">
        <v>49</v>
      </c>
      <c r="F191" s="8" t="s">
        <v>52</v>
      </c>
      <c r="G191" s="9" t="n">
        <v>5</v>
      </c>
      <c r="H191" s="10" t="n">
        <v>46089</v>
      </c>
    </row>
    <row r="192" customFormat="false" ht="15" hidden="false" customHeight="false" outlineLevel="0" collapsed="false">
      <c r="A192" s="8" t="s">
        <v>547</v>
      </c>
      <c r="B192" s="8" t="s">
        <v>548</v>
      </c>
      <c r="C192" s="9" t="n">
        <v>23</v>
      </c>
      <c r="D192" s="8" t="s">
        <v>46</v>
      </c>
      <c r="E192" s="8" t="s">
        <v>49</v>
      </c>
      <c r="F192" s="8" t="s">
        <v>52</v>
      </c>
      <c r="G192" s="9" t="n">
        <v>5</v>
      </c>
      <c r="H192" s="10" t="n">
        <v>46262</v>
      </c>
    </row>
    <row r="193" customFormat="false" ht="15" hidden="false" customHeight="false" outlineLevel="0" collapsed="false">
      <c r="A193" s="8" t="s">
        <v>549</v>
      </c>
      <c r="B193" s="8" t="s">
        <v>473</v>
      </c>
      <c r="C193" s="9" t="n">
        <v>24</v>
      </c>
      <c r="D193" s="8" t="s">
        <v>90</v>
      </c>
      <c r="E193" s="8" t="s">
        <v>647</v>
      </c>
      <c r="F193" s="8" t="s">
        <v>214</v>
      </c>
      <c r="G193" s="9" t="n">
        <v>850</v>
      </c>
      <c r="H193" s="10" t="n">
        <v>45670</v>
      </c>
    </row>
    <row r="194" customFormat="false" ht="15" hidden="false" customHeight="false" outlineLevel="0" collapsed="false">
      <c r="A194" s="8" t="s">
        <v>550</v>
      </c>
      <c r="B194" s="8" t="s">
        <v>551</v>
      </c>
      <c r="C194" s="9" t="n">
        <v>51</v>
      </c>
      <c r="D194" s="8" t="s">
        <v>90</v>
      </c>
      <c r="E194" s="8" t="s">
        <v>298</v>
      </c>
      <c r="F194" s="8" t="s">
        <v>390</v>
      </c>
      <c r="G194" s="9" t="n">
        <v>570</v>
      </c>
      <c r="H194" s="10" t="n">
        <v>45870</v>
      </c>
    </row>
    <row r="195" customFormat="false" ht="15" hidden="false" customHeight="false" outlineLevel="0" collapsed="false">
      <c r="A195" s="8" t="s">
        <v>552</v>
      </c>
      <c r="B195" s="8" t="s">
        <v>264</v>
      </c>
      <c r="C195" s="9" t="n">
        <v>28</v>
      </c>
      <c r="D195" s="8" t="s">
        <v>46</v>
      </c>
      <c r="E195" s="8" t="s">
        <v>649</v>
      </c>
      <c r="F195" s="8" t="s">
        <v>154</v>
      </c>
      <c r="G195" s="9" t="n">
        <v>230</v>
      </c>
      <c r="H195" s="10" t="n">
        <v>45990</v>
      </c>
    </row>
    <row r="196" customFormat="false" ht="15" hidden="false" customHeight="false" outlineLevel="0" collapsed="false">
      <c r="A196" s="8" t="s">
        <v>553</v>
      </c>
      <c r="B196" s="8" t="s">
        <v>480</v>
      </c>
      <c r="C196" s="9" t="n">
        <v>35</v>
      </c>
      <c r="D196" s="8" t="s">
        <v>90</v>
      </c>
      <c r="E196" s="8" t="s">
        <v>72</v>
      </c>
      <c r="F196" s="8" t="s">
        <v>214</v>
      </c>
      <c r="G196" s="9" t="n">
        <v>920</v>
      </c>
      <c r="H196" s="10" t="n">
        <v>45733</v>
      </c>
    </row>
    <row r="197" customFormat="false" ht="15" hidden="false" customHeight="false" outlineLevel="0" collapsed="false">
      <c r="A197" s="8" t="s">
        <v>554</v>
      </c>
      <c r="B197" s="8" t="s">
        <v>555</v>
      </c>
      <c r="C197" s="9" t="n">
        <v>25</v>
      </c>
      <c r="D197" s="8" t="s">
        <v>46</v>
      </c>
      <c r="E197" s="8" t="s">
        <v>649</v>
      </c>
      <c r="F197" s="8" t="s">
        <v>154</v>
      </c>
      <c r="G197" s="9" t="n">
        <v>265</v>
      </c>
      <c r="H197" s="10" t="n">
        <v>46206</v>
      </c>
    </row>
    <row r="198" customFormat="false" ht="15" hidden="false" customHeight="false" outlineLevel="0" collapsed="false">
      <c r="A198" s="8" t="s">
        <v>556</v>
      </c>
      <c r="B198" s="8" t="s">
        <v>557</v>
      </c>
      <c r="C198" s="9" t="n">
        <v>17</v>
      </c>
      <c r="D198" s="8" t="s">
        <v>46</v>
      </c>
      <c r="E198" s="8" t="s">
        <v>148</v>
      </c>
      <c r="F198" s="8" t="s">
        <v>646</v>
      </c>
      <c r="G198" s="9" t="n">
        <v>30</v>
      </c>
      <c r="H198" s="10" t="n">
        <v>46168</v>
      </c>
    </row>
    <row r="199" customFormat="false" ht="15" hidden="false" customHeight="false" outlineLevel="0" collapsed="false">
      <c r="A199" s="8" t="s">
        <v>559</v>
      </c>
      <c r="B199" s="8" t="s">
        <v>560</v>
      </c>
      <c r="C199" s="9" t="n">
        <v>64</v>
      </c>
      <c r="D199" s="8" t="s">
        <v>90</v>
      </c>
      <c r="E199" s="8" t="s">
        <v>561</v>
      </c>
      <c r="F199" s="8" t="s">
        <v>394</v>
      </c>
      <c r="G199" s="9" t="n">
        <v>120</v>
      </c>
      <c r="H199" s="10" t="n">
        <v>45855</v>
      </c>
    </row>
    <row r="200" customFormat="false" ht="15" hidden="false" customHeight="false" outlineLevel="0" collapsed="false">
      <c r="A200" s="8" t="s">
        <v>563</v>
      </c>
      <c r="B200" s="8" t="s">
        <v>564</v>
      </c>
      <c r="C200" s="9" t="n">
        <v>41</v>
      </c>
      <c r="D200" s="8" t="s">
        <v>90</v>
      </c>
      <c r="E200" s="8" t="s">
        <v>378</v>
      </c>
      <c r="F200" s="8" t="s">
        <v>115</v>
      </c>
      <c r="G200" s="9" t="n">
        <v>255</v>
      </c>
      <c r="H200" s="10" t="n">
        <v>45629</v>
      </c>
    </row>
    <row r="201" customFormat="false" ht="15" hidden="false" customHeight="false" outlineLevel="0" collapsed="false">
      <c r="A201" s="8" t="s">
        <v>566</v>
      </c>
      <c r="B201" s="8" t="s">
        <v>567</v>
      </c>
      <c r="C201" s="9" t="n">
        <v>37</v>
      </c>
      <c r="D201" s="8" t="s">
        <v>90</v>
      </c>
      <c r="E201" s="8" t="s">
        <v>651</v>
      </c>
      <c r="F201" s="8" t="s">
        <v>323</v>
      </c>
      <c r="G201" s="9" t="n">
        <v>490</v>
      </c>
      <c r="H201" s="10" t="n">
        <v>46008</v>
      </c>
    </row>
    <row r="202" customFormat="false" ht="15" hidden="false" customHeight="false" outlineLevel="0" collapsed="false">
      <c r="A202" s="8" t="s">
        <v>569</v>
      </c>
      <c r="B202" s="8" t="s">
        <v>570</v>
      </c>
      <c r="C202" s="9" t="n">
        <v>49</v>
      </c>
      <c r="D202" s="8" t="s">
        <v>46</v>
      </c>
      <c r="E202" s="8" t="s">
        <v>649</v>
      </c>
      <c r="F202" s="8" t="s">
        <v>154</v>
      </c>
      <c r="G202" s="9" t="n">
        <v>305</v>
      </c>
      <c r="H202" s="10" t="n">
        <v>46069</v>
      </c>
    </row>
    <row r="203" customFormat="false" ht="15" hidden="false" customHeight="false" outlineLevel="0" collapsed="false">
      <c r="A203" s="8" t="s">
        <v>571</v>
      </c>
      <c r="B203" s="8" t="s">
        <v>572</v>
      </c>
      <c r="C203" s="9" t="n">
        <v>55</v>
      </c>
      <c r="D203" s="8" t="s">
        <v>46</v>
      </c>
      <c r="E203" s="8" t="s">
        <v>49</v>
      </c>
      <c r="F203" s="8" t="s">
        <v>52</v>
      </c>
      <c r="G203" s="9" t="n">
        <v>5</v>
      </c>
      <c r="H203" s="10" t="n">
        <v>45640</v>
      </c>
    </row>
    <row r="204" customFormat="false" ht="15" hidden="false" customHeight="false" outlineLevel="0" collapsed="false">
      <c r="A204" s="8" t="s">
        <v>573</v>
      </c>
      <c r="B204" s="8" t="s">
        <v>574</v>
      </c>
      <c r="C204" s="9" t="n">
        <v>34</v>
      </c>
      <c r="D204" s="8" t="s">
        <v>90</v>
      </c>
      <c r="E204" s="8" t="s">
        <v>298</v>
      </c>
      <c r="F204" s="8" t="s">
        <v>390</v>
      </c>
      <c r="G204" s="9" t="n">
        <v>640</v>
      </c>
      <c r="H204" s="10" t="n">
        <v>46134</v>
      </c>
    </row>
    <row r="205" customFormat="false" ht="15" hidden="false" customHeight="false" outlineLevel="0" collapsed="false">
      <c r="A205" s="8" t="s">
        <v>575</v>
      </c>
      <c r="B205" s="8" t="s">
        <v>576</v>
      </c>
      <c r="C205" s="9" t="n">
        <v>51</v>
      </c>
      <c r="D205" s="8" t="s">
        <v>46</v>
      </c>
      <c r="E205" s="8" t="s">
        <v>186</v>
      </c>
      <c r="F205" s="8" t="s">
        <v>262</v>
      </c>
      <c r="G205" s="9" t="n">
        <v>10</v>
      </c>
      <c r="H205" s="10" t="n">
        <v>46200</v>
      </c>
    </row>
    <row r="206" customFormat="false" ht="15" hidden="false" customHeight="false" outlineLevel="0" collapsed="false">
      <c r="A206" s="8" t="s">
        <v>577</v>
      </c>
      <c r="B206" s="8" t="s">
        <v>519</v>
      </c>
      <c r="C206" s="9" t="n">
        <v>46</v>
      </c>
      <c r="D206" s="8" t="s">
        <v>46</v>
      </c>
      <c r="E206" s="8" t="s">
        <v>72</v>
      </c>
      <c r="F206" s="8" t="s">
        <v>214</v>
      </c>
      <c r="G206" s="9" t="n">
        <v>1000</v>
      </c>
      <c r="H206" s="10" t="n">
        <v>46129</v>
      </c>
    </row>
    <row r="207" customFormat="false" ht="15" hidden="false" customHeight="false" outlineLevel="0" collapsed="false">
      <c r="A207" s="8" t="s">
        <v>578</v>
      </c>
      <c r="B207" s="8" t="s">
        <v>579</v>
      </c>
      <c r="C207" s="9" t="n">
        <v>67</v>
      </c>
      <c r="D207" s="8" t="s">
        <v>90</v>
      </c>
      <c r="E207" s="8" t="s">
        <v>561</v>
      </c>
      <c r="F207" s="8" t="s">
        <v>394</v>
      </c>
      <c r="G207" s="9" t="n">
        <v>25</v>
      </c>
      <c r="H207" s="10" t="n">
        <v>46232</v>
      </c>
    </row>
    <row r="208" customFormat="false" ht="15" hidden="false" customHeight="false" outlineLevel="0" collapsed="false">
      <c r="A208" s="8" t="s">
        <v>581</v>
      </c>
      <c r="B208" s="8" t="s">
        <v>582</v>
      </c>
      <c r="C208" s="9" t="n">
        <v>61</v>
      </c>
      <c r="D208" s="8" t="s">
        <v>46</v>
      </c>
      <c r="E208" s="8" t="s">
        <v>298</v>
      </c>
      <c r="F208" s="8" t="s">
        <v>390</v>
      </c>
      <c r="G208" s="9" t="n">
        <v>510</v>
      </c>
      <c r="H208" s="10" t="n">
        <v>45752</v>
      </c>
    </row>
    <row r="209" customFormat="false" ht="15" hidden="false" customHeight="false" outlineLevel="0" collapsed="false">
      <c r="A209" s="8" t="s">
        <v>583</v>
      </c>
      <c r="B209" s="8" t="s">
        <v>652</v>
      </c>
      <c r="C209" s="9" t="n">
        <v>72</v>
      </c>
      <c r="D209" s="8" t="s">
        <v>90</v>
      </c>
      <c r="E209" s="8" t="s">
        <v>298</v>
      </c>
      <c r="F209" s="8" t="s">
        <v>390</v>
      </c>
      <c r="G209" s="9" t="n">
        <v>615</v>
      </c>
      <c r="H209" s="10" t="n">
        <v>46099</v>
      </c>
    </row>
    <row r="210" customFormat="false" ht="15" hidden="false" customHeight="false" outlineLevel="0" collapsed="false">
      <c r="A210" s="8" t="s">
        <v>584</v>
      </c>
      <c r="B210" s="8" t="s">
        <v>585</v>
      </c>
      <c r="C210" s="9" t="n">
        <v>64</v>
      </c>
      <c r="D210" s="8" t="s">
        <v>90</v>
      </c>
      <c r="E210" s="8" t="s">
        <v>298</v>
      </c>
      <c r="F210" s="8" t="s">
        <v>390</v>
      </c>
      <c r="G210" s="9" t="n">
        <v>540</v>
      </c>
      <c r="H210" s="10" t="n">
        <v>45562</v>
      </c>
    </row>
    <row r="211" customFormat="false" ht="15" hidden="false" customHeight="false" outlineLevel="0" collapsed="false">
      <c r="A211" s="8" t="s">
        <v>586</v>
      </c>
      <c r="B211" s="8" t="s">
        <v>587</v>
      </c>
      <c r="C211" s="9" t="n">
        <v>35</v>
      </c>
      <c r="D211" s="8" t="s">
        <v>90</v>
      </c>
      <c r="E211" s="8" t="s">
        <v>298</v>
      </c>
      <c r="F211" s="8" t="s">
        <v>390</v>
      </c>
      <c r="G211" s="9" t="n">
        <v>515</v>
      </c>
      <c r="H211" s="10" t="n">
        <v>45856</v>
      </c>
    </row>
    <row r="212" customFormat="false" ht="15" hidden="false" customHeight="false" outlineLevel="0" collapsed="false">
      <c r="A212" s="8" t="s">
        <v>588</v>
      </c>
      <c r="B212" s="8" t="s">
        <v>589</v>
      </c>
      <c r="C212" s="9" t="n">
        <v>46</v>
      </c>
      <c r="D212" s="8" t="s">
        <v>90</v>
      </c>
      <c r="E212" s="8" t="s">
        <v>68</v>
      </c>
      <c r="F212" s="8" t="s">
        <v>69</v>
      </c>
      <c r="G212" s="9" t="n">
        <v>310</v>
      </c>
      <c r="H212" s="10" t="n">
        <v>46055</v>
      </c>
    </row>
    <row r="213" customFormat="false" ht="15" hidden="false" customHeight="false" outlineLevel="0" collapsed="false">
      <c r="A213" s="8" t="s">
        <v>590</v>
      </c>
      <c r="B213" s="8" t="s">
        <v>591</v>
      </c>
      <c r="C213" s="9" t="n">
        <v>21</v>
      </c>
      <c r="D213" s="8" t="s">
        <v>46</v>
      </c>
      <c r="E213" s="8" t="s">
        <v>468</v>
      </c>
      <c r="F213" s="8" t="s">
        <v>145</v>
      </c>
      <c r="G213" s="9" t="n">
        <v>62</v>
      </c>
      <c r="H213" s="10" t="n">
        <v>46197</v>
      </c>
    </row>
    <row r="214" customFormat="false" ht="15" hidden="false" customHeight="false" outlineLevel="0" collapsed="false">
      <c r="A214" s="8" t="s">
        <v>592</v>
      </c>
      <c r="B214" s="8" t="s">
        <v>593</v>
      </c>
      <c r="C214" s="9" t="n">
        <v>44</v>
      </c>
      <c r="D214" s="8" t="s">
        <v>90</v>
      </c>
      <c r="E214" s="8" t="s">
        <v>72</v>
      </c>
      <c r="F214" s="8" t="s">
        <v>214</v>
      </c>
      <c r="G214" s="9" t="n">
        <v>635</v>
      </c>
      <c r="H214" s="10" t="n">
        <v>45774</v>
      </c>
    </row>
    <row r="215" customFormat="false" ht="15" hidden="false" customHeight="false" outlineLevel="0" collapsed="false">
      <c r="A215" s="8" t="s">
        <v>594</v>
      </c>
      <c r="B215" s="8" t="s">
        <v>595</v>
      </c>
      <c r="C215" s="9" t="n">
        <v>19</v>
      </c>
      <c r="D215" s="8" t="s">
        <v>46</v>
      </c>
      <c r="E215" s="8" t="s">
        <v>298</v>
      </c>
      <c r="F215" s="8" t="s">
        <v>647</v>
      </c>
      <c r="G215" s="9" t="n">
        <v>620</v>
      </c>
      <c r="H215" s="10" t="n">
        <v>45882</v>
      </c>
    </row>
    <row r="216" customFormat="false" ht="15" hidden="false" customHeight="false" outlineLevel="0" collapsed="false">
      <c r="A216" s="8" t="s">
        <v>596</v>
      </c>
      <c r="B216" s="8" t="s">
        <v>71</v>
      </c>
      <c r="C216" s="9" t="n">
        <v>32</v>
      </c>
      <c r="D216" s="8" t="s">
        <v>46</v>
      </c>
      <c r="E216" s="8" t="s">
        <v>148</v>
      </c>
      <c r="F216" s="8" t="s">
        <v>646</v>
      </c>
      <c r="G216" s="9" t="n">
        <v>85</v>
      </c>
      <c r="H216" s="10" t="n">
        <v>45820</v>
      </c>
    </row>
    <row r="217" customFormat="false" ht="15" hidden="false" customHeight="false" outlineLevel="0" collapsed="false">
      <c r="A217" s="8" t="s">
        <v>597</v>
      </c>
      <c r="B217" s="8" t="s">
        <v>598</v>
      </c>
      <c r="C217" s="9" t="n">
        <v>65</v>
      </c>
      <c r="D217" s="8" t="s">
        <v>46</v>
      </c>
      <c r="E217" s="8" t="s">
        <v>49</v>
      </c>
      <c r="F217" s="8" t="s">
        <v>52</v>
      </c>
      <c r="G217" s="9" t="n">
        <v>5</v>
      </c>
      <c r="H217" s="10" t="n">
        <v>45703</v>
      </c>
    </row>
    <row r="218" customFormat="false" ht="15" hidden="false" customHeight="false" outlineLevel="0" collapsed="false">
      <c r="A218" s="8" t="s">
        <v>599</v>
      </c>
      <c r="B218" s="8" t="s">
        <v>124</v>
      </c>
      <c r="C218" s="9" t="n">
        <v>22</v>
      </c>
      <c r="D218" s="8" t="s">
        <v>90</v>
      </c>
      <c r="E218" s="8" t="s">
        <v>468</v>
      </c>
      <c r="F218" s="8" t="s">
        <v>145</v>
      </c>
      <c r="G218" s="9" t="n">
        <v>65</v>
      </c>
      <c r="H218" s="8"/>
    </row>
    <row r="219" customFormat="false" ht="15" hidden="false" customHeight="false" outlineLevel="0" collapsed="false">
      <c r="A219" s="8" t="s">
        <v>600</v>
      </c>
      <c r="B219" s="8" t="s">
        <v>601</v>
      </c>
      <c r="C219" s="9" t="n">
        <v>73</v>
      </c>
      <c r="D219" s="8" t="s">
        <v>90</v>
      </c>
      <c r="E219" s="8" t="s">
        <v>561</v>
      </c>
      <c r="F219" s="8" t="s">
        <v>394</v>
      </c>
      <c r="G219" s="9" t="n">
        <v>65</v>
      </c>
      <c r="H219" s="10" t="n">
        <v>46166</v>
      </c>
    </row>
    <row r="220" customFormat="false" ht="15" hidden="false" customHeight="false" outlineLevel="0" collapsed="false">
      <c r="A220" s="8" t="s">
        <v>602</v>
      </c>
      <c r="B220" s="8" t="s">
        <v>603</v>
      </c>
      <c r="C220" s="9" t="n">
        <v>46</v>
      </c>
      <c r="D220" s="8" t="s">
        <v>90</v>
      </c>
      <c r="E220" s="8" t="s">
        <v>298</v>
      </c>
      <c r="F220" s="8" t="s">
        <v>647</v>
      </c>
      <c r="G220" s="9" t="n">
        <v>500</v>
      </c>
      <c r="H220" s="10" t="n">
        <v>46115</v>
      </c>
    </row>
    <row r="221" customFormat="false" ht="15" hidden="false" customHeight="false" outlineLevel="0" collapsed="false">
      <c r="A221" s="8" t="s">
        <v>604</v>
      </c>
      <c r="B221" s="8" t="s">
        <v>605</v>
      </c>
      <c r="C221" s="9" t="n">
        <v>64</v>
      </c>
      <c r="D221" s="8" t="s">
        <v>90</v>
      </c>
      <c r="E221" s="8" t="s">
        <v>501</v>
      </c>
      <c r="F221" s="8" t="s">
        <v>166</v>
      </c>
      <c r="G221" s="9" t="n">
        <v>90</v>
      </c>
      <c r="H221" s="10" t="n">
        <v>46039</v>
      </c>
    </row>
    <row r="222" customFormat="false" ht="15" hidden="false" customHeight="false" outlineLevel="0" collapsed="false">
      <c r="A222" s="8" t="s">
        <v>606</v>
      </c>
      <c r="B222" s="8" t="s">
        <v>607</v>
      </c>
      <c r="C222" s="9" t="n">
        <v>61</v>
      </c>
      <c r="D222" s="8" t="s">
        <v>90</v>
      </c>
      <c r="E222" s="8" t="s">
        <v>561</v>
      </c>
      <c r="F222" s="8" t="s">
        <v>394</v>
      </c>
      <c r="G222" s="9" t="n">
        <v>95</v>
      </c>
      <c r="H222" s="10" t="n">
        <v>45629</v>
      </c>
    </row>
    <row r="223" customFormat="false" ht="15" hidden="false" customHeight="false" outlineLevel="0" collapsed="false">
      <c r="A223" s="8" t="s">
        <v>608</v>
      </c>
      <c r="B223" s="8" t="s">
        <v>609</v>
      </c>
      <c r="C223" s="9" t="n">
        <v>42</v>
      </c>
      <c r="D223" s="8" t="s">
        <v>46</v>
      </c>
      <c r="E223" s="8" t="s">
        <v>378</v>
      </c>
      <c r="F223" s="8" t="s">
        <v>115</v>
      </c>
      <c r="G223" s="9" t="n">
        <v>330</v>
      </c>
      <c r="H223" s="10" t="n">
        <v>45882</v>
      </c>
    </row>
    <row r="224" customFormat="false" ht="15" hidden="false" customHeight="false" outlineLevel="0" collapsed="false">
      <c r="A224" s="8" t="s">
        <v>610</v>
      </c>
      <c r="B224" s="8" t="s">
        <v>611</v>
      </c>
      <c r="C224" s="9" t="n">
        <v>45</v>
      </c>
      <c r="D224" s="8" t="s">
        <v>46</v>
      </c>
      <c r="E224" s="8" t="s">
        <v>49</v>
      </c>
      <c r="F224" s="8" t="s">
        <v>52</v>
      </c>
      <c r="G224" s="9" t="n">
        <v>5</v>
      </c>
      <c r="H224" s="10" t="n">
        <v>45856</v>
      </c>
    </row>
    <row r="225" customFormat="false" ht="15" hidden="false" customHeight="false" outlineLevel="0" collapsed="false">
      <c r="A225" s="8" t="s">
        <v>612</v>
      </c>
      <c r="B225" s="8" t="s">
        <v>613</v>
      </c>
      <c r="C225" s="9" t="n">
        <v>22</v>
      </c>
      <c r="D225" s="8" t="s">
        <v>46</v>
      </c>
      <c r="E225" s="8" t="s">
        <v>224</v>
      </c>
      <c r="F225" s="8" t="s">
        <v>650</v>
      </c>
      <c r="G225" s="9" t="n">
        <v>40</v>
      </c>
      <c r="H225" s="10" t="n">
        <v>46088</v>
      </c>
    </row>
    <row r="226" customFormat="false" ht="15" hidden="false" customHeight="false" outlineLevel="0" collapsed="false">
      <c r="A226" s="8" t="s">
        <v>615</v>
      </c>
      <c r="B226" s="8" t="s">
        <v>616</v>
      </c>
      <c r="C226" s="9" t="n">
        <v>62</v>
      </c>
      <c r="D226" s="8" t="s">
        <v>46</v>
      </c>
      <c r="E226" s="8" t="s">
        <v>72</v>
      </c>
      <c r="F226" s="8" t="s">
        <v>214</v>
      </c>
      <c r="G226" s="9" t="n">
        <v>890</v>
      </c>
      <c r="H226" s="10" t="n">
        <v>45927</v>
      </c>
    </row>
    <row r="227" customFormat="false" ht="15" hidden="false" customHeight="false" outlineLevel="0" collapsed="false">
      <c r="A227" s="8" t="s">
        <v>617</v>
      </c>
      <c r="B227" s="8" t="s">
        <v>618</v>
      </c>
      <c r="C227" s="9" t="n">
        <v>43</v>
      </c>
      <c r="D227" s="8" t="s">
        <v>90</v>
      </c>
      <c r="E227" s="8" t="s">
        <v>49</v>
      </c>
      <c r="F227" s="8" t="s">
        <v>52</v>
      </c>
      <c r="G227" s="9" t="n">
        <v>5</v>
      </c>
      <c r="H227" s="10" t="n">
        <v>45859</v>
      </c>
    </row>
    <row r="228" customFormat="false" ht="15" hidden="false" customHeight="false" outlineLevel="0" collapsed="false">
      <c r="A228" s="8" t="s">
        <v>619</v>
      </c>
      <c r="B228" s="8" t="s">
        <v>570</v>
      </c>
      <c r="C228" s="9" t="n">
        <v>32</v>
      </c>
      <c r="D228" s="8" t="s">
        <v>46</v>
      </c>
      <c r="E228" s="8" t="s">
        <v>49</v>
      </c>
      <c r="F228" s="8" t="s">
        <v>52</v>
      </c>
      <c r="G228" s="9" t="n">
        <v>5</v>
      </c>
      <c r="H228" s="10" t="n">
        <v>46138</v>
      </c>
    </row>
    <row r="229" customFormat="false" ht="15" hidden="false" customHeight="false" outlineLevel="0" collapsed="false">
      <c r="A229" s="8" t="s">
        <v>620</v>
      </c>
      <c r="B229" s="8" t="s">
        <v>124</v>
      </c>
      <c r="C229" s="9" t="n">
        <v>46</v>
      </c>
      <c r="D229" s="8" t="s">
        <v>90</v>
      </c>
      <c r="E229" s="8" t="s">
        <v>68</v>
      </c>
      <c r="F229" s="8" t="s">
        <v>69</v>
      </c>
      <c r="G229" s="9" t="n">
        <v>365</v>
      </c>
      <c r="H229" s="10" t="n">
        <v>45859</v>
      </c>
    </row>
    <row r="230" customFormat="false" ht="15" hidden="false" customHeight="false" outlineLevel="0" collapsed="false">
      <c r="A230" s="8" t="s">
        <v>621</v>
      </c>
      <c r="B230" s="8" t="s">
        <v>622</v>
      </c>
      <c r="C230" s="9" t="n">
        <v>29</v>
      </c>
      <c r="D230" s="8" t="s">
        <v>90</v>
      </c>
      <c r="E230" s="8" t="s">
        <v>427</v>
      </c>
      <c r="F230" s="8" t="s">
        <v>647</v>
      </c>
      <c r="G230" s="9" t="n">
        <v>185</v>
      </c>
      <c r="H230" s="10" t="n">
        <v>45578</v>
      </c>
    </row>
    <row r="231" customFormat="false" ht="15" hidden="false" customHeight="false" outlineLevel="0" collapsed="false">
      <c r="A231" s="8" t="s">
        <v>623</v>
      </c>
      <c r="B231" s="8" t="s">
        <v>624</v>
      </c>
      <c r="C231" s="9" t="n">
        <v>95</v>
      </c>
      <c r="D231" s="8" t="s">
        <v>46</v>
      </c>
      <c r="E231" s="8" t="s">
        <v>378</v>
      </c>
      <c r="F231" s="8" t="s">
        <v>115</v>
      </c>
      <c r="G231" s="9" t="n">
        <v>385</v>
      </c>
      <c r="H231" s="10" t="n">
        <v>46146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9"/>
    <col collapsed="false" customWidth="true" hidden="false" outlineLevel="0" max="4" min="4" style="0" width="18"/>
    <col collapsed="false" customWidth="true" hidden="false" outlineLevel="0" max="5" min="5" style="0" width="22"/>
  </cols>
  <sheetData>
    <row r="2" customFormat="false" ht="19.7" hidden="false" customHeight="false" outlineLevel="0" collapsed="false">
      <c r="B2" s="1" t="s">
        <v>653</v>
      </c>
    </row>
    <row r="3" customFormat="false" ht="15" hidden="false" customHeight="false" outlineLevel="0" collapsed="false">
      <c r="B3" s="2" t="s">
        <v>654</v>
      </c>
    </row>
    <row r="5" customFormat="false" ht="15" hidden="false" customHeight="false" outlineLevel="0" collapsed="false">
      <c r="B5" s="11" t="s">
        <v>655</v>
      </c>
      <c r="C5" s="11"/>
    </row>
    <row r="6" customFormat="false" ht="15" hidden="false" customHeight="false" outlineLevel="0" collapsed="false">
      <c r="B6" s="8" t="s">
        <v>656</v>
      </c>
      <c r="C6" s="16" t="n">
        <f aca="false">COUNTA('Cleaned Data'!A2:A231)</f>
        <v>230</v>
      </c>
    </row>
    <row r="7" customFormat="false" ht="15" hidden="false" customHeight="false" outlineLevel="0" collapsed="false">
      <c r="B7" s="8" t="s">
        <v>657</v>
      </c>
      <c r="C7" s="17" t="n">
        <f aca="false">ROUND(AVERAGE('Cleaned Data'!C2:C231),1)</f>
        <v>46.4</v>
      </c>
    </row>
    <row r="8" customFormat="false" ht="15" hidden="false" customHeight="false" outlineLevel="0" collapsed="false">
      <c r="B8" s="8" t="s">
        <v>658</v>
      </c>
      <c r="C8" s="16" t="n">
        <f aca="false">MEDIAN('Cleaned Data'!C2:C231)</f>
        <v>46</v>
      </c>
    </row>
    <row r="9" customFormat="false" ht="15" hidden="false" customHeight="false" outlineLevel="0" collapsed="false">
      <c r="B9" s="8" t="s">
        <v>659</v>
      </c>
      <c r="C9" s="16" t="n">
        <f aca="false">MIN('Cleaned Data'!C2:C231)</f>
        <v>4</v>
      </c>
    </row>
    <row r="10" customFormat="false" ht="15" hidden="false" customHeight="false" outlineLevel="0" collapsed="false">
      <c r="B10" s="8" t="s">
        <v>660</v>
      </c>
      <c r="C10" s="16" t="n">
        <f aca="false">MAX('Cleaned Data'!C2:C231)</f>
        <v>95</v>
      </c>
    </row>
    <row r="11" customFormat="false" ht="15" hidden="false" customHeight="false" outlineLevel="0" collapsed="false">
      <c r="B11" s="8" t="s">
        <v>661</v>
      </c>
      <c r="C11" s="17" t="n">
        <f aca="false">ROUND(AVERAGE('Cleaned Data'!G2:G231),1)</f>
        <v>275.3</v>
      </c>
    </row>
    <row r="13" customFormat="false" ht="15" hidden="false" customHeight="false" outlineLevel="0" collapsed="false">
      <c r="B13" s="11" t="s">
        <v>662</v>
      </c>
      <c r="C13" s="11"/>
      <c r="D13" s="11"/>
    </row>
    <row r="14" customFormat="false" ht="15" hidden="false" customHeight="false" outlineLevel="0" collapsed="false">
      <c r="B14" s="5" t="s">
        <v>44</v>
      </c>
      <c r="C14" s="5" t="s">
        <v>663</v>
      </c>
      <c r="D14" s="5" t="s">
        <v>664</v>
      </c>
    </row>
    <row r="15" customFormat="false" ht="15" hidden="false" customHeight="false" outlineLevel="0" collapsed="false">
      <c r="B15" s="13" t="s">
        <v>46</v>
      </c>
      <c r="C15" s="13" t="n">
        <f aca="false">COUNTIF('Cleaned Data'!D2:D231,"Male")</f>
        <v>114</v>
      </c>
      <c r="D15" s="14" t="n">
        <f aca="false">C15/'Analysis Summary'!$C$6</f>
        <v>0.495652173913044</v>
      </c>
    </row>
    <row r="16" customFormat="false" ht="15" hidden="false" customHeight="false" outlineLevel="0" collapsed="false">
      <c r="B16" s="13" t="s">
        <v>90</v>
      </c>
      <c r="C16" s="13" t="n">
        <f aca="false">COUNTIF('Cleaned Data'!D2:D231,"Female")</f>
        <v>110</v>
      </c>
      <c r="D16" s="14" t="n">
        <f aca="false">C16/'Analysis Summary'!$C$6</f>
        <v>0.478260869565217</v>
      </c>
    </row>
    <row r="17" customFormat="false" ht="15" hidden="false" customHeight="false" outlineLevel="0" collapsed="false">
      <c r="B17" s="13" t="s">
        <v>648</v>
      </c>
      <c r="C17" s="13" t="n">
        <f aca="false">COUNTIF('Cleaned Data'!D2:D231,"Unknown")</f>
        <v>6</v>
      </c>
      <c r="D17" s="14" t="n">
        <f aca="false">C17/'Analysis Summary'!$C$6</f>
        <v>0.0260869565217391</v>
      </c>
    </row>
    <row r="19" customFormat="false" ht="15" hidden="false" customHeight="false" outlineLevel="0" collapsed="false">
      <c r="B19" s="11" t="s">
        <v>665</v>
      </c>
      <c r="C19" s="11"/>
      <c r="D19" s="11"/>
      <c r="E19" s="11"/>
    </row>
    <row r="20" customFormat="false" ht="15" hidden="false" customHeight="false" outlineLevel="0" collapsed="false">
      <c r="B20" s="5" t="s">
        <v>47</v>
      </c>
      <c r="C20" s="5" t="s">
        <v>663</v>
      </c>
      <c r="D20" s="5" t="s">
        <v>664</v>
      </c>
      <c r="E20" s="5" t="s">
        <v>666</v>
      </c>
    </row>
    <row r="21" customFormat="false" ht="15" hidden="false" customHeight="false" outlineLevel="0" collapsed="false">
      <c r="B21" s="13" t="s">
        <v>49</v>
      </c>
      <c r="C21" s="13" t="n">
        <f aca="false">COUNTIF('Cleaned Data'!E2:E231,"Hypertension")</f>
        <v>43</v>
      </c>
      <c r="D21" s="14" t="n">
        <f aca="false">C21/'Analysis Summary'!$C$6</f>
        <v>0.18695652173913</v>
      </c>
      <c r="E21" s="13" t="n">
        <f aca="false">ROUND(AVERAGEIFS('Cleaned Data'!C2:C231,'Cleaned Data'!E2:E231,B21),1)</f>
        <v>48.6</v>
      </c>
    </row>
    <row r="22" customFormat="false" ht="15" hidden="false" customHeight="false" outlineLevel="0" collapsed="false">
      <c r="B22" s="13" t="s">
        <v>72</v>
      </c>
      <c r="C22" s="13" t="n">
        <f aca="false">COUNTIF('Cleaned Data'!E2:E231,"Diabetes")</f>
        <v>30</v>
      </c>
      <c r="D22" s="14" t="n">
        <f aca="false">C22/'Analysis Summary'!$C$6</f>
        <v>0.130434782608696</v>
      </c>
      <c r="E22" s="13" t="n">
        <f aca="false">ROUND(AVERAGEIFS('Cleaned Data'!C2:C231,'Cleaned Data'!E2:E231,B22),1)</f>
        <v>46.2</v>
      </c>
    </row>
    <row r="23" customFormat="false" ht="15" hidden="false" customHeight="false" outlineLevel="0" collapsed="false">
      <c r="B23" s="13" t="s">
        <v>298</v>
      </c>
      <c r="C23" s="13" t="n">
        <f aca="false">COUNTIF('Cleaned Data'!E2:E231,"Flu")</f>
        <v>22</v>
      </c>
      <c r="D23" s="14" t="n">
        <f aca="false">C23/'Analysis Summary'!$C$6</f>
        <v>0.0956521739130435</v>
      </c>
      <c r="E23" s="13" t="n">
        <f aca="false">ROUND(AVERAGEIFS('Cleaned Data'!C2:C231,'Cleaned Data'!E2:E231,B23),1)</f>
        <v>49.6</v>
      </c>
    </row>
    <row r="24" customFormat="false" ht="15" hidden="false" customHeight="false" outlineLevel="0" collapsed="false">
      <c r="B24" s="13" t="s">
        <v>468</v>
      </c>
      <c r="C24" s="13" t="n">
        <f aca="false">COUNTIF('Cleaned Data'!E2:E231,"Migraine")</f>
        <v>19</v>
      </c>
      <c r="D24" s="14" t="n">
        <f aca="false">C24/'Analysis Summary'!$C$6</f>
        <v>0.0826086956521739</v>
      </c>
      <c r="E24" s="13" t="n">
        <f aca="false">ROUND(AVERAGEIFS('Cleaned Data'!C2:C231,'Cleaned Data'!E2:E231,B24),1)</f>
        <v>40.1</v>
      </c>
    </row>
    <row r="25" customFormat="false" ht="15" hidden="false" customHeight="false" outlineLevel="0" collapsed="false">
      <c r="B25" s="13" t="s">
        <v>427</v>
      </c>
      <c r="C25" s="13" t="n">
        <f aca="false">COUNTIF('Cleaned Data'!E2:E231,"Asthma")</f>
        <v>18</v>
      </c>
      <c r="D25" s="14" t="n">
        <f aca="false">C25/'Analysis Summary'!$C$6</f>
        <v>0.0782608695652174</v>
      </c>
      <c r="E25" s="13" t="n">
        <f aca="false">ROUND(AVERAGEIFS('Cleaned Data'!C2:C231,'Cleaned Data'!E2:E231,B25),1)</f>
        <v>49.9</v>
      </c>
    </row>
    <row r="26" customFormat="false" ht="15" hidden="false" customHeight="false" outlineLevel="0" collapsed="false">
      <c r="B26" s="13" t="s">
        <v>649</v>
      </c>
      <c r="C26" s="13" t="n">
        <f aca="false">COUNTIF('Cleaned Data'!E2:E231,"Anemia")</f>
        <v>16</v>
      </c>
      <c r="D26" s="14" t="n">
        <f aca="false">C26/'Analysis Summary'!$C$6</f>
        <v>0.0695652173913044</v>
      </c>
      <c r="E26" s="13" t="n">
        <f aca="false">ROUND(AVERAGEIFS('Cleaned Data'!C2:C231,'Cleaned Data'!E2:E231,B26),1)</f>
        <v>44.3</v>
      </c>
    </row>
    <row r="27" customFormat="false" ht="15" hidden="false" customHeight="false" outlineLevel="0" collapsed="false">
      <c r="B27" s="13" t="s">
        <v>68</v>
      </c>
      <c r="C27" s="13" t="n">
        <f aca="false">COUNTIF('Cleaned Data'!E2:E231,"Arthritis")</f>
        <v>14</v>
      </c>
      <c r="D27" s="14" t="n">
        <f aca="false">C27/'Analysis Summary'!$C$6</f>
        <v>0.0608695652173913</v>
      </c>
      <c r="E27" s="13" t="n">
        <f aca="false">ROUND(AVERAGEIFS('Cleaned Data'!C2:C231,'Cleaned Data'!E2:E231,B27),1)</f>
        <v>50.4</v>
      </c>
    </row>
    <row r="28" customFormat="false" ht="15" hidden="false" customHeight="false" outlineLevel="0" collapsed="false">
      <c r="B28" s="13" t="s">
        <v>378</v>
      </c>
      <c r="C28" s="13" t="n">
        <f aca="false">COUNTIF('Cleaned Data'!E2:E231,"Bronchitis")</f>
        <v>14</v>
      </c>
      <c r="D28" s="14" t="n">
        <f aca="false">C28/'Analysis Summary'!$C$6</f>
        <v>0.0608695652173913</v>
      </c>
      <c r="E28" s="13" t="n">
        <f aca="false">ROUND(AVERAGEIFS('Cleaned Data'!C2:C231,'Cleaned Data'!E2:E231,B28),1)</f>
        <v>48.6</v>
      </c>
    </row>
    <row r="29" customFormat="false" ht="15" hidden="false" customHeight="false" outlineLevel="0" collapsed="false">
      <c r="B29" s="13" t="s">
        <v>501</v>
      </c>
      <c r="C29" s="13" t="n">
        <f aca="false">COUNTIF('Cleaned Data'!E2:E231,"Obesity")</f>
        <v>12</v>
      </c>
      <c r="D29" s="14" t="n">
        <f aca="false">C29/'Analysis Summary'!$C$6</f>
        <v>0.0521739130434783</v>
      </c>
      <c r="E29" s="13" t="n">
        <f aca="false">ROUND(AVERAGEIFS('Cleaned Data'!C2:C231,'Cleaned Data'!E2:E231,B29),1)</f>
        <v>35.2</v>
      </c>
    </row>
    <row r="30" customFormat="false" ht="15" hidden="false" customHeight="false" outlineLevel="0" collapsed="false">
      <c r="B30" s="13" t="s">
        <v>186</v>
      </c>
      <c r="C30" s="13" t="n">
        <f aca="false">COUNTIF('Cleaned Data'!E2:E231,"Allergy")</f>
        <v>10</v>
      </c>
      <c r="D30" s="14" t="n">
        <f aca="false">C30/'Analysis Summary'!$C$6</f>
        <v>0.0434782608695652</v>
      </c>
      <c r="E30" s="13" t="n">
        <f aca="false">ROUND(AVERAGEIFS('Cleaned Data'!C2:C231,'Cleaned Data'!E2:E231,B30),1)</f>
        <v>48.8</v>
      </c>
    </row>
    <row r="31" customFormat="false" ht="15" hidden="false" customHeight="false" outlineLevel="0" collapsed="false">
      <c r="B31" s="13" t="s">
        <v>647</v>
      </c>
      <c r="C31" s="13" t="n">
        <f aca="false">COUNTIF('Cleaned Data'!E2:E231,"Not Specified")</f>
        <v>9</v>
      </c>
      <c r="D31" s="14" t="n">
        <f aca="false">C31/'Analysis Summary'!$C$6</f>
        <v>0.0391304347826087</v>
      </c>
      <c r="E31" s="13" t="n">
        <f aca="false">ROUND(AVERAGEIFS('Cleaned Data'!C2:C231,'Cleaned Data'!E2:E231,B31),1)</f>
        <v>47.2</v>
      </c>
    </row>
    <row r="32" customFormat="false" ht="15" hidden="false" customHeight="false" outlineLevel="0" collapsed="false">
      <c r="B32" s="13" t="s">
        <v>561</v>
      </c>
      <c r="C32" s="13" t="n">
        <f aca="false">COUNTIF('Cleaned Data'!E2:E231,"Thyroid Disorder")</f>
        <v>8</v>
      </c>
      <c r="D32" s="14" t="n">
        <f aca="false">C32/'Analysis Summary'!$C$6</f>
        <v>0.0347826086956522</v>
      </c>
      <c r="E32" s="13" t="n">
        <f aca="false">ROUND(AVERAGEIFS('Cleaned Data'!C2:C231,'Cleaned Data'!E2:E231,B32),1)</f>
        <v>54.4</v>
      </c>
    </row>
    <row r="33" customFormat="false" ht="15" hidden="false" customHeight="false" outlineLevel="0" collapsed="false">
      <c r="B33" s="13" t="s">
        <v>148</v>
      </c>
      <c r="C33" s="13" t="n">
        <f aca="false">COUNTIF('Cleaned Data'!E2:E231,"Depression")</f>
        <v>7</v>
      </c>
      <c r="D33" s="14" t="n">
        <f aca="false">C33/'Analysis Summary'!$C$6</f>
        <v>0.0304347826086957</v>
      </c>
      <c r="E33" s="13" t="n">
        <f aca="false">ROUND(AVERAGEIFS('Cleaned Data'!C2:C231,'Cleaned Data'!E2:E231,B33),1)</f>
        <v>39.3</v>
      </c>
    </row>
    <row r="34" customFormat="false" ht="15" hidden="false" customHeight="false" outlineLevel="0" collapsed="false">
      <c r="B34" s="13" t="s">
        <v>651</v>
      </c>
      <c r="C34" s="13" t="n">
        <f aca="false">COUNTIF('Cleaned Data'!E2:E231,"Covid-19")</f>
        <v>5</v>
      </c>
      <c r="D34" s="14" t="n">
        <f aca="false">C34/'Analysis Summary'!$C$6</f>
        <v>0.0217391304347826</v>
      </c>
      <c r="E34" s="13" t="n">
        <f aca="false">ROUND(AVERAGEIFS('Cleaned Data'!C2:C231,'Cleaned Data'!E2:E231,B34),1)</f>
        <v>43.8</v>
      </c>
    </row>
    <row r="35" customFormat="false" ht="15" hidden="false" customHeight="false" outlineLevel="0" collapsed="false">
      <c r="B35" s="13" t="s">
        <v>224</v>
      </c>
      <c r="C35" s="13" t="n">
        <f aca="false">COUNTIF('Cleaned Data'!E2:E231,"Gastritis")</f>
        <v>3</v>
      </c>
      <c r="D35" s="14" t="n">
        <f aca="false">C35/'Analysis Summary'!$C$6</f>
        <v>0.0130434782608696</v>
      </c>
      <c r="E35" s="13" t="n">
        <f aca="false">ROUND(AVERAGEIFS('Cleaned Data'!C2:C231,'Cleaned Data'!E2:E231,B35),1)</f>
        <v>27.7</v>
      </c>
    </row>
    <row r="37" customFormat="false" ht="15" hidden="false" customHeight="false" outlineLevel="0" collapsed="false">
      <c r="B37" s="11" t="s">
        <v>667</v>
      </c>
      <c r="C37" s="11"/>
      <c r="D37" s="11"/>
    </row>
    <row r="38" customFormat="false" ht="15" hidden="false" customHeight="false" outlineLevel="0" collapsed="false">
      <c r="B38" s="5" t="s">
        <v>50</v>
      </c>
      <c r="C38" s="5" t="s">
        <v>668</v>
      </c>
      <c r="D38" s="5" t="s">
        <v>669</v>
      </c>
    </row>
    <row r="39" customFormat="false" ht="15" hidden="false" customHeight="false" outlineLevel="0" collapsed="false">
      <c r="B39" s="13" t="s">
        <v>52</v>
      </c>
      <c r="C39" s="13" t="n">
        <f aca="false">COUNTIF('Cleaned Data'!F2:F231,"Amlodipine")</f>
        <v>42</v>
      </c>
      <c r="D39" s="13" t="n">
        <f aca="false">ROUND(AVERAGEIFS('Cleaned Data'!G2:G231,'Cleaned Data'!F2:F231,B39),1)</f>
        <v>6.9</v>
      </c>
    </row>
    <row r="40" customFormat="false" ht="15" hidden="false" customHeight="false" outlineLevel="0" collapsed="false">
      <c r="B40" s="13" t="s">
        <v>214</v>
      </c>
      <c r="C40" s="13" t="n">
        <f aca="false">COUNTIF('Cleaned Data'!F2:F231,"Metformin")</f>
        <v>30</v>
      </c>
      <c r="D40" s="13" t="n">
        <f aca="false">ROUND(AVERAGEIFS('Cleaned Data'!G2:G231,'Cleaned Data'!F2:F231,B40),1)</f>
        <v>760.5</v>
      </c>
    </row>
    <row r="41" customFormat="false" ht="15" hidden="false" customHeight="false" outlineLevel="0" collapsed="false">
      <c r="B41" s="13" t="s">
        <v>145</v>
      </c>
      <c r="C41" s="13" t="n">
        <f aca="false">COUNTIF('Cleaned Data'!F2:F231,"Sumatriptan")</f>
        <v>21</v>
      </c>
      <c r="D41" s="13" t="n">
        <f aca="false">ROUND(AVERAGEIFS('Cleaned Data'!G2:G231,'Cleaned Data'!F2:F231,B41),1)</f>
        <v>63.7</v>
      </c>
    </row>
    <row r="42" customFormat="false" ht="15" hidden="false" customHeight="false" outlineLevel="0" collapsed="false">
      <c r="B42" s="13" t="s">
        <v>390</v>
      </c>
      <c r="C42" s="13" t="n">
        <f aca="false">COUNTIF('Cleaned Data'!F2:F231,"Paracetamol")</f>
        <v>19</v>
      </c>
      <c r="D42" s="13" t="n">
        <f aca="false">ROUND(AVERAGEIFS('Cleaned Data'!G2:G231,'Cleaned Data'!F2:F231,B42),1)</f>
        <v>562.4</v>
      </c>
    </row>
    <row r="43" customFormat="false" ht="15" hidden="false" customHeight="false" outlineLevel="0" collapsed="false">
      <c r="B43" s="13" t="s">
        <v>277</v>
      </c>
      <c r="C43" s="13" t="n">
        <f aca="false">COUNTIF('Cleaned Data'!F2:F231,"Salbutamol")</f>
        <v>18</v>
      </c>
      <c r="D43" s="13" t="n">
        <f aca="false">ROUND(AVERAGEIFS('Cleaned Data'!G2:G231,'Cleaned Data'!F2:F231,B43),1)</f>
        <v>153.9</v>
      </c>
    </row>
    <row r="44" customFormat="false" ht="15" hidden="false" customHeight="false" outlineLevel="0" collapsed="false">
      <c r="B44" s="13" t="s">
        <v>69</v>
      </c>
      <c r="C44" s="13" t="n">
        <f aca="false">COUNTIF('Cleaned Data'!F2:F231,"Ibuprofen")</f>
        <v>16</v>
      </c>
      <c r="D44" s="13" t="n">
        <f aca="false">ROUND(AVERAGEIFS('Cleaned Data'!G2:G231,'Cleaned Data'!F2:F231,B44),1)</f>
        <v>331.5</v>
      </c>
    </row>
    <row r="45" customFormat="false" ht="15" hidden="false" customHeight="false" outlineLevel="0" collapsed="false">
      <c r="B45" s="13" t="s">
        <v>154</v>
      </c>
      <c r="C45" s="13" t="n">
        <f aca="false">COUNTIF('Cleaned Data'!F2:F231,"Ferrous Sulfate")</f>
        <v>16</v>
      </c>
      <c r="D45" s="13" t="n">
        <f aca="false">ROUND(AVERAGEIFS('Cleaned Data'!G2:G231,'Cleaned Data'!F2:F231,B45),1)</f>
        <v>253.8</v>
      </c>
    </row>
    <row r="46" customFormat="false" ht="15" hidden="false" customHeight="false" outlineLevel="0" collapsed="false">
      <c r="B46" s="13" t="s">
        <v>115</v>
      </c>
      <c r="C46" s="13" t="n">
        <f aca="false">COUNTIF('Cleaned Data'!F2:F231,"Azithromycin")</f>
        <v>13</v>
      </c>
      <c r="D46" s="13" t="n">
        <f aca="false">ROUND(AVERAGEIFS('Cleaned Data'!G2:G231,'Cleaned Data'!F2:F231,B46),1)</f>
        <v>332.7</v>
      </c>
    </row>
    <row r="47" customFormat="false" ht="15" hidden="false" customHeight="false" outlineLevel="0" collapsed="false">
      <c r="B47" s="13" t="s">
        <v>647</v>
      </c>
      <c r="C47" s="13" t="n">
        <f aca="false">COUNTIF('Cleaned Data'!F2:F231,"Not Specified")</f>
        <v>11</v>
      </c>
      <c r="D47" s="13" t="n">
        <f aca="false">ROUND(AVERAGEIFS('Cleaned Data'!G2:G231,'Cleaned Data'!F2:F231,B47),1)</f>
        <v>319.1</v>
      </c>
    </row>
    <row r="48" customFormat="false" ht="15" hidden="false" customHeight="false" outlineLevel="0" collapsed="false">
      <c r="B48" s="13" t="s">
        <v>166</v>
      </c>
      <c r="C48" s="13" t="n">
        <f aca="false">COUNTIF('Cleaned Data'!F2:F231,"Orlistat")</f>
        <v>11</v>
      </c>
      <c r="D48" s="13" t="n">
        <f aca="false">ROUND(AVERAGEIFS('Cleaned Data'!G2:G231,'Cleaned Data'!F2:F231,B48),1)</f>
        <v>90.5</v>
      </c>
    </row>
    <row r="49" customFormat="false" ht="15" hidden="false" customHeight="false" outlineLevel="0" collapsed="false">
      <c r="B49" s="13" t="s">
        <v>262</v>
      </c>
      <c r="C49" s="13" t="n">
        <f aca="false">COUNTIF('Cleaned Data'!F2:F231,"Cetirizine")</f>
        <v>10</v>
      </c>
      <c r="D49" s="13" t="n">
        <f aca="false">ROUND(AVERAGEIFS('Cleaned Data'!G2:G231,'Cleaned Data'!F2:F231,B49),1)</f>
        <v>8</v>
      </c>
    </row>
    <row r="50" customFormat="false" ht="15" hidden="false" customHeight="false" outlineLevel="0" collapsed="false">
      <c r="B50" s="13" t="s">
        <v>394</v>
      </c>
      <c r="C50" s="13" t="n">
        <f aca="false">COUNTIF('Cleaned Data'!F2:F231,"Levothyroxine")</f>
        <v>8</v>
      </c>
      <c r="D50" s="13" t="n">
        <f aca="false">ROUND(AVERAGEIFS('Cleaned Data'!G2:G231,'Cleaned Data'!F2:F231,B50),1)</f>
        <v>71.3</v>
      </c>
    </row>
    <row r="51" customFormat="false" ht="15" hidden="false" customHeight="false" outlineLevel="0" collapsed="false">
      <c r="B51" s="13" t="s">
        <v>646</v>
      </c>
      <c r="C51" s="13" t="n">
        <f aca="false">COUNTIF('Cleaned Data'!F2:F231,"Sertraline")</f>
        <v>7</v>
      </c>
      <c r="D51" s="13" t="n">
        <f aca="false">ROUND(AVERAGEIFS('Cleaned Data'!G2:G231,'Cleaned Data'!F2:F231,B51),1)</f>
        <v>68.6</v>
      </c>
    </row>
    <row r="52" customFormat="false" ht="15" hidden="false" customHeight="false" outlineLevel="0" collapsed="false">
      <c r="B52" s="13" t="s">
        <v>323</v>
      </c>
      <c r="C52" s="13" t="n">
        <f aca="false">COUNTIF('Cleaned Data'!F2:F231,"Favipiravir")</f>
        <v>5</v>
      </c>
      <c r="D52" s="13" t="n">
        <f aca="false">ROUND(AVERAGEIFS('Cleaned Data'!G2:G231,'Cleaned Data'!F2:F231,B52),1)</f>
        <v>1200</v>
      </c>
    </row>
    <row r="53" customFormat="false" ht="15" hidden="false" customHeight="false" outlineLevel="0" collapsed="false">
      <c r="B53" s="13" t="s">
        <v>650</v>
      </c>
      <c r="C53" s="13" t="n">
        <f aca="false">COUNTIF('Cleaned Data'!F2:F231,"Omeprazole")</f>
        <v>3</v>
      </c>
      <c r="D53" s="13" t="n">
        <f aca="false">ROUND(AVERAGEIFS('Cleaned Data'!G2:G231,'Cleaned Data'!F2:F231,B53),1)</f>
        <v>30</v>
      </c>
    </row>
  </sheetData>
  <mergeCells count="4">
    <mergeCell ref="B5:C5"/>
    <mergeCell ref="B13:D13"/>
    <mergeCell ref="B19:E19"/>
    <mergeCell ref="B37:D3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7"/>
    <col collapsed="false" customWidth="true" hidden="false" outlineLevel="0" max="4" min="4" style="0" width="13"/>
  </cols>
  <sheetData>
    <row r="2" customFormat="false" ht="19.7" hidden="false" customHeight="false" outlineLevel="0" collapsed="false">
      <c r="B2" s="1" t="s">
        <v>670</v>
      </c>
    </row>
    <row r="3" customFormat="false" ht="15" hidden="false" customHeight="false" outlineLevel="0" collapsed="false">
      <c r="B3" s="2" t="s">
        <v>671</v>
      </c>
    </row>
    <row r="5" customFormat="false" ht="15" hidden="false" customHeight="false" outlineLevel="0" collapsed="false">
      <c r="B5" s="11" t="s">
        <v>672</v>
      </c>
      <c r="C5" s="11"/>
      <c r="D5" s="11"/>
    </row>
    <row r="6" customFormat="false" ht="15" hidden="false" customHeight="false" outlineLevel="0" collapsed="false">
      <c r="B6" s="5" t="s">
        <v>47</v>
      </c>
      <c r="C6" s="5" t="s">
        <v>663</v>
      </c>
      <c r="D6" s="5" t="s">
        <v>664</v>
      </c>
    </row>
    <row r="7" customFormat="false" ht="15" hidden="false" customHeight="false" outlineLevel="0" collapsed="false">
      <c r="B7" s="13" t="s">
        <v>49</v>
      </c>
      <c r="C7" s="13" t="n">
        <f aca="false">COUNTIF('Cleaned Data'!E2:E231,"Hypertension")</f>
        <v>43</v>
      </c>
      <c r="D7" s="14" t="n">
        <f aca="false">C7/'Analysis Summary'!$C$6</f>
        <v>0.18695652173913</v>
      </c>
    </row>
    <row r="8" customFormat="false" ht="15" hidden="false" customHeight="false" outlineLevel="0" collapsed="false">
      <c r="B8" s="13" t="s">
        <v>72</v>
      </c>
      <c r="C8" s="13" t="n">
        <f aca="false">COUNTIF('Cleaned Data'!E2:E231,"Diabetes")</f>
        <v>30</v>
      </c>
      <c r="D8" s="14" t="n">
        <f aca="false">C8/'Analysis Summary'!$C$6</f>
        <v>0.130434782608696</v>
      </c>
    </row>
    <row r="9" customFormat="false" ht="15" hidden="false" customHeight="false" outlineLevel="0" collapsed="false">
      <c r="B9" s="13" t="s">
        <v>298</v>
      </c>
      <c r="C9" s="13" t="n">
        <f aca="false">COUNTIF('Cleaned Data'!E2:E231,"Flu")</f>
        <v>22</v>
      </c>
      <c r="D9" s="14" t="n">
        <f aca="false">C9/'Analysis Summary'!$C$6</f>
        <v>0.0956521739130435</v>
      </c>
    </row>
    <row r="10" customFormat="false" ht="15" hidden="false" customHeight="false" outlineLevel="0" collapsed="false">
      <c r="B10" s="13" t="s">
        <v>468</v>
      </c>
      <c r="C10" s="13" t="n">
        <f aca="false">COUNTIF('Cleaned Data'!E2:E231,"Migraine")</f>
        <v>19</v>
      </c>
      <c r="D10" s="14" t="n">
        <f aca="false">C10/'Analysis Summary'!$C$6</f>
        <v>0.0826086956521739</v>
      </c>
    </row>
    <row r="11" customFormat="false" ht="15" hidden="false" customHeight="false" outlineLevel="0" collapsed="false">
      <c r="B11" s="13" t="s">
        <v>427</v>
      </c>
      <c r="C11" s="13" t="n">
        <f aca="false">COUNTIF('Cleaned Data'!E2:E231,"Asthma")</f>
        <v>18</v>
      </c>
      <c r="D11" s="14" t="n">
        <f aca="false">C11/'Analysis Summary'!$C$6</f>
        <v>0.0782608695652174</v>
      </c>
    </row>
    <row r="12" customFormat="false" ht="15" hidden="false" customHeight="false" outlineLevel="0" collapsed="false">
      <c r="B12" s="13" t="s">
        <v>649</v>
      </c>
      <c r="C12" s="13" t="n">
        <f aca="false">COUNTIF('Cleaned Data'!E2:E231,"Anemia")</f>
        <v>16</v>
      </c>
      <c r="D12" s="14" t="n">
        <f aca="false">C12/'Analysis Summary'!$C$6</f>
        <v>0.0695652173913044</v>
      </c>
    </row>
    <row r="13" customFormat="false" ht="15" hidden="false" customHeight="false" outlineLevel="0" collapsed="false">
      <c r="B13" s="13" t="s">
        <v>68</v>
      </c>
      <c r="C13" s="13" t="n">
        <f aca="false">COUNTIF('Cleaned Data'!E2:E231,"Arthritis")</f>
        <v>14</v>
      </c>
      <c r="D13" s="14" t="n">
        <f aca="false">C13/'Analysis Summary'!$C$6</f>
        <v>0.0608695652173913</v>
      </c>
    </row>
    <row r="14" customFormat="false" ht="15" hidden="false" customHeight="false" outlineLevel="0" collapsed="false">
      <c r="B14" s="13" t="s">
        <v>378</v>
      </c>
      <c r="C14" s="13" t="n">
        <f aca="false">COUNTIF('Cleaned Data'!E2:E231,"Bronchitis")</f>
        <v>14</v>
      </c>
      <c r="D14" s="14" t="n">
        <f aca="false">C14/'Analysis Summary'!$C$6</f>
        <v>0.0608695652173913</v>
      </c>
    </row>
    <row r="15" customFormat="false" ht="15" hidden="false" customHeight="false" outlineLevel="0" collapsed="false">
      <c r="B15" s="13" t="s">
        <v>501</v>
      </c>
      <c r="C15" s="13" t="n">
        <f aca="false">COUNTIF('Cleaned Data'!E2:E231,"Obesity")</f>
        <v>12</v>
      </c>
      <c r="D15" s="14" t="n">
        <f aca="false">C15/'Analysis Summary'!$C$6</f>
        <v>0.0521739130434783</v>
      </c>
    </row>
    <row r="16" customFormat="false" ht="15" hidden="false" customHeight="false" outlineLevel="0" collapsed="false">
      <c r="B16" s="13" t="s">
        <v>186</v>
      </c>
      <c r="C16" s="13" t="n">
        <f aca="false">COUNTIF('Cleaned Data'!E2:E231,"Allergy")</f>
        <v>10</v>
      </c>
      <c r="D16" s="14" t="n">
        <f aca="false">C16/'Analysis Summary'!$C$6</f>
        <v>0.0434782608695652</v>
      </c>
    </row>
    <row r="17" customFormat="false" ht="15" hidden="false" customHeight="false" outlineLevel="0" collapsed="false">
      <c r="B17" s="13" t="s">
        <v>647</v>
      </c>
      <c r="C17" s="13" t="n">
        <f aca="false">COUNTIF('Cleaned Data'!E2:E231,"Not Specified")</f>
        <v>9</v>
      </c>
      <c r="D17" s="14" t="n">
        <f aca="false">C17/'Analysis Summary'!$C$6</f>
        <v>0.0391304347826087</v>
      </c>
    </row>
    <row r="18" customFormat="false" ht="15" hidden="false" customHeight="false" outlineLevel="0" collapsed="false">
      <c r="B18" s="13" t="s">
        <v>561</v>
      </c>
      <c r="C18" s="13" t="n">
        <f aca="false">COUNTIF('Cleaned Data'!E2:E231,"Thyroid Disorder")</f>
        <v>8</v>
      </c>
      <c r="D18" s="14" t="n">
        <f aca="false">C18/'Analysis Summary'!$C$6</f>
        <v>0.0347826086956522</v>
      </c>
    </row>
    <row r="19" customFormat="false" ht="15" hidden="false" customHeight="false" outlineLevel="0" collapsed="false">
      <c r="B19" s="13" t="s">
        <v>148</v>
      </c>
      <c r="C19" s="13" t="n">
        <f aca="false">COUNTIF('Cleaned Data'!E2:E231,"Depression")</f>
        <v>7</v>
      </c>
      <c r="D19" s="14" t="n">
        <f aca="false">C19/'Analysis Summary'!$C$6</f>
        <v>0.0304347826086957</v>
      </c>
    </row>
    <row r="20" customFormat="false" ht="15" hidden="false" customHeight="false" outlineLevel="0" collapsed="false">
      <c r="B20" s="13" t="s">
        <v>651</v>
      </c>
      <c r="C20" s="13" t="n">
        <f aca="false">COUNTIF('Cleaned Data'!E2:E231,"Covid-19")</f>
        <v>5</v>
      </c>
      <c r="D20" s="14" t="n">
        <f aca="false">C20/'Analysis Summary'!$C$6</f>
        <v>0.0217391304347826</v>
      </c>
    </row>
    <row r="21" customFormat="false" ht="15" hidden="false" customHeight="false" outlineLevel="0" collapsed="false">
      <c r="B21" s="13" t="s">
        <v>224</v>
      </c>
      <c r="C21" s="13" t="n">
        <f aca="false">COUNTIF('Cleaned Data'!E2:E231,"Gastritis")</f>
        <v>3</v>
      </c>
      <c r="D21" s="14" t="n">
        <f aca="false">C21/'Analysis Summary'!$C$6</f>
        <v>0.0130434782608696</v>
      </c>
    </row>
    <row r="24" customFormat="false" ht="15" hidden="false" customHeight="false" outlineLevel="0" collapsed="false">
      <c r="B24" s="11" t="s">
        <v>673</v>
      </c>
      <c r="C24" s="11"/>
      <c r="D24" s="11"/>
    </row>
    <row r="25" customFormat="false" ht="15" hidden="false" customHeight="false" outlineLevel="0" collapsed="false">
      <c r="B25" s="5" t="s">
        <v>674</v>
      </c>
      <c r="C25" s="5" t="s">
        <v>663</v>
      </c>
      <c r="D25" s="5" t="s">
        <v>664</v>
      </c>
    </row>
    <row r="26" customFormat="false" ht="15" hidden="false" customHeight="false" outlineLevel="0" collapsed="false">
      <c r="B26" s="13" t="s">
        <v>675</v>
      </c>
      <c r="C26" s="13" t="n">
        <f aca="false">COUNTIFS('Cleaned Data'!C2:C231,"&gt;=0",'Cleaned Data'!C2:C231,"&lt;=10")</f>
        <v>3</v>
      </c>
      <c r="D26" s="14" t="n">
        <f aca="false">C26/'Analysis Summary'!$C$6</f>
        <v>0.0130434782608696</v>
      </c>
    </row>
    <row r="27" customFormat="false" ht="15" hidden="false" customHeight="false" outlineLevel="0" collapsed="false">
      <c r="B27" s="13" t="s">
        <v>676</v>
      </c>
      <c r="C27" s="13" t="n">
        <f aca="false">COUNTIFS('Cleaned Data'!C2:C231,"&gt;=11",'Cleaned Data'!C2:C231,"&lt;=20")</f>
        <v>12</v>
      </c>
      <c r="D27" s="14" t="n">
        <f aca="false">C27/'Analysis Summary'!$C$6</f>
        <v>0.0521739130434783</v>
      </c>
    </row>
    <row r="28" customFormat="false" ht="15" hidden="false" customHeight="false" outlineLevel="0" collapsed="false">
      <c r="B28" s="13" t="s">
        <v>677</v>
      </c>
      <c r="C28" s="13" t="n">
        <f aca="false">COUNTIFS('Cleaned Data'!C2:C231,"&gt;=21",'Cleaned Data'!C2:C231,"&lt;=30")</f>
        <v>28</v>
      </c>
      <c r="D28" s="14" t="n">
        <f aca="false">C28/'Analysis Summary'!$C$6</f>
        <v>0.121739130434783</v>
      </c>
    </row>
    <row r="29" customFormat="false" ht="15" hidden="false" customHeight="false" outlineLevel="0" collapsed="false">
      <c r="B29" s="13" t="s">
        <v>678</v>
      </c>
      <c r="C29" s="13" t="n">
        <f aca="false">COUNTIFS('Cleaned Data'!C2:C231,"&gt;=31",'Cleaned Data'!C2:C231,"&lt;=40")</f>
        <v>38</v>
      </c>
      <c r="D29" s="14" t="n">
        <f aca="false">C29/'Analysis Summary'!$C$6</f>
        <v>0.165217391304348</v>
      </c>
    </row>
    <row r="30" customFormat="false" ht="15" hidden="false" customHeight="false" outlineLevel="0" collapsed="false">
      <c r="B30" s="13" t="s">
        <v>679</v>
      </c>
      <c r="C30" s="13" t="n">
        <f aca="false">COUNTIFS('Cleaned Data'!C2:C231,"&gt;=41",'Cleaned Data'!C2:C231,"&lt;=50")</f>
        <v>62</v>
      </c>
      <c r="D30" s="14" t="n">
        <f aca="false">C30/'Analysis Summary'!$C$6</f>
        <v>0.269565217391304</v>
      </c>
    </row>
    <row r="31" customFormat="false" ht="15" hidden="false" customHeight="false" outlineLevel="0" collapsed="false">
      <c r="B31" s="13" t="s">
        <v>680</v>
      </c>
      <c r="C31" s="13" t="n">
        <f aca="false">COUNTIFS('Cleaned Data'!C2:C231,"&gt;=51",'Cleaned Data'!C2:C231,"&lt;=60")</f>
        <v>41</v>
      </c>
      <c r="D31" s="14" t="n">
        <f aca="false">C31/'Analysis Summary'!$C$6</f>
        <v>0.178260869565217</v>
      </c>
    </row>
    <row r="32" customFormat="false" ht="15" hidden="false" customHeight="false" outlineLevel="0" collapsed="false">
      <c r="B32" s="13" t="s">
        <v>681</v>
      </c>
      <c r="C32" s="13" t="n">
        <f aca="false">COUNTIFS('Cleaned Data'!C2:C231,"&gt;=61",'Cleaned Data'!C2:C231,"&lt;=70")</f>
        <v>24</v>
      </c>
      <c r="D32" s="14" t="n">
        <f aca="false">C32/'Analysis Summary'!$C$6</f>
        <v>0.104347826086957</v>
      </c>
    </row>
    <row r="33" customFormat="false" ht="15" hidden="false" customHeight="false" outlineLevel="0" collapsed="false">
      <c r="B33" s="13" t="s">
        <v>682</v>
      </c>
      <c r="C33" s="13" t="n">
        <f aca="false">COUNTIFS('Cleaned Data'!C2:C231,"&gt;=71",'Cleaned Data'!C2:C231,"&lt;=80")</f>
        <v>11</v>
      </c>
      <c r="D33" s="14" t="n">
        <f aca="false">C33/'Analysis Summary'!$C$6</f>
        <v>0.0478260869565217</v>
      </c>
    </row>
    <row r="34" customFormat="false" ht="15" hidden="false" customHeight="false" outlineLevel="0" collapsed="false">
      <c r="B34" s="13" t="s">
        <v>683</v>
      </c>
      <c r="C34" s="13" t="n">
        <f aca="false">COUNTIFS('Cleaned Data'!C2:C231,"&gt;=81",'Cleaned Data'!C2:C231,"&lt;=90")</f>
        <v>10</v>
      </c>
      <c r="D34" s="14" t="n">
        <f aca="false">C34/'Analysis Summary'!$C$6</f>
        <v>0.0434782608695652</v>
      </c>
    </row>
    <row r="35" customFormat="false" ht="15" hidden="false" customHeight="false" outlineLevel="0" collapsed="false">
      <c r="B35" s="13" t="s">
        <v>684</v>
      </c>
      <c r="C35" s="13" t="n">
        <f aca="false">COUNTIFS('Cleaned Data'!C2:C231,"&gt;=91",'Cleaned Data'!C2:C231,"&lt;=100")</f>
        <v>1</v>
      </c>
      <c r="D35" s="14" t="n">
        <f aca="false">C35/'Analysis Summary'!$C$6</f>
        <v>0.00434782608695652</v>
      </c>
    </row>
    <row r="38" customFormat="false" ht="15" hidden="false" customHeight="false" outlineLevel="0" collapsed="false">
      <c r="B38" s="11" t="s">
        <v>685</v>
      </c>
      <c r="C38" s="11"/>
      <c r="D38" s="11"/>
    </row>
    <row r="39" customFormat="false" ht="15" hidden="false" customHeight="false" outlineLevel="0" collapsed="false">
      <c r="B39" s="5" t="s">
        <v>44</v>
      </c>
      <c r="C39" s="5" t="s">
        <v>663</v>
      </c>
      <c r="D39" s="5" t="s">
        <v>664</v>
      </c>
    </row>
    <row r="40" customFormat="false" ht="15" hidden="false" customHeight="false" outlineLevel="0" collapsed="false">
      <c r="B40" s="13" t="s">
        <v>46</v>
      </c>
      <c r="C40" s="13" t="n">
        <f aca="false">COUNTIF('Cleaned Data'!D2:D231,"Male")</f>
        <v>114</v>
      </c>
      <c r="D40" s="14" t="n">
        <f aca="false">C40/'Analysis Summary'!$C$6</f>
        <v>0.495652173913044</v>
      </c>
    </row>
    <row r="41" customFormat="false" ht="15" hidden="false" customHeight="false" outlineLevel="0" collapsed="false">
      <c r="B41" s="13" t="s">
        <v>90</v>
      </c>
      <c r="C41" s="13" t="n">
        <f aca="false">COUNTIF('Cleaned Data'!D2:D231,"Female")</f>
        <v>110</v>
      </c>
      <c r="D41" s="14" t="n">
        <f aca="false">C41/'Analysis Summary'!$C$6</f>
        <v>0.478260869565217</v>
      </c>
    </row>
    <row r="42" customFormat="false" ht="15" hidden="false" customHeight="false" outlineLevel="0" collapsed="false">
      <c r="B42" s="13" t="s">
        <v>648</v>
      </c>
      <c r="C42" s="13" t="n">
        <f aca="false">COUNTIF('Cleaned Data'!D2:D231,"Unknown")</f>
        <v>6</v>
      </c>
      <c r="D42" s="14" t="n">
        <f aca="false">C42/'Analysis Summary'!$C$6</f>
        <v>0.0260869565217391</v>
      </c>
    </row>
    <row r="45" customFormat="false" ht="15" hidden="false" customHeight="false" outlineLevel="0" collapsed="false">
      <c r="B45" s="11" t="s">
        <v>686</v>
      </c>
      <c r="C45" s="11"/>
      <c r="D45" s="11"/>
    </row>
    <row r="46" customFormat="false" ht="15" hidden="false" customHeight="false" outlineLevel="0" collapsed="false">
      <c r="B46" s="5" t="s">
        <v>50</v>
      </c>
      <c r="C46" s="5" t="s">
        <v>668</v>
      </c>
      <c r="D46" s="5" t="s">
        <v>664</v>
      </c>
    </row>
    <row r="47" customFormat="false" ht="15" hidden="false" customHeight="false" outlineLevel="0" collapsed="false">
      <c r="B47" s="13" t="s">
        <v>52</v>
      </c>
      <c r="C47" s="13" t="n">
        <f aca="false">COUNTIF('Cleaned Data'!F2:F231,"Amlodipine")</f>
        <v>42</v>
      </c>
      <c r="D47" s="14" t="n">
        <f aca="false">C47/'Analysis Summary'!$C$6</f>
        <v>0.182608695652174</v>
      </c>
    </row>
    <row r="48" customFormat="false" ht="15" hidden="false" customHeight="false" outlineLevel="0" collapsed="false">
      <c r="B48" s="13" t="s">
        <v>214</v>
      </c>
      <c r="C48" s="13" t="n">
        <f aca="false">COUNTIF('Cleaned Data'!F2:F231,"Metformin")</f>
        <v>30</v>
      </c>
      <c r="D48" s="14" t="n">
        <f aca="false">C48/'Analysis Summary'!$C$6</f>
        <v>0.130434782608696</v>
      </c>
    </row>
    <row r="49" customFormat="false" ht="15" hidden="false" customHeight="false" outlineLevel="0" collapsed="false">
      <c r="B49" s="13" t="s">
        <v>145</v>
      </c>
      <c r="C49" s="13" t="n">
        <f aca="false">COUNTIF('Cleaned Data'!F2:F231,"Sumatriptan")</f>
        <v>21</v>
      </c>
      <c r="D49" s="14" t="n">
        <f aca="false">C49/'Analysis Summary'!$C$6</f>
        <v>0.091304347826087</v>
      </c>
    </row>
    <row r="50" customFormat="false" ht="15" hidden="false" customHeight="false" outlineLevel="0" collapsed="false">
      <c r="B50" s="13" t="s">
        <v>390</v>
      </c>
      <c r="C50" s="13" t="n">
        <f aca="false">COUNTIF('Cleaned Data'!F2:F231,"Paracetamol")</f>
        <v>19</v>
      </c>
      <c r="D50" s="14" t="n">
        <f aca="false">C50/'Analysis Summary'!$C$6</f>
        <v>0.0826086956521739</v>
      </c>
    </row>
    <row r="51" customFormat="false" ht="15" hidden="false" customHeight="false" outlineLevel="0" collapsed="false">
      <c r="B51" s="13" t="s">
        <v>277</v>
      </c>
      <c r="C51" s="13" t="n">
        <f aca="false">COUNTIF('Cleaned Data'!F2:F231,"Salbutamol")</f>
        <v>18</v>
      </c>
      <c r="D51" s="14" t="n">
        <f aca="false">C51/'Analysis Summary'!$C$6</f>
        <v>0.0782608695652174</v>
      </c>
    </row>
    <row r="52" customFormat="false" ht="15" hidden="false" customHeight="false" outlineLevel="0" collapsed="false">
      <c r="B52" s="13" t="s">
        <v>69</v>
      </c>
      <c r="C52" s="13" t="n">
        <f aca="false">COUNTIF('Cleaned Data'!F2:F231,"Ibuprofen")</f>
        <v>16</v>
      </c>
      <c r="D52" s="14" t="n">
        <f aca="false">C52/'Analysis Summary'!$C$6</f>
        <v>0.0695652173913044</v>
      </c>
    </row>
    <row r="53" customFormat="false" ht="15" hidden="false" customHeight="false" outlineLevel="0" collapsed="false">
      <c r="B53" s="13" t="s">
        <v>154</v>
      </c>
      <c r="C53" s="13" t="n">
        <f aca="false">COUNTIF('Cleaned Data'!F2:F231,"Ferrous Sulfate")</f>
        <v>16</v>
      </c>
      <c r="D53" s="14" t="n">
        <f aca="false">C53/'Analysis Summary'!$C$6</f>
        <v>0.0695652173913044</v>
      </c>
    </row>
    <row r="54" customFormat="false" ht="15" hidden="false" customHeight="false" outlineLevel="0" collapsed="false">
      <c r="B54" s="13" t="s">
        <v>115</v>
      </c>
      <c r="C54" s="13" t="n">
        <f aca="false">COUNTIF('Cleaned Data'!F2:F231,"Azithromycin")</f>
        <v>13</v>
      </c>
      <c r="D54" s="14" t="n">
        <f aca="false">C54/'Analysis Summary'!$C$6</f>
        <v>0.0565217391304348</v>
      </c>
    </row>
    <row r="55" customFormat="false" ht="15" hidden="false" customHeight="false" outlineLevel="0" collapsed="false">
      <c r="B55" s="13" t="s">
        <v>647</v>
      </c>
      <c r="C55" s="13" t="n">
        <f aca="false">COUNTIF('Cleaned Data'!F2:F231,"Not Specified")</f>
        <v>11</v>
      </c>
      <c r="D55" s="14" t="n">
        <f aca="false">C55/'Analysis Summary'!$C$6</f>
        <v>0.0478260869565217</v>
      </c>
    </row>
    <row r="56" customFormat="false" ht="15" hidden="false" customHeight="false" outlineLevel="0" collapsed="false">
      <c r="B56" s="13" t="s">
        <v>166</v>
      </c>
      <c r="C56" s="13" t="n">
        <f aca="false">COUNTIF('Cleaned Data'!F2:F231,"Orlistat")</f>
        <v>11</v>
      </c>
      <c r="D56" s="14" t="n">
        <f aca="false">C56/'Analysis Summary'!$C$6</f>
        <v>0.0478260869565217</v>
      </c>
    </row>
    <row r="57" customFormat="false" ht="15" hidden="false" customHeight="false" outlineLevel="0" collapsed="false">
      <c r="B57" s="13" t="s">
        <v>262</v>
      </c>
      <c r="C57" s="13" t="n">
        <f aca="false">COUNTIF('Cleaned Data'!F2:F231,"Cetirizine")</f>
        <v>10</v>
      </c>
      <c r="D57" s="14" t="n">
        <f aca="false">C57/'Analysis Summary'!$C$6</f>
        <v>0.0434782608695652</v>
      </c>
    </row>
    <row r="58" customFormat="false" ht="15" hidden="false" customHeight="false" outlineLevel="0" collapsed="false">
      <c r="B58" s="13" t="s">
        <v>394</v>
      </c>
      <c r="C58" s="13" t="n">
        <f aca="false">COUNTIF('Cleaned Data'!F2:F231,"Levothyroxine")</f>
        <v>8</v>
      </c>
      <c r="D58" s="14" t="n">
        <f aca="false">C58/'Analysis Summary'!$C$6</f>
        <v>0.0347826086956522</v>
      </c>
    </row>
    <row r="59" customFormat="false" ht="15" hidden="false" customHeight="false" outlineLevel="0" collapsed="false">
      <c r="B59" s="13" t="s">
        <v>646</v>
      </c>
      <c r="C59" s="13" t="n">
        <f aca="false">COUNTIF('Cleaned Data'!F2:F231,"Sertraline")</f>
        <v>7</v>
      </c>
      <c r="D59" s="14" t="n">
        <f aca="false">C59/'Analysis Summary'!$C$6</f>
        <v>0.0304347826086957</v>
      </c>
    </row>
    <row r="60" customFormat="false" ht="15" hidden="false" customHeight="false" outlineLevel="0" collapsed="false">
      <c r="B60" s="13" t="s">
        <v>323</v>
      </c>
      <c r="C60" s="13" t="n">
        <f aca="false">COUNTIF('Cleaned Data'!F2:F231,"Favipiravir")</f>
        <v>5</v>
      </c>
      <c r="D60" s="14" t="n">
        <f aca="false">C60/'Analysis Summary'!$C$6</f>
        <v>0.0217391304347826</v>
      </c>
    </row>
    <row r="61" customFormat="false" ht="15" hidden="false" customHeight="false" outlineLevel="0" collapsed="false">
      <c r="B61" s="13" t="s">
        <v>650</v>
      </c>
      <c r="C61" s="13" t="n">
        <f aca="false">COUNTIF('Cleaned Data'!F2:F231,"Omeprazole")</f>
        <v>3</v>
      </c>
      <c r="D61" s="14" t="n">
        <f aca="false">C61/'Analysis Summary'!$C$6</f>
        <v>0.0130434782608696</v>
      </c>
    </row>
  </sheetData>
  <mergeCells count="4">
    <mergeCell ref="B5:D5"/>
    <mergeCell ref="B24:D24"/>
    <mergeCell ref="B38:D38"/>
    <mergeCell ref="B45:D4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3"/>
    <col collapsed="false" customWidth="true" hidden="false" outlineLevel="0" max="7" min="7" style="0" width="11"/>
    <col collapsed="false" customWidth="true" hidden="false" outlineLevel="0" max="8" min="8" style="0" width="12"/>
  </cols>
  <sheetData>
    <row r="1" customFormat="false" ht="17.35" hidden="false" customHeight="false" outlineLevel="0" collapsed="false">
      <c r="A1" s="18" t="s">
        <v>687</v>
      </c>
    </row>
    <row r="2" customFormat="false" ht="30" hidden="false" customHeight="true" outlineLevel="0" collapsed="false">
      <c r="A2" s="19" t="s">
        <v>688</v>
      </c>
      <c r="B2" s="19"/>
      <c r="C2" s="19"/>
      <c r="D2" s="19"/>
      <c r="E2" s="19"/>
      <c r="F2" s="19"/>
      <c r="G2" s="19"/>
      <c r="H2" s="19"/>
    </row>
    <row r="4" customFormat="false" ht="15" hidden="false" customHeight="false" outlineLevel="0" collapsed="false">
      <c r="A4" s="5" t="s">
        <v>689</v>
      </c>
      <c r="B4" s="5" t="s">
        <v>690</v>
      </c>
      <c r="C4" s="5" t="s">
        <v>691</v>
      </c>
      <c r="D4" s="5" t="s">
        <v>692</v>
      </c>
      <c r="E4" s="5" t="s">
        <v>693</v>
      </c>
      <c r="F4" s="5" t="s">
        <v>694</v>
      </c>
      <c r="G4" s="5" t="s">
        <v>695</v>
      </c>
      <c r="H4" s="5" t="s">
        <v>696</v>
      </c>
    </row>
    <row r="5" customFormat="false" ht="15" hidden="false" customHeight="false" outlineLevel="0" collapsed="false">
      <c r="A5" s="8" t="s">
        <v>697</v>
      </c>
      <c r="B5" s="10" t="n">
        <v>45929</v>
      </c>
      <c r="C5" s="8" t="s">
        <v>52</v>
      </c>
      <c r="D5" s="8" t="s">
        <v>698</v>
      </c>
      <c r="E5" s="8" t="s">
        <v>699</v>
      </c>
      <c r="F5" s="9" t="n">
        <v>2</v>
      </c>
      <c r="G5" s="20" t="n">
        <v>15</v>
      </c>
      <c r="H5" s="20" t="n">
        <v>30</v>
      </c>
    </row>
    <row r="6" customFormat="false" ht="15" hidden="false" customHeight="false" outlineLevel="0" collapsed="false">
      <c r="A6" s="8" t="s">
        <v>700</v>
      </c>
      <c r="B6" s="10" t="n">
        <v>46202</v>
      </c>
      <c r="C6" s="8" t="s">
        <v>214</v>
      </c>
      <c r="D6" s="8" t="s">
        <v>698</v>
      </c>
      <c r="E6" s="8" t="s">
        <v>701</v>
      </c>
      <c r="F6" s="9" t="n">
        <v>6</v>
      </c>
      <c r="G6" s="20" t="n">
        <v>21.56</v>
      </c>
      <c r="H6" s="20" t="n">
        <v>129.36</v>
      </c>
    </row>
    <row r="7" customFormat="false" ht="15" hidden="false" customHeight="false" outlineLevel="0" collapsed="false">
      <c r="A7" s="8" t="s">
        <v>702</v>
      </c>
      <c r="B7" s="10" t="n">
        <v>45945</v>
      </c>
      <c r="C7" s="8" t="s">
        <v>323</v>
      </c>
      <c r="D7" s="8" t="s">
        <v>703</v>
      </c>
      <c r="E7" s="8" t="s">
        <v>704</v>
      </c>
      <c r="F7" s="9" t="n">
        <v>1</v>
      </c>
      <c r="G7" s="20" t="n">
        <v>223.09</v>
      </c>
      <c r="H7" s="20" t="n">
        <v>223.09</v>
      </c>
    </row>
    <row r="8" customFormat="false" ht="15" hidden="false" customHeight="false" outlineLevel="0" collapsed="false">
      <c r="A8" s="8" t="s">
        <v>705</v>
      </c>
      <c r="B8" s="10" t="n">
        <v>46115</v>
      </c>
      <c r="C8" s="8" t="s">
        <v>145</v>
      </c>
      <c r="D8" s="8" t="s">
        <v>703</v>
      </c>
      <c r="E8" s="8" t="s">
        <v>706</v>
      </c>
      <c r="F8" s="9" t="n">
        <v>2</v>
      </c>
      <c r="G8" s="20" t="n">
        <v>231.47</v>
      </c>
      <c r="H8" s="20" t="n">
        <v>462.94</v>
      </c>
    </row>
    <row r="9" customFormat="false" ht="15" hidden="false" customHeight="false" outlineLevel="0" collapsed="false">
      <c r="A9" s="8" t="s">
        <v>707</v>
      </c>
      <c r="B9" s="10" t="n">
        <v>46075</v>
      </c>
      <c r="C9" s="8" t="s">
        <v>390</v>
      </c>
      <c r="D9" s="8" t="s">
        <v>698</v>
      </c>
      <c r="E9" s="8" t="s">
        <v>708</v>
      </c>
      <c r="F9" s="9" t="n">
        <v>3</v>
      </c>
      <c r="G9" s="20" t="n">
        <v>9.97</v>
      </c>
      <c r="H9" s="20" t="n">
        <v>29.91</v>
      </c>
    </row>
    <row r="10" customFormat="false" ht="15" hidden="false" customHeight="false" outlineLevel="0" collapsed="false">
      <c r="A10" s="8" t="s">
        <v>709</v>
      </c>
      <c r="B10" s="10" t="n">
        <v>45961</v>
      </c>
      <c r="C10" s="8" t="s">
        <v>277</v>
      </c>
      <c r="D10" s="8" t="s">
        <v>698</v>
      </c>
      <c r="E10" s="8" t="s">
        <v>710</v>
      </c>
      <c r="F10" s="9" t="n">
        <v>2</v>
      </c>
      <c r="G10" s="20" t="n">
        <v>58.33</v>
      </c>
      <c r="H10" s="20" t="n">
        <v>116.66</v>
      </c>
    </row>
    <row r="11" customFormat="false" ht="15" hidden="false" customHeight="false" outlineLevel="0" collapsed="false">
      <c r="A11" s="8" t="s">
        <v>711</v>
      </c>
      <c r="B11" s="10" t="n">
        <v>46070</v>
      </c>
      <c r="C11" s="8" t="s">
        <v>52</v>
      </c>
      <c r="D11" s="8" t="s">
        <v>698</v>
      </c>
      <c r="E11" s="8" t="s">
        <v>699</v>
      </c>
      <c r="F11" s="9" t="n">
        <v>2</v>
      </c>
      <c r="G11" s="20" t="n">
        <v>15.96</v>
      </c>
      <c r="H11" s="20" t="n">
        <v>31.92</v>
      </c>
    </row>
    <row r="12" customFormat="false" ht="15" hidden="false" customHeight="false" outlineLevel="0" collapsed="false">
      <c r="A12" s="8" t="s">
        <v>712</v>
      </c>
      <c r="B12" s="10" t="n">
        <v>46038</v>
      </c>
      <c r="C12" s="8" t="s">
        <v>69</v>
      </c>
      <c r="D12" s="8" t="s">
        <v>698</v>
      </c>
      <c r="E12" s="8" t="s">
        <v>713</v>
      </c>
      <c r="F12" s="9" t="n">
        <v>2</v>
      </c>
      <c r="G12" s="20" t="n">
        <v>18.26</v>
      </c>
      <c r="H12" s="20" t="n">
        <v>36.52</v>
      </c>
    </row>
    <row r="13" customFormat="false" ht="15" hidden="false" customHeight="false" outlineLevel="0" collapsed="false">
      <c r="A13" s="8" t="s">
        <v>714</v>
      </c>
      <c r="B13" s="10" t="n">
        <v>46093</v>
      </c>
      <c r="C13" s="8" t="s">
        <v>214</v>
      </c>
      <c r="D13" s="8" t="s">
        <v>703</v>
      </c>
      <c r="E13" s="8" t="s">
        <v>715</v>
      </c>
      <c r="F13" s="9" t="n">
        <v>5</v>
      </c>
      <c r="G13" s="20" t="n">
        <v>46.35</v>
      </c>
      <c r="H13" s="20" t="n">
        <v>231.75</v>
      </c>
    </row>
    <row r="14" customFormat="false" ht="15" hidden="false" customHeight="false" outlineLevel="0" collapsed="false">
      <c r="A14" s="8" t="s">
        <v>716</v>
      </c>
      <c r="B14" s="10" t="n">
        <v>46131</v>
      </c>
      <c r="C14" s="8" t="s">
        <v>214</v>
      </c>
      <c r="D14" s="8" t="s">
        <v>698</v>
      </c>
      <c r="E14" s="8" t="s">
        <v>701</v>
      </c>
      <c r="F14" s="9" t="n">
        <v>3</v>
      </c>
      <c r="G14" s="20" t="n">
        <v>19.08</v>
      </c>
      <c r="H14" s="20" t="n">
        <v>57.24</v>
      </c>
    </row>
    <row r="15" customFormat="false" ht="15" hidden="false" customHeight="false" outlineLevel="0" collapsed="false">
      <c r="A15" s="8" t="s">
        <v>717</v>
      </c>
      <c r="B15" s="10" t="n">
        <v>46038</v>
      </c>
      <c r="C15" s="8" t="s">
        <v>277</v>
      </c>
      <c r="D15" s="8" t="s">
        <v>698</v>
      </c>
      <c r="E15" s="8" t="s">
        <v>710</v>
      </c>
      <c r="F15" s="9" t="n">
        <v>2</v>
      </c>
      <c r="G15" s="20" t="n">
        <v>57.85</v>
      </c>
      <c r="H15" s="20" t="n">
        <v>115.7</v>
      </c>
    </row>
    <row r="16" customFormat="false" ht="15" hidden="false" customHeight="false" outlineLevel="0" collapsed="false">
      <c r="A16" s="8" t="s">
        <v>718</v>
      </c>
      <c r="B16" s="10" t="n">
        <v>46188</v>
      </c>
      <c r="C16" s="8" t="s">
        <v>214</v>
      </c>
      <c r="D16" s="8" t="s">
        <v>698</v>
      </c>
      <c r="E16" s="8" t="s">
        <v>701</v>
      </c>
      <c r="F16" s="9" t="n">
        <v>1</v>
      </c>
      <c r="G16" s="20" t="n">
        <v>18.88</v>
      </c>
      <c r="H16" s="20" t="n">
        <v>18.88</v>
      </c>
    </row>
    <row r="17" customFormat="false" ht="15" hidden="false" customHeight="false" outlineLevel="0" collapsed="false">
      <c r="A17" s="8" t="s">
        <v>719</v>
      </c>
      <c r="B17" s="10" t="n">
        <v>46164</v>
      </c>
      <c r="C17" s="8" t="s">
        <v>52</v>
      </c>
      <c r="D17" s="8" t="s">
        <v>703</v>
      </c>
      <c r="E17" s="8" t="s">
        <v>720</v>
      </c>
      <c r="F17" s="9" t="n">
        <v>8</v>
      </c>
      <c r="G17" s="20" t="n">
        <v>37.53</v>
      </c>
      <c r="H17" s="20" t="n">
        <v>300.24</v>
      </c>
    </row>
    <row r="18" customFormat="false" ht="15" hidden="false" customHeight="false" outlineLevel="0" collapsed="false">
      <c r="A18" s="8" t="s">
        <v>721</v>
      </c>
      <c r="B18" s="10" t="n">
        <v>46060</v>
      </c>
      <c r="C18" s="8" t="s">
        <v>145</v>
      </c>
      <c r="D18" s="8" t="s">
        <v>703</v>
      </c>
      <c r="E18" s="8" t="s">
        <v>706</v>
      </c>
      <c r="F18" s="9" t="n">
        <v>2</v>
      </c>
      <c r="G18" s="20" t="n">
        <v>222.65</v>
      </c>
      <c r="H18" s="20" t="n">
        <v>445.3</v>
      </c>
    </row>
    <row r="19" customFormat="false" ht="15" hidden="false" customHeight="false" outlineLevel="0" collapsed="false">
      <c r="A19" s="8" t="s">
        <v>722</v>
      </c>
      <c r="B19" s="10" t="n">
        <v>46115</v>
      </c>
      <c r="C19" s="8" t="s">
        <v>214</v>
      </c>
      <c r="D19" s="8" t="s">
        <v>703</v>
      </c>
      <c r="E19" s="8" t="s">
        <v>715</v>
      </c>
      <c r="F19" s="9" t="n">
        <v>4</v>
      </c>
      <c r="G19" s="20" t="n">
        <v>41.72</v>
      </c>
      <c r="H19" s="20" t="n">
        <v>166.88</v>
      </c>
    </row>
    <row r="20" customFormat="false" ht="15" hidden="false" customHeight="false" outlineLevel="0" collapsed="false">
      <c r="A20" s="8" t="s">
        <v>723</v>
      </c>
      <c r="B20" s="10" t="n">
        <v>46204</v>
      </c>
      <c r="C20" s="8" t="s">
        <v>277</v>
      </c>
      <c r="D20" s="8" t="s">
        <v>703</v>
      </c>
      <c r="E20" s="8" t="s">
        <v>724</v>
      </c>
      <c r="F20" s="9" t="n">
        <v>5</v>
      </c>
      <c r="G20" s="20" t="n">
        <v>149.65</v>
      </c>
      <c r="H20" s="20" t="n">
        <v>748.25</v>
      </c>
    </row>
    <row r="21" customFormat="false" ht="15" hidden="false" customHeight="false" outlineLevel="0" collapsed="false">
      <c r="A21" s="8" t="s">
        <v>725</v>
      </c>
      <c r="B21" s="10" t="n">
        <v>45971</v>
      </c>
      <c r="C21" s="8" t="s">
        <v>277</v>
      </c>
      <c r="D21" s="8" t="s">
        <v>698</v>
      </c>
      <c r="E21" s="8" t="s">
        <v>710</v>
      </c>
      <c r="F21" s="9" t="n">
        <v>2</v>
      </c>
      <c r="G21" s="20" t="n">
        <v>62.66</v>
      </c>
      <c r="H21" s="20" t="n">
        <v>125.32</v>
      </c>
    </row>
    <row r="22" customFormat="false" ht="15" hidden="false" customHeight="false" outlineLevel="0" collapsed="false">
      <c r="A22" s="8" t="s">
        <v>726</v>
      </c>
      <c r="B22" s="10" t="n">
        <v>46146</v>
      </c>
      <c r="C22" s="8" t="s">
        <v>277</v>
      </c>
      <c r="D22" s="8" t="s">
        <v>698</v>
      </c>
      <c r="E22" s="8" t="s">
        <v>710</v>
      </c>
      <c r="F22" s="9" t="n">
        <v>1</v>
      </c>
      <c r="G22" s="20" t="n">
        <v>58.28</v>
      </c>
      <c r="H22" s="20" t="n">
        <v>58.28</v>
      </c>
    </row>
    <row r="23" customFormat="false" ht="15" hidden="false" customHeight="false" outlineLevel="0" collapsed="false">
      <c r="A23" s="8" t="s">
        <v>727</v>
      </c>
      <c r="B23" s="10" t="n">
        <v>46021</v>
      </c>
      <c r="C23" s="8" t="s">
        <v>277</v>
      </c>
      <c r="D23" s="8" t="s">
        <v>698</v>
      </c>
      <c r="E23" s="8" t="s">
        <v>710</v>
      </c>
      <c r="F23" s="9" t="n">
        <v>3</v>
      </c>
      <c r="G23" s="20" t="n">
        <v>61.21</v>
      </c>
      <c r="H23" s="20" t="n">
        <v>183.63</v>
      </c>
    </row>
    <row r="24" customFormat="false" ht="15" hidden="false" customHeight="false" outlineLevel="0" collapsed="false">
      <c r="A24" s="8" t="s">
        <v>728</v>
      </c>
      <c r="B24" s="10" t="n">
        <v>46189</v>
      </c>
      <c r="C24" s="8" t="s">
        <v>166</v>
      </c>
      <c r="D24" s="8" t="s">
        <v>698</v>
      </c>
      <c r="E24" s="8" t="s">
        <v>729</v>
      </c>
      <c r="F24" s="9" t="n">
        <v>5</v>
      </c>
      <c r="G24" s="20" t="n">
        <v>139.24</v>
      </c>
      <c r="H24" s="20" t="n">
        <v>696.2</v>
      </c>
    </row>
    <row r="25" customFormat="false" ht="15" hidden="false" customHeight="false" outlineLevel="0" collapsed="false">
      <c r="A25" s="8" t="s">
        <v>730</v>
      </c>
      <c r="B25" s="10" t="n">
        <v>46225</v>
      </c>
      <c r="C25" s="8" t="s">
        <v>52</v>
      </c>
      <c r="D25" s="8" t="s">
        <v>698</v>
      </c>
      <c r="E25" s="8" t="s">
        <v>699</v>
      </c>
      <c r="F25" s="9" t="n">
        <v>3</v>
      </c>
      <c r="G25" s="20" t="n">
        <v>15.55</v>
      </c>
      <c r="H25" s="20" t="n">
        <v>46.65</v>
      </c>
    </row>
    <row r="26" customFormat="false" ht="15" hidden="false" customHeight="false" outlineLevel="0" collapsed="false">
      <c r="A26" s="8" t="s">
        <v>731</v>
      </c>
      <c r="B26" s="10" t="n">
        <v>45969</v>
      </c>
      <c r="C26" s="8" t="s">
        <v>646</v>
      </c>
      <c r="D26" s="8" t="s">
        <v>703</v>
      </c>
      <c r="E26" s="8" t="s">
        <v>732</v>
      </c>
      <c r="F26" s="9" t="n">
        <v>2</v>
      </c>
      <c r="G26" s="20" t="n">
        <v>193.91</v>
      </c>
      <c r="H26" s="20" t="n">
        <v>387.82</v>
      </c>
    </row>
    <row r="27" customFormat="false" ht="15" hidden="false" customHeight="false" outlineLevel="0" collapsed="false">
      <c r="A27" s="8" t="s">
        <v>733</v>
      </c>
      <c r="B27" s="10" t="n">
        <v>46045</v>
      </c>
      <c r="C27" s="8" t="s">
        <v>69</v>
      </c>
      <c r="D27" s="8" t="s">
        <v>703</v>
      </c>
      <c r="E27" s="8" t="s">
        <v>734</v>
      </c>
      <c r="F27" s="9" t="n">
        <v>3</v>
      </c>
      <c r="G27" s="20" t="n">
        <v>41.87</v>
      </c>
      <c r="H27" s="20" t="n">
        <v>125.61</v>
      </c>
    </row>
    <row r="28" customFormat="false" ht="15" hidden="false" customHeight="false" outlineLevel="0" collapsed="false">
      <c r="A28" s="8" t="s">
        <v>735</v>
      </c>
      <c r="B28" s="10" t="n">
        <v>46192</v>
      </c>
      <c r="C28" s="8" t="s">
        <v>52</v>
      </c>
      <c r="D28" s="8" t="s">
        <v>698</v>
      </c>
      <c r="E28" s="8" t="s">
        <v>699</v>
      </c>
      <c r="F28" s="9" t="n">
        <v>1</v>
      </c>
      <c r="G28" s="20" t="n">
        <v>16.17</v>
      </c>
      <c r="H28" s="20" t="n">
        <v>16.17</v>
      </c>
    </row>
    <row r="29" customFormat="false" ht="15" hidden="false" customHeight="false" outlineLevel="0" collapsed="false">
      <c r="A29" s="8" t="s">
        <v>736</v>
      </c>
      <c r="B29" s="10" t="n">
        <v>46217</v>
      </c>
      <c r="C29" s="8" t="s">
        <v>262</v>
      </c>
      <c r="D29" s="8" t="s">
        <v>698</v>
      </c>
      <c r="E29" s="8" t="s">
        <v>737</v>
      </c>
      <c r="F29" s="9" t="n">
        <v>6</v>
      </c>
      <c r="G29" s="20" t="n">
        <v>12.96</v>
      </c>
      <c r="H29" s="20" t="n">
        <v>77.76</v>
      </c>
    </row>
    <row r="30" customFormat="false" ht="15" hidden="false" customHeight="false" outlineLevel="0" collapsed="false">
      <c r="A30" s="8" t="s">
        <v>738</v>
      </c>
      <c r="B30" s="10" t="n">
        <v>45902</v>
      </c>
      <c r="C30" s="8" t="s">
        <v>277</v>
      </c>
      <c r="D30" s="8" t="s">
        <v>703</v>
      </c>
      <c r="E30" s="8" t="s">
        <v>724</v>
      </c>
      <c r="F30" s="9" t="n">
        <v>2</v>
      </c>
      <c r="G30" s="20" t="n">
        <v>146.77</v>
      </c>
      <c r="H30" s="20" t="n">
        <v>293.54</v>
      </c>
    </row>
    <row r="31" customFormat="false" ht="15" hidden="false" customHeight="false" outlineLevel="0" collapsed="false">
      <c r="A31" s="8" t="s">
        <v>739</v>
      </c>
      <c r="B31" s="10" t="n">
        <v>46110</v>
      </c>
      <c r="C31" s="8" t="s">
        <v>52</v>
      </c>
      <c r="D31" s="8" t="s">
        <v>698</v>
      </c>
      <c r="E31" s="8" t="s">
        <v>699</v>
      </c>
      <c r="F31" s="9" t="n">
        <v>4</v>
      </c>
      <c r="G31" s="20" t="n">
        <v>15.2</v>
      </c>
      <c r="H31" s="20" t="n">
        <v>60.8</v>
      </c>
    </row>
    <row r="32" customFormat="false" ht="15" hidden="false" customHeight="false" outlineLevel="0" collapsed="false">
      <c r="A32" s="8" t="s">
        <v>740</v>
      </c>
      <c r="B32" s="10" t="n">
        <v>46210</v>
      </c>
      <c r="C32" s="8" t="s">
        <v>214</v>
      </c>
      <c r="D32" s="8" t="s">
        <v>703</v>
      </c>
      <c r="E32" s="8" t="s">
        <v>715</v>
      </c>
      <c r="F32" s="9" t="n">
        <v>2</v>
      </c>
      <c r="G32" s="20" t="n">
        <v>44.2</v>
      </c>
      <c r="H32" s="20" t="n">
        <v>88.4</v>
      </c>
    </row>
    <row r="33" customFormat="false" ht="15" hidden="false" customHeight="false" outlineLevel="0" collapsed="false">
      <c r="A33" s="8" t="s">
        <v>741</v>
      </c>
      <c r="B33" s="10" t="n">
        <v>46241</v>
      </c>
      <c r="C33" s="8" t="s">
        <v>277</v>
      </c>
      <c r="D33" s="8" t="s">
        <v>698</v>
      </c>
      <c r="E33" s="8" t="s">
        <v>710</v>
      </c>
      <c r="F33" s="9" t="n">
        <v>4</v>
      </c>
      <c r="G33" s="20" t="n">
        <v>55.78</v>
      </c>
      <c r="H33" s="20" t="n">
        <v>223.12</v>
      </c>
    </row>
    <row r="34" customFormat="false" ht="15" hidden="false" customHeight="false" outlineLevel="0" collapsed="false">
      <c r="A34" s="8" t="s">
        <v>742</v>
      </c>
      <c r="B34" s="10" t="n">
        <v>45914</v>
      </c>
      <c r="C34" s="8" t="s">
        <v>390</v>
      </c>
      <c r="D34" s="8" t="s">
        <v>698</v>
      </c>
      <c r="E34" s="8" t="s">
        <v>708</v>
      </c>
      <c r="F34" s="9" t="n">
        <v>1</v>
      </c>
      <c r="G34" s="20" t="n">
        <v>9.59</v>
      </c>
      <c r="H34" s="20" t="n">
        <v>9.59</v>
      </c>
    </row>
    <row r="35" customFormat="false" ht="15" hidden="false" customHeight="false" outlineLevel="0" collapsed="false">
      <c r="A35" s="8" t="s">
        <v>743</v>
      </c>
      <c r="B35" s="10" t="n">
        <v>46057</v>
      </c>
      <c r="C35" s="8" t="s">
        <v>52</v>
      </c>
      <c r="D35" s="8" t="s">
        <v>703</v>
      </c>
      <c r="E35" s="8" t="s">
        <v>720</v>
      </c>
      <c r="F35" s="9" t="n">
        <v>4</v>
      </c>
      <c r="G35" s="20" t="n">
        <v>33.69</v>
      </c>
      <c r="H35" s="20" t="n">
        <v>134.76</v>
      </c>
    </row>
    <row r="36" customFormat="false" ht="15" hidden="false" customHeight="false" outlineLevel="0" collapsed="false">
      <c r="A36" s="8" t="s">
        <v>744</v>
      </c>
      <c r="B36" s="10" t="n">
        <v>45996</v>
      </c>
      <c r="C36" s="8" t="s">
        <v>52</v>
      </c>
      <c r="D36" s="8" t="s">
        <v>698</v>
      </c>
      <c r="E36" s="8" t="s">
        <v>699</v>
      </c>
      <c r="F36" s="9" t="n">
        <v>4</v>
      </c>
      <c r="G36" s="20" t="n">
        <v>14.49</v>
      </c>
      <c r="H36" s="20" t="n">
        <v>57.96</v>
      </c>
    </row>
    <row r="37" customFormat="false" ht="15" hidden="false" customHeight="false" outlineLevel="0" collapsed="false">
      <c r="A37" s="8" t="s">
        <v>745</v>
      </c>
      <c r="B37" s="10" t="n">
        <v>46003</v>
      </c>
      <c r="C37" s="8" t="s">
        <v>166</v>
      </c>
      <c r="D37" s="8" t="s">
        <v>698</v>
      </c>
      <c r="E37" s="8" t="s">
        <v>729</v>
      </c>
      <c r="F37" s="9" t="n">
        <v>1</v>
      </c>
      <c r="G37" s="20" t="n">
        <v>138.13</v>
      </c>
      <c r="H37" s="20" t="n">
        <v>138.13</v>
      </c>
    </row>
    <row r="38" customFormat="false" ht="15" hidden="false" customHeight="false" outlineLevel="0" collapsed="false">
      <c r="A38" s="8" t="s">
        <v>746</v>
      </c>
      <c r="B38" s="10" t="n">
        <v>45990</v>
      </c>
      <c r="C38" s="8" t="s">
        <v>214</v>
      </c>
      <c r="D38" s="8" t="s">
        <v>698</v>
      </c>
      <c r="E38" s="8" t="s">
        <v>701</v>
      </c>
      <c r="F38" s="9" t="n">
        <v>6</v>
      </c>
      <c r="G38" s="20" t="n">
        <v>18.4</v>
      </c>
      <c r="H38" s="20" t="n">
        <v>110.4</v>
      </c>
    </row>
    <row r="39" customFormat="false" ht="15" hidden="false" customHeight="false" outlineLevel="0" collapsed="false">
      <c r="A39" s="8" t="s">
        <v>747</v>
      </c>
      <c r="B39" s="10" t="n">
        <v>46021</v>
      </c>
      <c r="C39" s="8" t="s">
        <v>214</v>
      </c>
      <c r="D39" s="8" t="s">
        <v>698</v>
      </c>
      <c r="E39" s="8" t="s">
        <v>701</v>
      </c>
      <c r="F39" s="9" t="n">
        <v>6</v>
      </c>
      <c r="G39" s="20" t="n">
        <v>18.56</v>
      </c>
      <c r="H39" s="20" t="n">
        <v>111.36</v>
      </c>
    </row>
    <row r="40" customFormat="false" ht="15" hidden="false" customHeight="false" outlineLevel="0" collapsed="false">
      <c r="A40" s="8" t="s">
        <v>748</v>
      </c>
      <c r="B40" s="10" t="n">
        <v>46084</v>
      </c>
      <c r="C40" s="8" t="s">
        <v>69</v>
      </c>
      <c r="D40" s="8" t="s">
        <v>698</v>
      </c>
      <c r="E40" s="8" t="s">
        <v>713</v>
      </c>
      <c r="F40" s="9" t="n">
        <v>1</v>
      </c>
      <c r="G40" s="20" t="n">
        <v>18.05</v>
      </c>
      <c r="H40" s="20" t="n">
        <v>18.05</v>
      </c>
    </row>
    <row r="41" customFormat="false" ht="15" hidden="false" customHeight="false" outlineLevel="0" collapsed="false">
      <c r="A41" s="8" t="s">
        <v>749</v>
      </c>
      <c r="B41" s="10" t="n">
        <v>45956</v>
      </c>
      <c r="C41" s="8" t="s">
        <v>154</v>
      </c>
      <c r="D41" s="8" t="s">
        <v>698</v>
      </c>
      <c r="E41" s="8" t="s">
        <v>750</v>
      </c>
      <c r="F41" s="9" t="n">
        <v>3</v>
      </c>
      <c r="G41" s="20" t="n">
        <v>23.16</v>
      </c>
      <c r="H41" s="20" t="n">
        <v>69.48</v>
      </c>
    </row>
    <row r="42" customFormat="false" ht="15" hidden="false" customHeight="false" outlineLevel="0" collapsed="false">
      <c r="A42" s="8" t="s">
        <v>751</v>
      </c>
      <c r="B42" s="10" t="n">
        <v>46030</v>
      </c>
      <c r="C42" s="8" t="s">
        <v>277</v>
      </c>
      <c r="D42" s="8" t="s">
        <v>698</v>
      </c>
      <c r="E42" s="8" t="s">
        <v>710</v>
      </c>
      <c r="F42" s="9" t="n">
        <v>2</v>
      </c>
      <c r="G42" s="20" t="n">
        <v>63.06</v>
      </c>
      <c r="H42" s="20" t="n">
        <v>126.12</v>
      </c>
    </row>
    <row r="43" customFormat="false" ht="15" hidden="false" customHeight="false" outlineLevel="0" collapsed="false">
      <c r="A43" s="8" t="s">
        <v>752</v>
      </c>
      <c r="B43" s="10" t="n">
        <v>46257</v>
      </c>
      <c r="C43" s="8" t="s">
        <v>262</v>
      </c>
      <c r="D43" s="8" t="s">
        <v>698</v>
      </c>
      <c r="E43" s="8" t="s">
        <v>737</v>
      </c>
      <c r="F43" s="9" t="n">
        <v>2</v>
      </c>
      <c r="G43" s="20" t="n">
        <v>12.57</v>
      </c>
      <c r="H43" s="20" t="n">
        <v>25.14</v>
      </c>
    </row>
    <row r="44" customFormat="false" ht="15" hidden="false" customHeight="false" outlineLevel="0" collapsed="false">
      <c r="A44" s="8" t="s">
        <v>753</v>
      </c>
      <c r="B44" s="10" t="n">
        <v>45902</v>
      </c>
      <c r="C44" s="8" t="s">
        <v>145</v>
      </c>
      <c r="D44" s="8" t="s">
        <v>698</v>
      </c>
      <c r="E44" s="8" t="s">
        <v>754</v>
      </c>
      <c r="F44" s="9" t="n">
        <v>8</v>
      </c>
      <c r="G44" s="20" t="n">
        <v>87.44</v>
      </c>
      <c r="H44" s="20" t="n">
        <v>699.52</v>
      </c>
    </row>
    <row r="45" customFormat="false" ht="15" hidden="false" customHeight="false" outlineLevel="0" collapsed="false">
      <c r="A45" s="8" t="s">
        <v>755</v>
      </c>
      <c r="B45" s="10" t="n">
        <v>46182</v>
      </c>
      <c r="C45" s="8" t="s">
        <v>214</v>
      </c>
      <c r="D45" s="8" t="s">
        <v>698</v>
      </c>
      <c r="E45" s="8" t="s">
        <v>701</v>
      </c>
      <c r="F45" s="9" t="n">
        <v>5</v>
      </c>
      <c r="G45" s="20" t="n">
        <v>21.02</v>
      </c>
      <c r="H45" s="20" t="n">
        <v>105.1</v>
      </c>
    </row>
    <row r="46" customFormat="false" ht="15" hidden="false" customHeight="false" outlineLevel="0" collapsed="false">
      <c r="A46" s="8" t="s">
        <v>756</v>
      </c>
      <c r="B46" s="10" t="n">
        <v>46163</v>
      </c>
      <c r="C46" s="8" t="s">
        <v>52</v>
      </c>
      <c r="D46" s="8" t="s">
        <v>698</v>
      </c>
      <c r="E46" s="8" t="s">
        <v>699</v>
      </c>
      <c r="F46" s="9" t="n">
        <v>1</v>
      </c>
      <c r="G46" s="20" t="n">
        <v>14.34</v>
      </c>
      <c r="H46" s="20" t="n">
        <v>14.34</v>
      </c>
    </row>
    <row r="47" customFormat="false" ht="15" hidden="false" customHeight="false" outlineLevel="0" collapsed="false">
      <c r="A47" s="8" t="s">
        <v>757</v>
      </c>
      <c r="B47" s="10" t="n">
        <v>46161</v>
      </c>
      <c r="C47" s="8" t="s">
        <v>277</v>
      </c>
      <c r="D47" s="8" t="s">
        <v>698</v>
      </c>
      <c r="E47" s="8" t="s">
        <v>710</v>
      </c>
      <c r="F47" s="9" t="n">
        <v>7</v>
      </c>
      <c r="G47" s="20" t="n">
        <v>61.21</v>
      </c>
      <c r="H47" s="20" t="n">
        <v>428.47</v>
      </c>
    </row>
    <row r="48" customFormat="false" ht="15" hidden="false" customHeight="false" outlineLevel="0" collapsed="false">
      <c r="A48" s="8" t="s">
        <v>758</v>
      </c>
      <c r="B48" s="10" t="n">
        <v>46180</v>
      </c>
      <c r="C48" s="8" t="s">
        <v>214</v>
      </c>
      <c r="D48" s="8" t="s">
        <v>698</v>
      </c>
      <c r="E48" s="8" t="s">
        <v>701</v>
      </c>
      <c r="F48" s="9" t="n">
        <v>3</v>
      </c>
      <c r="G48" s="20" t="n">
        <v>20.23</v>
      </c>
      <c r="H48" s="20" t="n">
        <v>60.69</v>
      </c>
    </row>
    <row r="49" customFormat="false" ht="15" hidden="false" customHeight="false" outlineLevel="0" collapsed="false">
      <c r="A49" s="8" t="s">
        <v>759</v>
      </c>
      <c r="B49" s="10" t="n">
        <v>46113</v>
      </c>
      <c r="C49" s="8" t="s">
        <v>390</v>
      </c>
      <c r="D49" s="8" t="s">
        <v>698</v>
      </c>
      <c r="E49" s="8" t="s">
        <v>708</v>
      </c>
      <c r="F49" s="9" t="n">
        <v>4</v>
      </c>
      <c r="G49" s="20" t="n">
        <v>9.57</v>
      </c>
      <c r="H49" s="20" t="n">
        <v>38.28</v>
      </c>
    </row>
    <row r="50" customFormat="false" ht="15" hidden="false" customHeight="false" outlineLevel="0" collapsed="false">
      <c r="A50" s="8" t="s">
        <v>760</v>
      </c>
      <c r="B50" s="10" t="n">
        <v>46263</v>
      </c>
      <c r="C50" s="8" t="s">
        <v>52</v>
      </c>
      <c r="D50" s="8" t="s">
        <v>698</v>
      </c>
      <c r="E50" s="8" t="s">
        <v>699</v>
      </c>
      <c r="F50" s="9" t="n">
        <v>3</v>
      </c>
      <c r="G50" s="20" t="n">
        <v>14.28</v>
      </c>
      <c r="H50" s="20" t="n">
        <v>42.84</v>
      </c>
    </row>
    <row r="51" customFormat="false" ht="15" hidden="false" customHeight="false" outlineLevel="0" collapsed="false">
      <c r="A51" s="8" t="s">
        <v>761</v>
      </c>
      <c r="B51" s="10" t="n">
        <v>45960</v>
      </c>
      <c r="C51" s="8" t="s">
        <v>52</v>
      </c>
      <c r="D51" s="8" t="s">
        <v>698</v>
      </c>
      <c r="E51" s="8" t="s">
        <v>699</v>
      </c>
      <c r="F51" s="9" t="n">
        <v>3</v>
      </c>
      <c r="G51" s="20" t="n">
        <v>14.62</v>
      </c>
      <c r="H51" s="20" t="n">
        <v>43.86</v>
      </c>
    </row>
    <row r="52" customFormat="false" ht="15" hidden="false" customHeight="false" outlineLevel="0" collapsed="false">
      <c r="A52" s="8" t="s">
        <v>762</v>
      </c>
      <c r="B52" s="10" t="n">
        <v>45960</v>
      </c>
      <c r="C52" s="8" t="s">
        <v>262</v>
      </c>
      <c r="D52" s="8" t="s">
        <v>698</v>
      </c>
      <c r="E52" s="8" t="s">
        <v>737</v>
      </c>
      <c r="F52" s="9" t="n">
        <v>6</v>
      </c>
      <c r="G52" s="20" t="n">
        <v>12.8</v>
      </c>
      <c r="H52" s="20" t="n">
        <v>76.8</v>
      </c>
    </row>
    <row r="53" customFormat="false" ht="15" hidden="false" customHeight="false" outlineLevel="0" collapsed="false">
      <c r="A53" s="8" t="s">
        <v>763</v>
      </c>
      <c r="B53" s="10" t="n">
        <v>46150</v>
      </c>
      <c r="C53" s="8" t="s">
        <v>390</v>
      </c>
      <c r="D53" s="8" t="s">
        <v>698</v>
      </c>
      <c r="E53" s="8" t="s">
        <v>708</v>
      </c>
      <c r="F53" s="9" t="n">
        <v>5</v>
      </c>
      <c r="G53" s="20" t="n">
        <v>10.23</v>
      </c>
      <c r="H53" s="20" t="n">
        <v>51.15</v>
      </c>
    </row>
    <row r="54" customFormat="false" ht="15" hidden="false" customHeight="false" outlineLevel="0" collapsed="false">
      <c r="A54" s="8" t="s">
        <v>764</v>
      </c>
      <c r="B54" s="10" t="n">
        <v>46264</v>
      </c>
      <c r="C54" s="8" t="s">
        <v>52</v>
      </c>
      <c r="D54" s="8" t="s">
        <v>698</v>
      </c>
      <c r="E54" s="8" t="s">
        <v>699</v>
      </c>
      <c r="F54" s="9" t="n">
        <v>8</v>
      </c>
      <c r="G54" s="20" t="n">
        <v>15.54</v>
      </c>
      <c r="H54" s="20" t="n">
        <v>124.32</v>
      </c>
    </row>
    <row r="55" customFormat="false" ht="15" hidden="false" customHeight="false" outlineLevel="0" collapsed="false">
      <c r="A55" s="8" t="s">
        <v>765</v>
      </c>
      <c r="B55" s="10" t="n">
        <v>46018</v>
      </c>
      <c r="C55" s="8" t="s">
        <v>69</v>
      </c>
      <c r="D55" s="8" t="s">
        <v>703</v>
      </c>
      <c r="E55" s="8" t="s">
        <v>734</v>
      </c>
      <c r="F55" s="9" t="n">
        <v>5</v>
      </c>
      <c r="G55" s="20" t="n">
        <v>40.4</v>
      </c>
      <c r="H55" s="20" t="n">
        <v>202</v>
      </c>
    </row>
    <row r="56" customFormat="false" ht="15" hidden="false" customHeight="false" outlineLevel="0" collapsed="false">
      <c r="A56" s="8" t="s">
        <v>766</v>
      </c>
      <c r="B56" s="10" t="n">
        <v>46126</v>
      </c>
      <c r="C56" s="8" t="s">
        <v>52</v>
      </c>
      <c r="D56" s="8" t="s">
        <v>703</v>
      </c>
      <c r="E56" s="8" t="s">
        <v>720</v>
      </c>
      <c r="F56" s="9" t="n">
        <v>8</v>
      </c>
      <c r="G56" s="20" t="n">
        <v>33.93</v>
      </c>
      <c r="H56" s="20" t="n">
        <v>271.44</v>
      </c>
    </row>
    <row r="57" customFormat="false" ht="15" hidden="false" customHeight="false" outlineLevel="0" collapsed="false">
      <c r="A57" s="8" t="s">
        <v>767</v>
      </c>
      <c r="B57" s="10" t="n">
        <v>46134</v>
      </c>
      <c r="C57" s="8" t="s">
        <v>277</v>
      </c>
      <c r="D57" s="8" t="s">
        <v>698</v>
      </c>
      <c r="E57" s="8" t="s">
        <v>710</v>
      </c>
      <c r="F57" s="9" t="n">
        <v>1</v>
      </c>
      <c r="G57" s="20" t="n">
        <v>59.26</v>
      </c>
      <c r="H57" s="20" t="n">
        <v>59.26</v>
      </c>
    </row>
    <row r="58" customFormat="false" ht="15" hidden="false" customHeight="false" outlineLevel="0" collapsed="false">
      <c r="A58" s="8" t="s">
        <v>768</v>
      </c>
      <c r="B58" s="10" t="n">
        <v>46137</v>
      </c>
      <c r="C58" s="8" t="s">
        <v>262</v>
      </c>
      <c r="D58" s="8" t="s">
        <v>703</v>
      </c>
      <c r="E58" s="8" t="s">
        <v>769</v>
      </c>
      <c r="F58" s="9" t="n">
        <v>1</v>
      </c>
      <c r="G58" s="20" t="n">
        <v>31.92</v>
      </c>
      <c r="H58" s="20" t="n">
        <v>31.92</v>
      </c>
    </row>
    <row r="59" customFormat="false" ht="15" hidden="false" customHeight="false" outlineLevel="0" collapsed="false">
      <c r="A59" s="8" t="s">
        <v>770</v>
      </c>
      <c r="B59" s="10" t="n">
        <v>46182</v>
      </c>
      <c r="C59" s="8" t="s">
        <v>390</v>
      </c>
      <c r="D59" s="8" t="s">
        <v>698</v>
      </c>
      <c r="E59" s="8" t="s">
        <v>708</v>
      </c>
      <c r="F59" s="9" t="n">
        <v>5</v>
      </c>
      <c r="G59" s="20" t="n">
        <v>9.37</v>
      </c>
      <c r="H59" s="20" t="n">
        <v>46.85</v>
      </c>
    </row>
    <row r="60" customFormat="false" ht="15" hidden="false" customHeight="false" outlineLevel="0" collapsed="false">
      <c r="A60" s="8" t="s">
        <v>771</v>
      </c>
      <c r="B60" s="10" t="n">
        <v>45926</v>
      </c>
      <c r="C60" s="8" t="s">
        <v>115</v>
      </c>
      <c r="D60" s="8" t="s">
        <v>703</v>
      </c>
      <c r="E60" s="8" t="s">
        <v>772</v>
      </c>
      <c r="F60" s="9" t="n">
        <v>2</v>
      </c>
      <c r="G60" s="20" t="n">
        <v>112.97</v>
      </c>
      <c r="H60" s="20" t="n">
        <v>225.94</v>
      </c>
    </row>
    <row r="61" customFormat="false" ht="15" hidden="false" customHeight="false" outlineLevel="0" collapsed="false">
      <c r="A61" s="8" t="s">
        <v>773</v>
      </c>
      <c r="B61" s="10" t="n">
        <v>46058</v>
      </c>
      <c r="C61" s="8" t="s">
        <v>166</v>
      </c>
      <c r="D61" s="8" t="s">
        <v>703</v>
      </c>
      <c r="E61" s="8" t="s">
        <v>774</v>
      </c>
      <c r="F61" s="9" t="n">
        <v>6</v>
      </c>
      <c r="G61" s="20" t="n">
        <v>356.98</v>
      </c>
      <c r="H61" s="20" t="n">
        <v>2141.88</v>
      </c>
    </row>
    <row r="62" customFormat="false" ht="15" hidden="false" customHeight="false" outlineLevel="0" collapsed="false">
      <c r="A62" s="8" t="s">
        <v>775</v>
      </c>
      <c r="B62" s="10" t="n">
        <v>46137</v>
      </c>
      <c r="C62" s="8" t="s">
        <v>394</v>
      </c>
      <c r="D62" s="8" t="s">
        <v>698</v>
      </c>
      <c r="E62" s="8" t="s">
        <v>776</v>
      </c>
      <c r="F62" s="9" t="n">
        <v>2</v>
      </c>
      <c r="G62" s="20" t="n">
        <v>21.27</v>
      </c>
      <c r="H62" s="20" t="n">
        <v>42.54</v>
      </c>
    </row>
    <row r="63" customFormat="false" ht="15" hidden="false" customHeight="false" outlineLevel="0" collapsed="false">
      <c r="A63" s="8" t="s">
        <v>777</v>
      </c>
      <c r="B63" s="10" t="n">
        <v>46124</v>
      </c>
      <c r="C63" s="8" t="s">
        <v>154</v>
      </c>
      <c r="D63" s="8" t="s">
        <v>703</v>
      </c>
      <c r="E63" s="8" t="s">
        <v>778</v>
      </c>
      <c r="F63" s="9" t="n">
        <v>6</v>
      </c>
      <c r="G63" s="20" t="n">
        <v>57.24</v>
      </c>
      <c r="H63" s="20" t="n">
        <v>343.44</v>
      </c>
    </row>
    <row r="64" customFormat="false" ht="15" hidden="false" customHeight="false" outlineLevel="0" collapsed="false">
      <c r="A64" s="8" t="s">
        <v>779</v>
      </c>
      <c r="B64" s="10" t="n">
        <v>46225</v>
      </c>
      <c r="C64" s="8" t="s">
        <v>145</v>
      </c>
      <c r="D64" s="8" t="s">
        <v>698</v>
      </c>
      <c r="E64" s="8" t="s">
        <v>754</v>
      </c>
      <c r="F64" s="9" t="n">
        <v>3</v>
      </c>
      <c r="G64" s="20" t="n">
        <v>89.43</v>
      </c>
      <c r="H64" s="20" t="n">
        <v>268.29</v>
      </c>
    </row>
    <row r="65" customFormat="false" ht="15" hidden="false" customHeight="false" outlineLevel="0" collapsed="false">
      <c r="A65" s="8" t="s">
        <v>780</v>
      </c>
      <c r="B65" s="10" t="n">
        <v>46188</v>
      </c>
      <c r="C65" s="8" t="s">
        <v>69</v>
      </c>
      <c r="D65" s="8" t="s">
        <v>698</v>
      </c>
      <c r="E65" s="8" t="s">
        <v>713</v>
      </c>
      <c r="F65" s="9" t="n">
        <v>1</v>
      </c>
      <c r="G65" s="20" t="n">
        <v>18.88</v>
      </c>
      <c r="H65" s="20" t="n">
        <v>18.88</v>
      </c>
    </row>
    <row r="66" customFormat="false" ht="15" hidden="false" customHeight="false" outlineLevel="0" collapsed="false">
      <c r="A66" s="8" t="s">
        <v>781</v>
      </c>
      <c r="B66" s="10" t="n">
        <v>46184</v>
      </c>
      <c r="C66" s="8" t="s">
        <v>646</v>
      </c>
      <c r="D66" s="8" t="s">
        <v>698</v>
      </c>
      <c r="E66" s="8" t="s">
        <v>782</v>
      </c>
      <c r="F66" s="9" t="n">
        <v>1</v>
      </c>
      <c r="G66" s="20" t="n">
        <v>73.44</v>
      </c>
      <c r="H66" s="20" t="n">
        <v>73.44</v>
      </c>
    </row>
    <row r="67" customFormat="false" ht="15" hidden="false" customHeight="false" outlineLevel="0" collapsed="false">
      <c r="A67" s="8" t="s">
        <v>783</v>
      </c>
      <c r="B67" s="10" t="n">
        <v>46073</v>
      </c>
      <c r="C67" s="8" t="s">
        <v>52</v>
      </c>
      <c r="D67" s="8" t="s">
        <v>703</v>
      </c>
      <c r="E67" s="8" t="s">
        <v>720</v>
      </c>
      <c r="F67" s="9" t="n">
        <v>3</v>
      </c>
      <c r="G67" s="20" t="n">
        <v>35.68</v>
      </c>
      <c r="H67" s="20" t="n">
        <v>107.04</v>
      </c>
    </row>
    <row r="68" customFormat="false" ht="15" hidden="false" customHeight="false" outlineLevel="0" collapsed="false">
      <c r="A68" s="8" t="s">
        <v>784</v>
      </c>
      <c r="B68" s="10" t="n">
        <v>46160</v>
      </c>
      <c r="C68" s="8" t="s">
        <v>390</v>
      </c>
      <c r="D68" s="8" t="s">
        <v>703</v>
      </c>
      <c r="E68" s="8" t="s">
        <v>785</v>
      </c>
      <c r="F68" s="9" t="n">
        <v>7</v>
      </c>
      <c r="G68" s="20" t="n">
        <v>26.54</v>
      </c>
      <c r="H68" s="20" t="n">
        <v>185.78</v>
      </c>
    </row>
    <row r="69" customFormat="false" ht="15" hidden="false" customHeight="false" outlineLevel="0" collapsed="false">
      <c r="A69" s="8" t="s">
        <v>786</v>
      </c>
      <c r="B69" s="10" t="n">
        <v>46215</v>
      </c>
      <c r="C69" s="8" t="s">
        <v>277</v>
      </c>
      <c r="D69" s="8" t="s">
        <v>698</v>
      </c>
      <c r="E69" s="8" t="s">
        <v>710</v>
      </c>
      <c r="F69" s="9" t="n">
        <v>8</v>
      </c>
      <c r="G69" s="20" t="n">
        <v>56.01</v>
      </c>
      <c r="H69" s="20" t="n">
        <v>448.08</v>
      </c>
    </row>
    <row r="70" customFormat="false" ht="15" hidden="false" customHeight="false" outlineLevel="0" collapsed="false">
      <c r="A70" s="8" t="s">
        <v>787</v>
      </c>
      <c r="B70" s="10" t="n">
        <v>46200</v>
      </c>
      <c r="C70" s="8" t="s">
        <v>390</v>
      </c>
      <c r="D70" s="8" t="s">
        <v>703</v>
      </c>
      <c r="E70" s="8" t="s">
        <v>785</v>
      </c>
      <c r="F70" s="9" t="n">
        <v>5</v>
      </c>
      <c r="G70" s="20" t="n">
        <v>26.24</v>
      </c>
      <c r="H70" s="20" t="n">
        <v>131.2</v>
      </c>
    </row>
    <row r="71" customFormat="false" ht="15" hidden="false" customHeight="false" outlineLevel="0" collapsed="false">
      <c r="A71" s="8" t="s">
        <v>788</v>
      </c>
      <c r="B71" s="10" t="n">
        <v>46189</v>
      </c>
      <c r="C71" s="8" t="s">
        <v>145</v>
      </c>
      <c r="D71" s="8" t="s">
        <v>698</v>
      </c>
      <c r="E71" s="8" t="s">
        <v>754</v>
      </c>
      <c r="F71" s="9" t="n">
        <v>1</v>
      </c>
      <c r="G71" s="20" t="n">
        <v>84.16</v>
      </c>
      <c r="H71" s="20" t="n">
        <v>84.16</v>
      </c>
    </row>
    <row r="72" customFormat="false" ht="15" hidden="false" customHeight="false" outlineLevel="0" collapsed="false">
      <c r="A72" s="8" t="s">
        <v>789</v>
      </c>
      <c r="B72" s="10" t="n">
        <v>45972</v>
      </c>
      <c r="C72" s="8" t="s">
        <v>277</v>
      </c>
      <c r="D72" s="8" t="s">
        <v>698</v>
      </c>
      <c r="E72" s="8" t="s">
        <v>710</v>
      </c>
      <c r="F72" s="9" t="n">
        <v>5</v>
      </c>
      <c r="G72" s="20" t="n">
        <v>60.83</v>
      </c>
      <c r="H72" s="20" t="n">
        <v>304.15</v>
      </c>
    </row>
    <row r="73" customFormat="false" ht="15" hidden="false" customHeight="false" outlineLevel="0" collapsed="false">
      <c r="A73" s="8" t="s">
        <v>790</v>
      </c>
      <c r="B73" s="10" t="n">
        <v>46246</v>
      </c>
      <c r="C73" s="8" t="s">
        <v>277</v>
      </c>
      <c r="D73" s="8" t="s">
        <v>698</v>
      </c>
      <c r="E73" s="8" t="s">
        <v>710</v>
      </c>
      <c r="F73" s="9" t="n">
        <v>3</v>
      </c>
      <c r="G73" s="20" t="n">
        <v>59.86</v>
      </c>
      <c r="H73" s="20" t="n">
        <v>179.58</v>
      </c>
    </row>
    <row r="74" customFormat="false" ht="15" hidden="false" customHeight="false" outlineLevel="0" collapsed="false">
      <c r="A74" s="8" t="s">
        <v>791</v>
      </c>
      <c r="B74" s="10" t="n">
        <v>46106</v>
      </c>
      <c r="C74" s="8" t="s">
        <v>145</v>
      </c>
      <c r="D74" s="8" t="s">
        <v>703</v>
      </c>
      <c r="E74" s="8" t="s">
        <v>706</v>
      </c>
      <c r="F74" s="9" t="n">
        <v>8</v>
      </c>
      <c r="G74" s="20" t="n">
        <v>222.41</v>
      </c>
      <c r="H74" s="20" t="n">
        <v>1779.28</v>
      </c>
    </row>
    <row r="75" customFormat="false" ht="15" hidden="false" customHeight="false" outlineLevel="0" collapsed="false">
      <c r="A75" s="8" t="s">
        <v>792</v>
      </c>
      <c r="B75" s="10" t="n">
        <v>46007</v>
      </c>
      <c r="C75" s="8" t="s">
        <v>69</v>
      </c>
      <c r="D75" s="8" t="s">
        <v>703</v>
      </c>
      <c r="E75" s="8" t="s">
        <v>734</v>
      </c>
      <c r="F75" s="9" t="n">
        <v>2</v>
      </c>
      <c r="G75" s="20" t="n">
        <v>38.13</v>
      </c>
      <c r="H75" s="20" t="n">
        <v>76.26</v>
      </c>
    </row>
    <row r="76" customFormat="false" ht="15" hidden="false" customHeight="false" outlineLevel="0" collapsed="false">
      <c r="A76" s="8" t="s">
        <v>793</v>
      </c>
      <c r="B76" s="10" t="n">
        <v>46095</v>
      </c>
      <c r="C76" s="8" t="s">
        <v>69</v>
      </c>
      <c r="D76" s="8" t="s">
        <v>703</v>
      </c>
      <c r="E76" s="8" t="s">
        <v>734</v>
      </c>
      <c r="F76" s="9" t="n">
        <v>3</v>
      </c>
      <c r="G76" s="20" t="n">
        <v>38.18</v>
      </c>
      <c r="H76" s="20" t="n">
        <v>114.54</v>
      </c>
    </row>
    <row r="77" customFormat="false" ht="15" hidden="false" customHeight="false" outlineLevel="0" collapsed="false">
      <c r="A77" s="8" t="s">
        <v>794</v>
      </c>
      <c r="B77" s="10" t="n">
        <v>46264</v>
      </c>
      <c r="C77" s="8" t="s">
        <v>145</v>
      </c>
      <c r="D77" s="8" t="s">
        <v>698</v>
      </c>
      <c r="E77" s="8" t="s">
        <v>754</v>
      </c>
      <c r="F77" s="9" t="n">
        <v>5</v>
      </c>
      <c r="G77" s="20" t="n">
        <v>83.15</v>
      </c>
      <c r="H77" s="20" t="n">
        <v>415.75</v>
      </c>
    </row>
    <row r="78" customFormat="false" ht="15" hidden="false" customHeight="false" outlineLevel="0" collapsed="false">
      <c r="A78" s="8" t="s">
        <v>795</v>
      </c>
      <c r="B78" s="10" t="n">
        <v>46120</v>
      </c>
      <c r="C78" s="8" t="s">
        <v>52</v>
      </c>
      <c r="D78" s="8" t="s">
        <v>703</v>
      </c>
      <c r="E78" s="8" t="s">
        <v>720</v>
      </c>
      <c r="F78" s="9" t="n">
        <v>5</v>
      </c>
      <c r="G78" s="20" t="n">
        <v>37.74</v>
      </c>
      <c r="H78" s="20" t="n">
        <v>188.7</v>
      </c>
    </row>
    <row r="79" customFormat="false" ht="15" hidden="false" customHeight="false" outlineLevel="0" collapsed="false">
      <c r="A79" s="8" t="s">
        <v>796</v>
      </c>
      <c r="B79" s="10" t="n">
        <v>46162</v>
      </c>
      <c r="C79" s="8" t="s">
        <v>262</v>
      </c>
      <c r="D79" s="8" t="s">
        <v>698</v>
      </c>
      <c r="E79" s="8" t="s">
        <v>737</v>
      </c>
      <c r="F79" s="9" t="n">
        <v>2</v>
      </c>
      <c r="G79" s="20" t="n">
        <v>12.14</v>
      </c>
      <c r="H79" s="20" t="n">
        <v>24.28</v>
      </c>
    </row>
    <row r="80" customFormat="false" ht="15" hidden="false" customHeight="false" outlineLevel="0" collapsed="false">
      <c r="A80" s="8" t="s">
        <v>797</v>
      </c>
      <c r="B80" s="10" t="n">
        <v>46194</v>
      </c>
      <c r="C80" s="8" t="s">
        <v>154</v>
      </c>
      <c r="D80" s="8" t="s">
        <v>698</v>
      </c>
      <c r="E80" s="8" t="s">
        <v>750</v>
      </c>
      <c r="F80" s="9" t="n">
        <v>1</v>
      </c>
      <c r="G80" s="20" t="n">
        <v>24.66</v>
      </c>
      <c r="H80" s="20" t="n">
        <v>24.66</v>
      </c>
    </row>
    <row r="81" customFormat="false" ht="15" hidden="false" customHeight="false" outlineLevel="0" collapsed="false">
      <c r="A81" s="8" t="s">
        <v>798</v>
      </c>
      <c r="B81" s="10" t="n">
        <v>46255</v>
      </c>
      <c r="C81" s="8" t="s">
        <v>390</v>
      </c>
      <c r="D81" s="8" t="s">
        <v>698</v>
      </c>
      <c r="E81" s="8" t="s">
        <v>708</v>
      </c>
      <c r="F81" s="9" t="n">
        <v>4</v>
      </c>
      <c r="G81" s="20" t="n">
        <v>10.37</v>
      </c>
      <c r="H81" s="20" t="n">
        <v>41.48</v>
      </c>
    </row>
    <row r="82" customFormat="false" ht="15" hidden="false" customHeight="false" outlineLevel="0" collapsed="false">
      <c r="A82" s="8" t="s">
        <v>799</v>
      </c>
      <c r="B82" s="10" t="n">
        <v>46218</v>
      </c>
      <c r="C82" s="8" t="s">
        <v>650</v>
      </c>
      <c r="D82" s="8" t="s">
        <v>698</v>
      </c>
      <c r="E82" s="8" t="s">
        <v>800</v>
      </c>
      <c r="F82" s="9" t="n">
        <v>2</v>
      </c>
      <c r="G82" s="20" t="n">
        <v>27.77</v>
      </c>
      <c r="H82" s="20" t="n">
        <v>55.54</v>
      </c>
    </row>
    <row r="83" customFormat="false" ht="15" hidden="false" customHeight="false" outlineLevel="0" collapsed="false">
      <c r="A83" s="8" t="s">
        <v>801</v>
      </c>
      <c r="B83" s="10" t="n">
        <v>46238</v>
      </c>
      <c r="C83" s="8" t="s">
        <v>166</v>
      </c>
      <c r="D83" s="8" t="s">
        <v>698</v>
      </c>
      <c r="E83" s="8" t="s">
        <v>729</v>
      </c>
      <c r="F83" s="9" t="n">
        <v>4</v>
      </c>
      <c r="G83" s="20" t="n">
        <v>148.73</v>
      </c>
      <c r="H83" s="20" t="n">
        <v>594.92</v>
      </c>
    </row>
    <row r="84" customFormat="false" ht="15" hidden="false" customHeight="false" outlineLevel="0" collapsed="false">
      <c r="A84" s="8" t="s">
        <v>802</v>
      </c>
      <c r="B84" s="10" t="n">
        <v>46160</v>
      </c>
      <c r="C84" s="8" t="s">
        <v>52</v>
      </c>
      <c r="D84" s="8" t="s">
        <v>698</v>
      </c>
      <c r="E84" s="8" t="s">
        <v>699</v>
      </c>
      <c r="F84" s="9" t="n">
        <v>1</v>
      </c>
      <c r="G84" s="20" t="n">
        <v>14.73</v>
      </c>
      <c r="H84" s="20" t="n">
        <v>14.73</v>
      </c>
    </row>
    <row r="85" customFormat="false" ht="15" hidden="false" customHeight="false" outlineLevel="0" collapsed="false">
      <c r="A85" s="8" t="s">
        <v>803</v>
      </c>
      <c r="B85" s="10" t="n">
        <v>45949</v>
      </c>
      <c r="C85" s="8" t="s">
        <v>323</v>
      </c>
      <c r="D85" s="8" t="s">
        <v>698</v>
      </c>
      <c r="E85" s="8" t="s">
        <v>804</v>
      </c>
      <c r="F85" s="9" t="n">
        <v>1</v>
      </c>
      <c r="G85" s="20" t="n">
        <v>93.3</v>
      </c>
      <c r="H85" s="20" t="n">
        <v>93.3</v>
      </c>
    </row>
    <row r="86" customFormat="false" ht="15" hidden="false" customHeight="false" outlineLevel="0" collapsed="false">
      <c r="A86" s="8" t="s">
        <v>805</v>
      </c>
      <c r="B86" s="10" t="n">
        <v>46091</v>
      </c>
      <c r="C86" s="8" t="s">
        <v>52</v>
      </c>
      <c r="D86" s="8" t="s">
        <v>698</v>
      </c>
      <c r="E86" s="8" t="s">
        <v>699</v>
      </c>
      <c r="F86" s="9" t="n">
        <v>1</v>
      </c>
      <c r="G86" s="20" t="n">
        <v>15.41</v>
      </c>
      <c r="H86" s="20" t="n">
        <v>15.41</v>
      </c>
    </row>
    <row r="87" customFormat="false" ht="15" hidden="false" customHeight="false" outlineLevel="0" collapsed="false">
      <c r="A87" s="8" t="s">
        <v>806</v>
      </c>
      <c r="B87" s="10" t="n">
        <v>45923</v>
      </c>
      <c r="C87" s="8" t="s">
        <v>390</v>
      </c>
      <c r="D87" s="8" t="s">
        <v>698</v>
      </c>
      <c r="E87" s="8" t="s">
        <v>708</v>
      </c>
      <c r="F87" s="9" t="n">
        <v>1</v>
      </c>
      <c r="G87" s="20" t="n">
        <v>10.06</v>
      </c>
      <c r="H87" s="20" t="n">
        <v>10.06</v>
      </c>
    </row>
    <row r="88" customFormat="false" ht="15" hidden="false" customHeight="false" outlineLevel="0" collapsed="false">
      <c r="A88" s="8" t="s">
        <v>807</v>
      </c>
      <c r="B88" s="10" t="n">
        <v>46216</v>
      </c>
      <c r="C88" s="8" t="s">
        <v>214</v>
      </c>
      <c r="D88" s="8" t="s">
        <v>703</v>
      </c>
      <c r="E88" s="8" t="s">
        <v>715</v>
      </c>
      <c r="F88" s="9" t="n">
        <v>4</v>
      </c>
      <c r="G88" s="20" t="n">
        <v>42.56</v>
      </c>
      <c r="H88" s="20" t="n">
        <v>170.24</v>
      </c>
    </row>
    <row r="89" customFormat="false" ht="15" hidden="false" customHeight="false" outlineLevel="0" collapsed="false">
      <c r="A89" s="8" t="s">
        <v>808</v>
      </c>
      <c r="B89" s="10" t="n">
        <v>45968</v>
      </c>
      <c r="C89" s="8" t="s">
        <v>166</v>
      </c>
      <c r="D89" s="8" t="s">
        <v>698</v>
      </c>
      <c r="E89" s="8" t="s">
        <v>729</v>
      </c>
      <c r="F89" s="9" t="n">
        <v>4</v>
      </c>
      <c r="G89" s="20" t="n">
        <v>147.58</v>
      </c>
      <c r="H89" s="20" t="n">
        <v>590.32</v>
      </c>
    </row>
    <row r="90" customFormat="false" ht="15" hidden="false" customHeight="false" outlineLevel="0" collapsed="false">
      <c r="A90" s="8" t="s">
        <v>809</v>
      </c>
      <c r="B90" s="10" t="n">
        <v>46110</v>
      </c>
      <c r="C90" s="8" t="s">
        <v>650</v>
      </c>
      <c r="D90" s="8" t="s">
        <v>698</v>
      </c>
      <c r="E90" s="8" t="s">
        <v>800</v>
      </c>
      <c r="F90" s="9" t="n">
        <v>4</v>
      </c>
      <c r="G90" s="20" t="n">
        <v>29.54</v>
      </c>
      <c r="H90" s="20" t="n">
        <v>118.16</v>
      </c>
    </row>
    <row r="91" customFormat="false" ht="15" hidden="false" customHeight="false" outlineLevel="0" collapsed="false">
      <c r="A91" s="8" t="s">
        <v>810</v>
      </c>
      <c r="B91" s="10" t="n">
        <v>46003</v>
      </c>
      <c r="C91" s="8" t="s">
        <v>390</v>
      </c>
      <c r="D91" s="8" t="s">
        <v>703</v>
      </c>
      <c r="E91" s="8" t="s">
        <v>785</v>
      </c>
      <c r="F91" s="9" t="n">
        <v>1</v>
      </c>
      <c r="G91" s="20" t="n">
        <v>23.26</v>
      </c>
      <c r="H91" s="20" t="n">
        <v>23.26</v>
      </c>
    </row>
    <row r="92" customFormat="false" ht="15" hidden="false" customHeight="false" outlineLevel="0" collapsed="false">
      <c r="A92" s="8" t="s">
        <v>811</v>
      </c>
      <c r="B92" s="10" t="n">
        <v>46142</v>
      </c>
      <c r="C92" s="8" t="s">
        <v>394</v>
      </c>
      <c r="D92" s="8" t="s">
        <v>698</v>
      </c>
      <c r="E92" s="8" t="s">
        <v>776</v>
      </c>
      <c r="F92" s="9" t="n">
        <v>1</v>
      </c>
      <c r="G92" s="20" t="n">
        <v>20.65</v>
      </c>
      <c r="H92" s="20" t="n">
        <v>20.65</v>
      </c>
    </row>
    <row r="93" customFormat="false" ht="15" hidden="false" customHeight="false" outlineLevel="0" collapsed="false">
      <c r="A93" s="8" t="s">
        <v>812</v>
      </c>
      <c r="B93" s="10" t="n">
        <v>45948</v>
      </c>
      <c r="C93" s="8" t="s">
        <v>277</v>
      </c>
      <c r="D93" s="8" t="s">
        <v>698</v>
      </c>
      <c r="E93" s="8" t="s">
        <v>710</v>
      </c>
      <c r="F93" s="9" t="n">
        <v>3</v>
      </c>
      <c r="G93" s="20" t="n">
        <v>56.08</v>
      </c>
      <c r="H93" s="20" t="n">
        <v>168.24</v>
      </c>
    </row>
    <row r="94" customFormat="false" ht="15" hidden="false" customHeight="false" outlineLevel="0" collapsed="false">
      <c r="A94" s="8" t="s">
        <v>813</v>
      </c>
      <c r="B94" s="10" t="n">
        <v>45998</v>
      </c>
      <c r="C94" s="8" t="s">
        <v>52</v>
      </c>
      <c r="D94" s="8" t="s">
        <v>698</v>
      </c>
      <c r="E94" s="8" t="s">
        <v>699</v>
      </c>
      <c r="F94" s="9" t="n">
        <v>4</v>
      </c>
      <c r="G94" s="20" t="n">
        <v>15.28</v>
      </c>
      <c r="H94" s="20" t="n">
        <v>61.12</v>
      </c>
    </row>
    <row r="95" customFormat="false" ht="15" hidden="false" customHeight="false" outlineLevel="0" collapsed="false">
      <c r="A95" s="8" t="s">
        <v>814</v>
      </c>
      <c r="B95" s="10" t="n">
        <v>46215</v>
      </c>
      <c r="C95" s="8" t="s">
        <v>52</v>
      </c>
      <c r="D95" s="8" t="s">
        <v>703</v>
      </c>
      <c r="E95" s="8" t="s">
        <v>720</v>
      </c>
      <c r="F95" s="9" t="n">
        <v>5</v>
      </c>
      <c r="G95" s="20" t="n">
        <v>34.34</v>
      </c>
      <c r="H95" s="20" t="n">
        <v>171.7</v>
      </c>
    </row>
    <row r="96" customFormat="false" ht="15" hidden="false" customHeight="false" outlineLevel="0" collapsed="false">
      <c r="A96" s="8" t="s">
        <v>815</v>
      </c>
      <c r="B96" s="10" t="n">
        <v>46165</v>
      </c>
      <c r="C96" s="8" t="s">
        <v>390</v>
      </c>
      <c r="D96" s="8" t="s">
        <v>703</v>
      </c>
      <c r="E96" s="8" t="s">
        <v>785</v>
      </c>
      <c r="F96" s="9" t="n">
        <v>4</v>
      </c>
      <c r="G96" s="20" t="n">
        <v>25.36</v>
      </c>
      <c r="H96" s="20" t="n">
        <v>101.44</v>
      </c>
    </row>
    <row r="97" customFormat="false" ht="15" hidden="false" customHeight="false" outlineLevel="0" collapsed="false">
      <c r="A97" s="8" t="s">
        <v>816</v>
      </c>
      <c r="B97" s="10" t="n">
        <v>45936</v>
      </c>
      <c r="C97" s="8" t="s">
        <v>214</v>
      </c>
      <c r="D97" s="8" t="s">
        <v>698</v>
      </c>
      <c r="E97" s="8" t="s">
        <v>701</v>
      </c>
      <c r="F97" s="9" t="n">
        <v>1</v>
      </c>
      <c r="G97" s="20" t="n">
        <v>21</v>
      </c>
      <c r="H97" s="20" t="n">
        <v>21</v>
      </c>
    </row>
    <row r="98" customFormat="false" ht="15" hidden="false" customHeight="false" outlineLevel="0" collapsed="false">
      <c r="A98" s="8" t="s">
        <v>817</v>
      </c>
      <c r="B98" s="10" t="n">
        <v>46068</v>
      </c>
      <c r="C98" s="8" t="s">
        <v>145</v>
      </c>
      <c r="D98" s="8" t="s">
        <v>698</v>
      </c>
      <c r="E98" s="8" t="s">
        <v>754</v>
      </c>
      <c r="F98" s="9" t="n">
        <v>2</v>
      </c>
      <c r="G98" s="20" t="n">
        <v>89.1</v>
      </c>
      <c r="H98" s="20" t="n">
        <v>178.2</v>
      </c>
    </row>
    <row r="99" customFormat="false" ht="15" hidden="false" customHeight="false" outlineLevel="0" collapsed="false">
      <c r="A99" s="8" t="s">
        <v>818</v>
      </c>
      <c r="B99" s="10" t="n">
        <v>46203</v>
      </c>
      <c r="C99" s="8" t="s">
        <v>277</v>
      </c>
      <c r="D99" s="8" t="s">
        <v>703</v>
      </c>
      <c r="E99" s="8" t="s">
        <v>724</v>
      </c>
      <c r="F99" s="9" t="n">
        <v>4</v>
      </c>
      <c r="G99" s="20" t="n">
        <v>140.96</v>
      </c>
      <c r="H99" s="20" t="n">
        <v>563.84</v>
      </c>
    </row>
    <row r="100" customFormat="false" ht="15" hidden="false" customHeight="false" outlineLevel="0" collapsed="false">
      <c r="A100" s="8" t="s">
        <v>819</v>
      </c>
      <c r="B100" s="10" t="n">
        <v>46086</v>
      </c>
      <c r="C100" s="8" t="s">
        <v>390</v>
      </c>
      <c r="D100" s="8" t="s">
        <v>698</v>
      </c>
      <c r="E100" s="8" t="s">
        <v>708</v>
      </c>
      <c r="F100" s="9" t="n">
        <v>2</v>
      </c>
      <c r="G100" s="20" t="n">
        <v>9.26</v>
      </c>
      <c r="H100" s="20" t="n">
        <v>18.52</v>
      </c>
    </row>
    <row r="101" customFormat="false" ht="15" hidden="false" customHeight="false" outlineLevel="0" collapsed="false">
      <c r="A101" s="8" t="s">
        <v>820</v>
      </c>
      <c r="B101" s="10" t="n">
        <v>46046</v>
      </c>
      <c r="C101" s="8" t="s">
        <v>115</v>
      </c>
      <c r="D101" s="8" t="s">
        <v>698</v>
      </c>
      <c r="E101" s="8" t="s">
        <v>821</v>
      </c>
      <c r="F101" s="9" t="n">
        <v>2</v>
      </c>
      <c r="G101" s="20" t="n">
        <v>46.07</v>
      </c>
      <c r="H101" s="20" t="n">
        <v>92.14</v>
      </c>
    </row>
    <row r="102" customFormat="false" ht="15" hidden="false" customHeight="false" outlineLevel="0" collapsed="false">
      <c r="A102" s="8" t="s">
        <v>822</v>
      </c>
      <c r="B102" s="10" t="n">
        <v>46232</v>
      </c>
      <c r="C102" s="8" t="s">
        <v>69</v>
      </c>
      <c r="D102" s="8" t="s">
        <v>703</v>
      </c>
      <c r="E102" s="8" t="s">
        <v>734</v>
      </c>
      <c r="F102" s="9" t="n">
        <v>2</v>
      </c>
      <c r="G102" s="20" t="n">
        <v>38.23</v>
      </c>
      <c r="H102" s="20" t="n">
        <v>76.46</v>
      </c>
    </row>
    <row r="103" customFormat="false" ht="15" hidden="false" customHeight="false" outlineLevel="0" collapsed="false">
      <c r="A103" s="8" t="s">
        <v>823</v>
      </c>
      <c r="B103" s="10" t="n">
        <v>45931</v>
      </c>
      <c r="C103" s="8" t="s">
        <v>52</v>
      </c>
      <c r="D103" s="8" t="s">
        <v>698</v>
      </c>
      <c r="E103" s="8" t="s">
        <v>699</v>
      </c>
      <c r="F103" s="9" t="n">
        <v>3</v>
      </c>
      <c r="G103" s="20" t="n">
        <v>15.87</v>
      </c>
      <c r="H103" s="20" t="n">
        <v>47.61</v>
      </c>
    </row>
    <row r="104" customFormat="false" ht="15" hidden="false" customHeight="false" outlineLevel="0" collapsed="false">
      <c r="A104" s="8" t="s">
        <v>824</v>
      </c>
      <c r="B104" s="10" t="n">
        <v>46087</v>
      </c>
      <c r="C104" s="8" t="s">
        <v>52</v>
      </c>
      <c r="D104" s="8" t="s">
        <v>703</v>
      </c>
      <c r="E104" s="8" t="s">
        <v>720</v>
      </c>
      <c r="F104" s="9" t="n">
        <v>2</v>
      </c>
      <c r="G104" s="20" t="n">
        <v>32.23</v>
      </c>
      <c r="H104" s="20" t="n">
        <v>64.46</v>
      </c>
    </row>
    <row r="105" customFormat="false" ht="15" hidden="false" customHeight="false" outlineLevel="0" collapsed="false">
      <c r="A105" s="8" t="s">
        <v>825</v>
      </c>
      <c r="B105" s="10" t="n">
        <v>46061</v>
      </c>
      <c r="C105" s="8" t="s">
        <v>390</v>
      </c>
      <c r="D105" s="8" t="s">
        <v>698</v>
      </c>
      <c r="E105" s="8" t="s">
        <v>708</v>
      </c>
      <c r="F105" s="9" t="n">
        <v>2</v>
      </c>
      <c r="G105" s="20" t="n">
        <v>10.3</v>
      </c>
      <c r="H105" s="20" t="n">
        <v>20.6</v>
      </c>
    </row>
    <row r="106" customFormat="false" ht="15" hidden="false" customHeight="false" outlineLevel="0" collapsed="false">
      <c r="A106" s="8" t="s">
        <v>826</v>
      </c>
      <c r="B106" s="10" t="n">
        <v>46218</v>
      </c>
      <c r="C106" s="8" t="s">
        <v>277</v>
      </c>
      <c r="D106" s="8" t="s">
        <v>698</v>
      </c>
      <c r="E106" s="8" t="s">
        <v>710</v>
      </c>
      <c r="F106" s="9" t="n">
        <v>2</v>
      </c>
      <c r="G106" s="20" t="n">
        <v>62.9</v>
      </c>
      <c r="H106" s="20" t="n">
        <v>125.8</v>
      </c>
    </row>
    <row r="107" customFormat="false" ht="15" hidden="false" customHeight="false" outlineLevel="0" collapsed="false">
      <c r="A107" s="8" t="s">
        <v>827</v>
      </c>
      <c r="B107" s="10" t="n">
        <v>46057</v>
      </c>
      <c r="C107" s="8" t="s">
        <v>214</v>
      </c>
      <c r="D107" s="8" t="s">
        <v>698</v>
      </c>
      <c r="E107" s="8" t="s">
        <v>701</v>
      </c>
      <c r="F107" s="9" t="n">
        <v>7</v>
      </c>
      <c r="G107" s="20" t="n">
        <v>19.22</v>
      </c>
      <c r="H107" s="20" t="n">
        <v>134.54</v>
      </c>
    </row>
    <row r="108" customFormat="false" ht="15" hidden="false" customHeight="false" outlineLevel="0" collapsed="false">
      <c r="A108" s="8" t="s">
        <v>828</v>
      </c>
      <c r="B108" s="10" t="n">
        <v>45969</v>
      </c>
      <c r="C108" s="8" t="s">
        <v>214</v>
      </c>
      <c r="D108" s="8" t="s">
        <v>703</v>
      </c>
      <c r="E108" s="8" t="s">
        <v>715</v>
      </c>
      <c r="F108" s="9" t="n">
        <v>2</v>
      </c>
      <c r="G108" s="20" t="n">
        <v>44.19</v>
      </c>
      <c r="H108" s="20" t="n">
        <v>88.38</v>
      </c>
    </row>
    <row r="109" customFormat="false" ht="15" hidden="false" customHeight="false" outlineLevel="0" collapsed="false">
      <c r="A109" s="8" t="s">
        <v>829</v>
      </c>
      <c r="B109" s="10" t="n">
        <v>46221</v>
      </c>
      <c r="C109" s="8" t="s">
        <v>69</v>
      </c>
      <c r="D109" s="8" t="s">
        <v>698</v>
      </c>
      <c r="E109" s="8" t="s">
        <v>713</v>
      </c>
      <c r="F109" s="9" t="n">
        <v>6</v>
      </c>
      <c r="G109" s="20" t="n">
        <v>16.63</v>
      </c>
      <c r="H109" s="20" t="n">
        <v>99.78</v>
      </c>
    </row>
    <row r="110" customFormat="false" ht="15" hidden="false" customHeight="false" outlineLevel="0" collapsed="false">
      <c r="A110" s="8" t="s">
        <v>830</v>
      </c>
      <c r="B110" s="10" t="n">
        <v>46053</v>
      </c>
      <c r="C110" s="8" t="s">
        <v>166</v>
      </c>
      <c r="D110" s="8" t="s">
        <v>698</v>
      </c>
      <c r="E110" s="8" t="s">
        <v>729</v>
      </c>
      <c r="F110" s="9" t="n">
        <v>1</v>
      </c>
      <c r="G110" s="20" t="n">
        <v>142.63</v>
      </c>
      <c r="H110" s="20" t="n">
        <v>142.63</v>
      </c>
    </row>
    <row r="111" customFormat="false" ht="15" hidden="false" customHeight="false" outlineLevel="0" collapsed="false">
      <c r="A111" s="8" t="s">
        <v>831</v>
      </c>
      <c r="B111" s="10" t="n">
        <v>46063</v>
      </c>
      <c r="C111" s="8" t="s">
        <v>646</v>
      </c>
      <c r="D111" s="8" t="s">
        <v>698</v>
      </c>
      <c r="E111" s="8" t="s">
        <v>782</v>
      </c>
      <c r="F111" s="9" t="n">
        <v>6</v>
      </c>
      <c r="G111" s="20" t="n">
        <v>71.26</v>
      </c>
      <c r="H111" s="20" t="n">
        <v>427.56</v>
      </c>
    </row>
    <row r="112" customFormat="false" ht="15" hidden="false" customHeight="false" outlineLevel="0" collapsed="false">
      <c r="A112" s="8" t="s">
        <v>832</v>
      </c>
      <c r="B112" s="10" t="n">
        <v>46168</v>
      </c>
      <c r="C112" s="8" t="s">
        <v>323</v>
      </c>
      <c r="D112" s="8" t="s">
        <v>703</v>
      </c>
      <c r="E112" s="8" t="s">
        <v>704</v>
      </c>
      <c r="F112" s="9" t="n">
        <v>5</v>
      </c>
      <c r="G112" s="20" t="n">
        <v>252.05</v>
      </c>
      <c r="H112" s="20" t="n">
        <v>1260.25</v>
      </c>
    </row>
    <row r="113" customFormat="false" ht="15" hidden="false" customHeight="false" outlineLevel="0" collapsed="false">
      <c r="A113" s="8" t="s">
        <v>833</v>
      </c>
      <c r="B113" s="10" t="n">
        <v>46175</v>
      </c>
      <c r="C113" s="8" t="s">
        <v>52</v>
      </c>
      <c r="D113" s="8" t="s">
        <v>698</v>
      </c>
      <c r="E113" s="8" t="s">
        <v>699</v>
      </c>
      <c r="F113" s="9" t="n">
        <v>8</v>
      </c>
      <c r="G113" s="20" t="n">
        <v>14.33</v>
      </c>
      <c r="H113" s="20" t="n">
        <v>114.64</v>
      </c>
    </row>
    <row r="114" customFormat="false" ht="15" hidden="false" customHeight="false" outlineLevel="0" collapsed="false">
      <c r="A114" s="8" t="s">
        <v>834</v>
      </c>
      <c r="B114" s="10" t="n">
        <v>46185</v>
      </c>
      <c r="C114" s="8" t="s">
        <v>154</v>
      </c>
      <c r="D114" s="8" t="s">
        <v>703</v>
      </c>
      <c r="E114" s="8" t="s">
        <v>778</v>
      </c>
      <c r="F114" s="9" t="n">
        <v>4</v>
      </c>
      <c r="G114" s="20" t="n">
        <v>55.47</v>
      </c>
      <c r="H114" s="20" t="n">
        <v>221.88</v>
      </c>
    </row>
    <row r="115" customFormat="false" ht="15" hidden="false" customHeight="false" outlineLevel="0" collapsed="false">
      <c r="A115" s="8" t="s">
        <v>835</v>
      </c>
      <c r="B115" s="10" t="n">
        <v>46087</v>
      </c>
      <c r="C115" s="8" t="s">
        <v>52</v>
      </c>
      <c r="D115" s="8" t="s">
        <v>698</v>
      </c>
      <c r="E115" s="8" t="s">
        <v>699</v>
      </c>
      <c r="F115" s="9" t="n">
        <v>2</v>
      </c>
      <c r="G115" s="20" t="n">
        <v>14.28</v>
      </c>
      <c r="H115" s="20" t="n">
        <v>28.56</v>
      </c>
    </row>
    <row r="116" customFormat="false" ht="15" hidden="false" customHeight="false" outlineLevel="0" collapsed="false">
      <c r="A116" s="8" t="s">
        <v>836</v>
      </c>
      <c r="B116" s="10" t="n">
        <v>45911</v>
      </c>
      <c r="C116" s="8" t="s">
        <v>390</v>
      </c>
      <c r="D116" s="8" t="s">
        <v>698</v>
      </c>
      <c r="E116" s="8" t="s">
        <v>708</v>
      </c>
      <c r="F116" s="9" t="n">
        <v>3</v>
      </c>
      <c r="G116" s="20" t="n">
        <v>9.93</v>
      </c>
      <c r="H116" s="20" t="n">
        <v>29.79</v>
      </c>
    </row>
    <row r="117" customFormat="false" ht="15" hidden="false" customHeight="false" outlineLevel="0" collapsed="false">
      <c r="A117" s="8" t="s">
        <v>837</v>
      </c>
      <c r="B117" s="10" t="n">
        <v>46005</v>
      </c>
      <c r="C117" s="8" t="s">
        <v>154</v>
      </c>
      <c r="D117" s="8" t="s">
        <v>698</v>
      </c>
      <c r="E117" s="8" t="s">
        <v>750</v>
      </c>
      <c r="F117" s="9" t="n">
        <v>5</v>
      </c>
      <c r="G117" s="20" t="n">
        <v>26.86</v>
      </c>
      <c r="H117" s="20" t="n">
        <v>134.3</v>
      </c>
    </row>
    <row r="118" customFormat="false" ht="15" hidden="false" customHeight="false" outlineLevel="0" collapsed="false">
      <c r="A118" s="8" t="s">
        <v>838</v>
      </c>
      <c r="B118" s="10" t="n">
        <v>46191</v>
      </c>
      <c r="C118" s="8" t="s">
        <v>650</v>
      </c>
      <c r="D118" s="8" t="s">
        <v>698</v>
      </c>
      <c r="E118" s="8" t="s">
        <v>800</v>
      </c>
      <c r="F118" s="9" t="n">
        <v>3</v>
      </c>
      <c r="G118" s="20" t="n">
        <v>28.01</v>
      </c>
      <c r="H118" s="20" t="n">
        <v>84.03</v>
      </c>
    </row>
    <row r="119" customFormat="false" ht="15" hidden="false" customHeight="false" outlineLevel="0" collapsed="false">
      <c r="A119" s="8" t="s">
        <v>839</v>
      </c>
      <c r="B119" s="10" t="n">
        <v>46192</v>
      </c>
      <c r="C119" s="8" t="s">
        <v>166</v>
      </c>
      <c r="D119" s="8" t="s">
        <v>698</v>
      </c>
      <c r="E119" s="8" t="s">
        <v>729</v>
      </c>
      <c r="F119" s="9" t="n">
        <v>2</v>
      </c>
      <c r="G119" s="20" t="n">
        <v>148.63</v>
      </c>
      <c r="H119" s="20" t="n">
        <v>297.26</v>
      </c>
    </row>
    <row r="120" customFormat="false" ht="15" hidden="false" customHeight="false" outlineLevel="0" collapsed="false">
      <c r="A120" s="8" t="s">
        <v>840</v>
      </c>
      <c r="B120" s="10" t="n">
        <v>46014</v>
      </c>
      <c r="C120" s="8" t="s">
        <v>214</v>
      </c>
      <c r="D120" s="8" t="s">
        <v>698</v>
      </c>
      <c r="E120" s="8" t="s">
        <v>701</v>
      </c>
      <c r="F120" s="9" t="n">
        <v>2</v>
      </c>
      <c r="G120" s="20" t="n">
        <v>21.31</v>
      </c>
      <c r="H120" s="20" t="n">
        <v>42.62</v>
      </c>
    </row>
    <row r="121" customFormat="false" ht="15" hidden="false" customHeight="false" outlineLevel="0" collapsed="false">
      <c r="A121" s="8" t="s">
        <v>841</v>
      </c>
      <c r="B121" s="10" t="n">
        <v>46226</v>
      </c>
      <c r="C121" s="8" t="s">
        <v>390</v>
      </c>
      <c r="D121" s="8" t="s">
        <v>698</v>
      </c>
      <c r="E121" s="8" t="s">
        <v>708</v>
      </c>
      <c r="F121" s="9" t="n">
        <v>3</v>
      </c>
      <c r="G121" s="20" t="n">
        <v>9.93</v>
      </c>
      <c r="H121" s="20" t="n">
        <v>29.79</v>
      </c>
    </row>
    <row r="122" customFormat="false" ht="15" hidden="false" customHeight="false" outlineLevel="0" collapsed="false">
      <c r="A122" s="8" t="s">
        <v>842</v>
      </c>
      <c r="B122" s="10" t="n">
        <v>46191</v>
      </c>
      <c r="C122" s="8" t="s">
        <v>323</v>
      </c>
      <c r="D122" s="8" t="s">
        <v>698</v>
      </c>
      <c r="E122" s="8" t="s">
        <v>804</v>
      </c>
      <c r="F122" s="9" t="n">
        <v>1</v>
      </c>
      <c r="G122" s="20" t="n">
        <v>92.46</v>
      </c>
      <c r="H122" s="20" t="n">
        <v>92.46</v>
      </c>
    </row>
    <row r="123" customFormat="false" ht="15" hidden="false" customHeight="false" outlineLevel="0" collapsed="false">
      <c r="A123" s="8" t="s">
        <v>843</v>
      </c>
      <c r="B123" s="10" t="n">
        <v>45965</v>
      </c>
      <c r="C123" s="8" t="s">
        <v>214</v>
      </c>
      <c r="D123" s="8" t="s">
        <v>698</v>
      </c>
      <c r="E123" s="8" t="s">
        <v>701</v>
      </c>
      <c r="F123" s="9" t="n">
        <v>1</v>
      </c>
      <c r="G123" s="20" t="n">
        <v>20.69</v>
      </c>
      <c r="H123" s="20" t="n">
        <v>20.69</v>
      </c>
    </row>
    <row r="124" customFormat="false" ht="15" hidden="false" customHeight="false" outlineLevel="0" collapsed="false">
      <c r="A124" s="8" t="s">
        <v>844</v>
      </c>
      <c r="B124" s="10" t="n">
        <v>46083</v>
      </c>
      <c r="C124" s="8" t="s">
        <v>214</v>
      </c>
      <c r="D124" s="8" t="s">
        <v>698</v>
      </c>
      <c r="E124" s="8" t="s">
        <v>701</v>
      </c>
      <c r="F124" s="9" t="n">
        <v>4</v>
      </c>
      <c r="G124" s="20" t="n">
        <v>19.27</v>
      </c>
      <c r="H124" s="20" t="n">
        <v>77.08</v>
      </c>
    </row>
    <row r="125" customFormat="false" ht="15" hidden="false" customHeight="false" outlineLevel="0" collapsed="false">
      <c r="A125" s="8" t="s">
        <v>845</v>
      </c>
      <c r="B125" s="10" t="n">
        <v>45966</v>
      </c>
      <c r="C125" s="8" t="s">
        <v>166</v>
      </c>
      <c r="D125" s="8" t="s">
        <v>703</v>
      </c>
      <c r="E125" s="8" t="s">
        <v>774</v>
      </c>
      <c r="F125" s="9" t="n">
        <v>4</v>
      </c>
      <c r="G125" s="20" t="n">
        <v>403.73</v>
      </c>
      <c r="H125" s="20" t="n">
        <v>1614.92</v>
      </c>
    </row>
    <row r="126" customFormat="false" ht="15" hidden="false" customHeight="false" outlineLevel="0" collapsed="false">
      <c r="A126" s="8" t="s">
        <v>846</v>
      </c>
      <c r="B126" s="10" t="n">
        <v>46172</v>
      </c>
      <c r="C126" s="8" t="s">
        <v>262</v>
      </c>
      <c r="D126" s="8" t="s">
        <v>698</v>
      </c>
      <c r="E126" s="8" t="s">
        <v>737</v>
      </c>
      <c r="F126" s="9" t="n">
        <v>3</v>
      </c>
      <c r="G126" s="20" t="n">
        <v>12.37</v>
      </c>
      <c r="H126" s="20" t="n">
        <v>37.11</v>
      </c>
    </row>
    <row r="127" customFormat="false" ht="15" hidden="false" customHeight="false" outlineLevel="0" collapsed="false">
      <c r="A127" s="8" t="s">
        <v>847</v>
      </c>
      <c r="B127" s="10" t="n">
        <v>46209</v>
      </c>
      <c r="C127" s="8" t="s">
        <v>166</v>
      </c>
      <c r="D127" s="8" t="s">
        <v>698</v>
      </c>
      <c r="E127" s="8" t="s">
        <v>729</v>
      </c>
      <c r="F127" s="9" t="n">
        <v>5</v>
      </c>
      <c r="G127" s="20" t="n">
        <v>150.75</v>
      </c>
      <c r="H127" s="20" t="n">
        <v>753.75</v>
      </c>
    </row>
    <row r="128" customFormat="false" ht="15" hidden="false" customHeight="false" outlineLevel="0" collapsed="false">
      <c r="A128" s="8" t="s">
        <v>848</v>
      </c>
      <c r="B128" s="10" t="n">
        <v>45970</v>
      </c>
      <c r="C128" s="8" t="s">
        <v>145</v>
      </c>
      <c r="D128" s="8" t="s">
        <v>698</v>
      </c>
      <c r="E128" s="8" t="s">
        <v>754</v>
      </c>
      <c r="F128" s="9" t="n">
        <v>5</v>
      </c>
      <c r="G128" s="20" t="n">
        <v>95.8</v>
      </c>
      <c r="H128" s="20" t="n">
        <v>479</v>
      </c>
    </row>
    <row r="129" customFormat="false" ht="15" hidden="false" customHeight="false" outlineLevel="0" collapsed="false">
      <c r="A129" s="8" t="s">
        <v>849</v>
      </c>
      <c r="B129" s="10" t="n">
        <v>46265</v>
      </c>
      <c r="C129" s="8" t="s">
        <v>214</v>
      </c>
      <c r="D129" s="8" t="s">
        <v>698</v>
      </c>
      <c r="E129" s="8" t="s">
        <v>701</v>
      </c>
      <c r="F129" s="9" t="n">
        <v>4</v>
      </c>
      <c r="G129" s="20" t="n">
        <v>19.88</v>
      </c>
      <c r="H129" s="20" t="n">
        <v>79.52</v>
      </c>
    </row>
    <row r="130" customFormat="false" ht="15" hidden="false" customHeight="false" outlineLevel="0" collapsed="false">
      <c r="A130" s="8" t="s">
        <v>850</v>
      </c>
      <c r="B130" s="10" t="n">
        <v>46223</v>
      </c>
      <c r="C130" s="8" t="s">
        <v>390</v>
      </c>
      <c r="D130" s="8" t="s">
        <v>698</v>
      </c>
      <c r="E130" s="8" t="s">
        <v>708</v>
      </c>
      <c r="F130" s="9" t="n">
        <v>6</v>
      </c>
      <c r="G130" s="20" t="n">
        <v>10.25</v>
      </c>
      <c r="H130" s="20" t="n">
        <v>61.5</v>
      </c>
    </row>
    <row r="131" customFormat="false" ht="15" hidden="false" customHeight="false" outlineLevel="0" collapsed="false">
      <c r="A131" s="8" t="s">
        <v>851</v>
      </c>
      <c r="B131" s="10" t="n">
        <v>46076</v>
      </c>
      <c r="C131" s="8" t="s">
        <v>166</v>
      </c>
      <c r="D131" s="8" t="s">
        <v>703</v>
      </c>
      <c r="E131" s="8" t="s">
        <v>774</v>
      </c>
      <c r="F131" s="9" t="n">
        <v>1</v>
      </c>
      <c r="G131" s="20" t="n">
        <v>350.72</v>
      </c>
      <c r="H131" s="20" t="n">
        <v>350.72</v>
      </c>
    </row>
    <row r="132" customFormat="false" ht="15" hidden="false" customHeight="false" outlineLevel="0" collapsed="false">
      <c r="A132" s="8" t="s">
        <v>852</v>
      </c>
      <c r="B132" s="10" t="n">
        <v>45975</v>
      </c>
      <c r="C132" s="8" t="s">
        <v>115</v>
      </c>
      <c r="D132" s="8" t="s">
        <v>703</v>
      </c>
      <c r="E132" s="8" t="s">
        <v>772</v>
      </c>
      <c r="F132" s="9" t="n">
        <v>2</v>
      </c>
      <c r="G132" s="20" t="n">
        <v>116.22</v>
      </c>
      <c r="H132" s="20" t="n">
        <v>232.44</v>
      </c>
    </row>
    <row r="133" customFormat="false" ht="15" hidden="false" customHeight="false" outlineLevel="0" collapsed="false">
      <c r="A133" s="8" t="s">
        <v>853</v>
      </c>
      <c r="B133" s="10" t="n">
        <v>46147</v>
      </c>
      <c r="C133" s="8" t="s">
        <v>69</v>
      </c>
      <c r="D133" s="8" t="s">
        <v>703</v>
      </c>
      <c r="E133" s="8" t="s">
        <v>734</v>
      </c>
      <c r="F133" s="9" t="n">
        <v>2</v>
      </c>
      <c r="G133" s="20" t="n">
        <v>38.62</v>
      </c>
      <c r="H133" s="20" t="n">
        <v>77.24</v>
      </c>
    </row>
    <row r="134" customFormat="false" ht="15" hidden="false" customHeight="false" outlineLevel="0" collapsed="false">
      <c r="A134" s="8" t="s">
        <v>854</v>
      </c>
      <c r="B134" s="10" t="n">
        <v>46209</v>
      </c>
      <c r="C134" s="8" t="s">
        <v>115</v>
      </c>
      <c r="D134" s="8" t="s">
        <v>703</v>
      </c>
      <c r="E134" s="8" t="s">
        <v>772</v>
      </c>
      <c r="F134" s="9" t="n">
        <v>7</v>
      </c>
      <c r="G134" s="20" t="n">
        <v>103.1</v>
      </c>
      <c r="H134" s="20" t="n">
        <v>721.7</v>
      </c>
    </row>
    <row r="135" customFormat="false" ht="15" hidden="false" customHeight="false" outlineLevel="0" collapsed="false">
      <c r="A135" s="8" t="s">
        <v>855</v>
      </c>
      <c r="B135" s="10" t="n">
        <v>46170</v>
      </c>
      <c r="C135" s="8" t="s">
        <v>52</v>
      </c>
      <c r="D135" s="8" t="s">
        <v>703</v>
      </c>
      <c r="E135" s="8" t="s">
        <v>720</v>
      </c>
      <c r="F135" s="9" t="n">
        <v>1</v>
      </c>
      <c r="G135" s="20" t="n">
        <v>33.79</v>
      </c>
      <c r="H135" s="20" t="n">
        <v>33.79</v>
      </c>
    </row>
    <row r="136" customFormat="false" ht="15" hidden="false" customHeight="false" outlineLevel="0" collapsed="false">
      <c r="A136" s="8" t="s">
        <v>856</v>
      </c>
      <c r="B136" s="10" t="n">
        <v>46133</v>
      </c>
      <c r="C136" s="8" t="s">
        <v>52</v>
      </c>
      <c r="D136" s="8" t="s">
        <v>703</v>
      </c>
      <c r="E136" s="8" t="s">
        <v>720</v>
      </c>
      <c r="F136" s="9" t="n">
        <v>8</v>
      </c>
      <c r="G136" s="20" t="n">
        <v>34.2</v>
      </c>
      <c r="H136" s="20" t="n">
        <v>273.6</v>
      </c>
    </row>
    <row r="137" customFormat="false" ht="15" hidden="false" customHeight="false" outlineLevel="0" collapsed="false">
      <c r="A137" s="8" t="s">
        <v>857</v>
      </c>
      <c r="B137" s="10" t="n">
        <v>46159</v>
      </c>
      <c r="C137" s="8" t="s">
        <v>650</v>
      </c>
      <c r="D137" s="8" t="s">
        <v>703</v>
      </c>
      <c r="E137" s="8" t="s">
        <v>858</v>
      </c>
      <c r="F137" s="9" t="n">
        <v>4</v>
      </c>
      <c r="G137" s="20" t="n">
        <v>66.14</v>
      </c>
      <c r="H137" s="20" t="n">
        <v>264.56</v>
      </c>
    </row>
    <row r="138" customFormat="false" ht="15" hidden="false" customHeight="false" outlineLevel="0" collapsed="false">
      <c r="A138" s="8" t="s">
        <v>859</v>
      </c>
      <c r="B138" s="10" t="n">
        <v>46145</v>
      </c>
      <c r="C138" s="8" t="s">
        <v>115</v>
      </c>
      <c r="D138" s="8" t="s">
        <v>698</v>
      </c>
      <c r="E138" s="8" t="s">
        <v>821</v>
      </c>
      <c r="F138" s="9" t="n">
        <v>3</v>
      </c>
      <c r="G138" s="20" t="n">
        <v>41.47</v>
      </c>
      <c r="H138" s="20" t="n">
        <v>124.41</v>
      </c>
    </row>
    <row r="139" customFormat="false" ht="15" hidden="false" customHeight="false" outlineLevel="0" collapsed="false">
      <c r="A139" s="8" t="s">
        <v>860</v>
      </c>
      <c r="B139" s="10" t="n">
        <v>46034</v>
      </c>
      <c r="C139" s="8" t="s">
        <v>69</v>
      </c>
      <c r="D139" s="8" t="s">
        <v>703</v>
      </c>
      <c r="E139" s="8" t="s">
        <v>734</v>
      </c>
      <c r="F139" s="9" t="n">
        <v>4</v>
      </c>
      <c r="G139" s="20" t="n">
        <v>38.43</v>
      </c>
      <c r="H139" s="20" t="n">
        <v>153.72</v>
      </c>
    </row>
    <row r="140" customFormat="false" ht="15" hidden="false" customHeight="false" outlineLevel="0" collapsed="false">
      <c r="A140" s="8" t="s">
        <v>861</v>
      </c>
      <c r="B140" s="10" t="n">
        <v>46166</v>
      </c>
      <c r="C140" s="8" t="s">
        <v>394</v>
      </c>
      <c r="D140" s="8" t="s">
        <v>698</v>
      </c>
      <c r="E140" s="8" t="s">
        <v>776</v>
      </c>
      <c r="F140" s="9" t="n">
        <v>5</v>
      </c>
      <c r="G140" s="20" t="n">
        <v>22.98</v>
      </c>
      <c r="H140" s="20" t="n">
        <v>114.9</v>
      </c>
    </row>
    <row r="141" customFormat="false" ht="15" hidden="false" customHeight="false" outlineLevel="0" collapsed="false">
      <c r="A141" s="8" t="s">
        <v>862</v>
      </c>
      <c r="B141" s="10" t="n">
        <v>45963</v>
      </c>
      <c r="C141" s="8" t="s">
        <v>145</v>
      </c>
      <c r="D141" s="8" t="s">
        <v>703</v>
      </c>
      <c r="E141" s="8" t="s">
        <v>706</v>
      </c>
      <c r="F141" s="9" t="n">
        <v>1</v>
      </c>
      <c r="G141" s="20" t="n">
        <v>225.56</v>
      </c>
      <c r="H141" s="20" t="n">
        <v>225.56</v>
      </c>
    </row>
    <row r="142" customFormat="false" ht="15" hidden="false" customHeight="false" outlineLevel="0" collapsed="false">
      <c r="A142" s="8" t="s">
        <v>863</v>
      </c>
      <c r="B142" s="10" t="n">
        <v>46170</v>
      </c>
      <c r="C142" s="8" t="s">
        <v>52</v>
      </c>
      <c r="D142" s="8" t="s">
        <v>698</v>
      </c>
      <c r="E142" s="8" t="s">
        <v>699</v>
      </c>
      <c r="F142" s="9" t="n">
        <v>4</v>
      </c>
      <c r="G142" s="20" t="n">
        <v>14.82</v>
      </c>
      <c r="H142" s="20" t="n">
        <v>59.28</v>
      </c>
    </row>
    <row r="143" customFormat="false" ht="15" hidden="false" customHeight="false" outlineLevel="0" collapsed="false">
      <c r="A143" s="8" t="s">
        <v>864</v>
      </c>
      <c r="B143" s="10" t="n">
        <v>46215</v>
      </c>
      <c r="C143" s="8" t="s">
        <v>145</v>
      </c>
      <c r="D143" s="8" t="s">
        <v>698</v>
      </c>
      <c r="E143" s="8" t="s">
        <v>754</v>
      </c>
      <c r="F143" s="9" t="n">
        <v>3</v>
      </c>
      <c r="G143" s="20" t="n">
        <v>96.4</v>
      </c>
      <c r="H143" s="20" t="n">
        <v>289.2</v>
      </c>
    </row>
    <row r="144" customFormat="false" ht="15" hidden="false" customHeight="false" outlineLevel="0" collapsed="false">
      <c r="A144" s="8" t="s">
        <v>865</v>
      </c>
      <c r="B144" s="10" t="n">
        <v>46012</v>
      </c>
      <c r="C144" s="8" t="s">
        <v>52</v>
      </c>
      <c r="D144" s="8" t="s">
        <v>698</v>
      </c>
      <c r="E144" s="8" t="s">
        <v>699</v>
      </c>
      <c r="F144" s="9" t="n">
        <v>4</v>
      </c>
      <c r="G144" s="20" t="n">
        <v>13.92</v>
      </c>
      <c r="H144" s="20" t="n">
        <v>55.68</v>
      </c>
    </row>
    <row r="145" customFormat="false" ht="15" hidden="false" customHeight="false" outlineLevel="0" collapsed="false">
      <c r="A145" s="8" t="s">
        <v>866</v>
      </c>
      <c r="B145" s="10" t="n">
        <v>46087</v>
      </c>
      <c r="C145" s="8" t="s">
        <v>214</v>
      </c>
      <c r="D145" s="8" t="s">
        <v>703</v>
      </c>
      <c r="E145" s="8" t="s">
        <v>715</v>
      </c>
      <c r="F145" s="9" t="n">
        <v>2</v>
      </c>
      <c r="G145" s="20" t="n">
        <v>45.34</v>
      </c>
      <c r="H145" s="20" t="n">
        <v>90.68</v>
      </c>
    </row>
    <row r="146" customFormat="false" ht="15" hidden="false" customHeight="false" outlineLevel="0" collapsed="false">
      <c r="A146" s="8" t="s">
        <v>867</v>
      </c>
      <c r="B146" s="10" t="n">
        <v>46031</v>
      </c>
      <c r="C146" s="8" t="s">
        <v>166</v>
      </c>
      <c r="D146" s="8" t="s">
        <v>698</v>
      </c>
      <c r="E146" s="8" t="s">
        <v>729</v>
      </c>
      <c r="F146" s="9" t="n">
        <v>1</v>
      </c>
      <c r="G146" s="20" t="n">
        <v>138.55</v>
      </c>
      <c r="H146" s="20" t="n">
        <v>138.55</v>
      </c>
    </row>
    <row r="147" customFormat="false" ht="15" hidden="false" customHeight="false" outlineLevel="0" collapsed="false">
      <c r="A147" s="8" t="s">
        <v>868</v>
      </c>
      <c r="B147" s="10" t="n">
        <v>46127</v>
      </c>
      <c r="C147" s="8" t="s">
        <v>262</v>
      </c>
      <c r="D147" s="8" t="s">
        <v>698</v>
      </c>
      <c r="E147" s="8" t="s">
        <v>737</v>
      </c>
      <c r="F147" s="9" t="n">
        <v>1</v>
      </c>
      <c r="G147" s="20" t="n">
        <v>11.61</v>
      </c>
      <c r="H147" s="20" t="n">
        <v>11.61</v>
      </c>
    </row>
    <row r="148" customFormat="false" ht="15" hidden="false" customHeight="false" outlineLevel="0" collapsed="false">
      <c r="A148" s="8" t="s">
        <v>869</v>
      </c>
      <c r="B148" s="10" t="n">
        <v>46044</v>
      </c>
      <c r="C148" s="8" t="s">
        <v>145</v>
      </c>
      <c r="D148" s="8" t="s">
        <v>703</v>
      </c>
      <c r="E148" s="8" t="s">
        <v>706</v>
      </c>
      <c r="F148" s="9" t="n">
        <v>3</v>
      </c>
      <c r="G148" s="20" t="n">
        <v>210.53</v>
      </c>
      <c r="H148" s="20" t="n">
        <v>631.59</v>
      </c>
    </row>
    <row r="149" customFormat="false" ht="15" hidden="false" customHeight="false" outlineLevel="0" collapsed="false">
      <c r="A149" s="8" t="s">
        <v>870</v>
      </c>
      <c r="B149" s="10" t="n">
        <v>45966</v>
      </c>
      <c r="C149" s="8" t="s">
        <v>69</v>
      </c>
      <c r="D149" s="8" t="s">
        <v>703</v>
      </c>
      <c r="E149" s="8" t="s">
        <v>734</v>
      </c>
      <c r="F149" s="9" t="n">
        <v>1</v>
      </c>
      <c r="G149" s="20" t="n">
        <v>39</v>
      </c>
      <c r="H149" s="20" t="n">
        <v>39</v>
      </c>
    </row>
    <row r="150" customFormat="false" ht="15" hidden="false" customHeight="false" outlineLevel="0" collapsed="false">
      <c r="A150" s="8" t="s">
        <v>871</v>
      </c>
      <c r="B150" s="10" t="n">
        <v>45924</v>
      </c>
      <c r="C150" s="8" t="s">
        <v>115</v>
      </c>
      <c r="D150" s="8" t="s">
        <v>698</v>
      </c>
      <c r="E150" s="8" t="s">
        <v>821</v>
      </c>
      <c r="F150" s="9" t="n">
        <v>3</v>
      </c>
      <c r="G150" s="20" t="n">
        <v>41.55</v>
      </c>
      <c r="H150" s="20" t="n">
        <v>124.65</v>
      </c>
    </row>
    <row r="151" customFormat="false" ht="15" hidden="false" customHeight="false" outlineLevel="0" collapsed="false">
      <c r="A151" s="8" t="s">
        <v>872</v>
      </c>
      <c r="B151" s="10" t="n">
        <v>45962</v>
      </c>
      <c r="C151" s="8" t="s">
        <v>69</v>
      </c>
      <c r="D151" s="8" t="s">
        <v>698</v>
      </c>
      <c r="E151" s="8" t="s">
        <v>713</v>
      </c>
      <c r="F151" s="9" t="n">
        <v>2</v>
      </c>
      <c r="G151" s="20" t="n">
        <v>17.68</v>
      </c>
      <c r="H151" s="20" t="n">
        <v>35.36</v>
      </c>
    </row>
    <row r="152" customFormat="false" ht="15" hidden="false" customHeight="false" outlineLevel="0" collapsed="false">
      <c r="A152" s="8" t="s">
        <v>873</v>
      </c>
      <c r="B152" s="10" t="n">
        <v>46158</v>
      </c>
      <c r="C152" s="8" t="s">
        <v>390</v>
      </c>
      <c r="D152" s="8" t="s">
        <v>698</v>
      </c>
      <c r="E152" s="8" t="s">
        <v>708</v>
      </c>
      <c r="F152" s="9" t="n">
        <v>5</v>
      </c>
      <c r="G152" s="20" t="n">
        <v>9.52</v>
      </c>
      <c r="H152" s="20" t="n">
        <v>47.6</v>
      </c>
    </row>
    <row r="153" customFormat="false" ht="15" hidden="false" customHeight="false" outlineLevel="0" collapsed="false">
      <c r="A153" s="8" t="s">
        <v>874</v>
      </c>
      <c r="B153" s="10" t="n">
        <v>46237</v>
      </c>
      <c r="C153" s="8" t="s">
        <v>214</v>
      </c>
      <c r="D153" s="8" t="s">
        <v>698</v>
      </c>
      <c r="E153" s="8" t="s">
        <v>701</v>
      </c>
      <c r="F153" s="9" t="n">
        <v>1</v>
      </c>
      <c r="G153" s="20" t="n">
        <v>19.72</v>
      </c>
      <c r="H153" s="20" t="n">
        <v>19.72</v>
      </c>
    </row>
    <row r="154" customFormat="false" ht="15" hidden="false" customHeight="false" outlineLevel="0" collapsed="false">
      <c r="A154" s="8" t="s">
        <v>875</v>
      </c>
      <c r="B154" s="10" t="n">
        <v>46116</v>
      </c>
      <c r="C154" s="8" t="s">
        <v>214</v>
      </c>
      <c r="D154" s="8" t="s">
        <v>703</v>
      </c>
      <c r="E154" s="8" t="s">
        <v>715</v>
      </c>
      <c r="F154" s="9" t="n">
        <v>2</v>
      </c>
      <c r="G154" s="20" t="n">
        <v>44.95</v>
      </c>
      <c r="H154" s="20" t="n">
        <v>89.9</v>
      </c>
    </row>
    <row r="155" customFormat="false" ht="15" hidden="false" customHeight="false" outlineLevel="0" collapsed="false">
      <c r="A155" s="8" t="s">
        <v>876</v>
      </c>
      <c r="B155" s="10" t="n">
        <v>46127</v>
      </c>
      <c r="C155" s="8" t="s">
        <v>277</v>
      </c>
      <c r="D155" s="8" t="s">
        <v>698</v>
      </c>
      <c r="E155" s="8" t="s">
        <v>710</v>
      </c>
      <c r="F155" s="9" t="n">
        <v>1</v>
      </c>
      <c r="G155" s="20" t="n">
        <v>64.09</v>
      </c>
      <c r="H155" s="20" t="n">
        <v>64.09</v>
      </c>
    </row>
    <row r="156" customFormat="false" ht="15" hidden="false" customHeight="false" outlineLevel="0" collapsed="false">
      <c r="A156" s="8" t="s">
        <v>877</v>
      </c>
      <c r="B156" s="10" t="n">
        <v>45973</v>
      </c>
      <c r="C156" s="8" t="s">
        <v>145</v>
      </c>
      <c r="D156" s="8" t="s">
        <v>703</v>
      </c>
      <c r="E156" s="8" t="s">
        <v>706</v>
      </c>
      <c r="F156" s="9" t="n">
        <v>3</v>
      </c>
      <c r="G156" s="20" t="n">
        <v>231.53</v>
      </c>
      <c r="H156" s="20" t="n">
        <v>694.59</v>
      </c>
    </row>
    <row r="157" customFormat="false" ht="15" hidden="false" customHeight="false" outlineLevel="0" collapsed="false">
      <c r="A157" s="8" t="s">
        <v>878</v>
      </c>
      <c r="B157" s="10" t="n">
        <v>46121</v>
      </c>
      <c r="C157" s="8" t="s">
        <v>154</v>
      </c>
      <c r="D157" s="8" t="s">
        <v>698</v>
      </c>
      <c r="E157" s="8" t="s">
        <v>750</v>
      </c>
      <c r="F157" s="9" t="n">
        <v>4</v>
      </c>
      <c r="G157" s="20" t="n">
        <v>24.36</v>
      </c>
      <c r="H157" s="20" t="n">
        <v>97.44</v>
      </c>
    </row>
    <row r="158" customFormat="false" ht="15" hidden="false" customHeight="false" outlineLevel="0" collapsed="false">
      <c r="A158" s="8" t="s">
        <v>879</v>
      </c>
      <c r="B158" s="10" t="n">
        <v>46204</v>
      </c>
      <c r="C158" s="8" t="s">
        <v>390</v>
      </c>
      <c r="D158" s="8" t="s">
        <v>703</v>
      </c>
      <c r="E158" s="8" t="s">
        <v>785</v>
      </c>
      <c r="F158" s="9" t="n">
        <v>4</v>
      </c>
      <c r="G158" s="20" t="n">
        <v>26.3</v>
      </c>
      <c r="H158" s="20" t="n">
        <v>105.2</v>
      </c>
    </row>
    <row r="159" customFormat="false" ht="15" hidden="false" customHeight="false" outlineLevel="0" collapsed="false">
      <c r="A159" s="8" t="s">
        <v>880</v>
      </c>
      <c r="B159" s="10" t="n">
        <v>46037</v>
      </c>
      <c r="C159" s="8" t="s">
        <v>115</v>
      </c>
      <c r="D159" s="8" t="s">
        <v>703</v>
      </c>
      <c r="E159" s="8" t="s">
        <v>772</v>
      </c>
      <c r="F159" s="9" t="n">
        <v>2</v>
      </c>
      <c r="G159" s="20" t="n">
        <v>106.54</v>
      </c>
      <c r="H159" s="20" t="n">
        <v>213.08</v>
      </c>
    </row>
    <row r="160" customFormat="false" ht="15" hidden="false" customHeight="false" outlineLevel="0" collapsed="false">
      <c r="A160" s="8" t="s">
        <v>881</v>
      </c>
      <c r="B160" s="10" t="n">
        <v>46219</v>
      </c>
      <c r="C160" s="8" t="s">
        <v>390</v>
      </c>
      <c r="D160" s="8" t="s">
        <v>698</v>
      </c>
      <c r="E160" s="8" t="s">
        <v>708</v>
      </c>
      <c r="F160" s="9" t="n">
        <v>6</v>
      </c>
      <c r="G160" s="20" t="n">
        <v>10.38</v>
      </c>
      <c r="H160" s="20" t="n">
        <v>62.28</v>
      </c>
    </row>
    <row r="161" customFormat="false" ht="15" hidden="false" customHeight="false" outlineLevel="0" collapsed="false">
      <c r="A161" s="8" t="s">
        <v>882</v>
      </c>
      <c r="B161" s="10" t="n">
        <v>46025</v>
      </c>
      <c r="C161" s="8" t="s">
        <v>154</v>
      </c>
      <c r="D161" s="8" t="s">
        <v>698</v>
      </c>
      <c r="E161" s="8" t="s">
        <v>750</v>
      </c>
      <c r="F161" s="9" t="n">
        <v>8</v>
      </c>
      <c r="G161" s="20" t="n">
        <v>25.05</v>
      </c>
      <c r="H161" s="20" t="n">
        <v>200.4</v>
      </c>
    </row>
    <row r="162" customFormat="false" ht="15" hidden="false" customHeight="false" outlineLevel="0" collapsed="false">
      <c r="A162" s="8" t="s">
        <v>883</v>
      </c>
      <c r="B162" s="10" t="n">
        <v>46167</v>
      </c>
      <c r="C162" s="8" t="s">
        <v>115</v>
      </c>
      <c r="D162" s="8" t="s">
        <v>698</v>
      </c>
      <c r="E162" s="8" t="s">
        <v>821</v>
      </c>
      <c r="F162" s="9" t="n">
        <v>6</v>
      </c>
      <c r="G162" s="20" t="n">
        <v>45.84</v>
      </c>
      <c r="H162" s="20" t="n">
        <v>275.04</v>
      </c>
    </row>
    <row r="163" customFormat="false" ht="15" hidden="false" customHeight="false" outlineLevel="0" collapsed="false">
      <c r="A163" s="8" t="s">
        <v>884</v>
      </c>
      <c r="B163" s="10" t="n">
        <v>46136</v>
      </c>
      <c r="C163" s="8" t="s">
        <v>277</v>
      </c>
      <c r="D163" s="8" t="s">
        <v>698</v>
      </c>
      <c r="E163" s="8" t="s">
        <v>710</v>
      </c>
      <c r="F163" s="9" t="n">
        <v>5</v>
      </c>
      <c r="G163" s="20" t="n">
        <v>63.49</v>
      </c>
      <c r="H163" s="20" t="n">
        <v>317.45</v>
      </c>
    </row>
    <row r="164" customFormat="false" ht="15" hidden="false" customHeight="false" outlineLevel="0" collapsed="false">
      <c r="A164" s="8" t="s">
        <v>885</v>
      </c>
      <c r="B164" s="10" t="n">
        <v>46133</v>
      </c>
      <c r="C164" s="8" t="s">
        <v>277</v>
      </c>
      <c r="D164" s="8" t="s">
        <v>698</v>
      </c>
      <c r="E164" s="8" t="s">
        <v>710</v>
      </c>
      <c r="F164" s="9" t="n">
        <v>3</v>
      </c>
      <c r="G164" s="20" t="n">
        <v>63.48</v>
      </c>
      <c r="H164" s="20" t="n">
        <v>190.44</v>
      </c>
    </row>
    <row r="165" customFormat="false" ht="15" hidden="false" customHeight="false" outlineLevel="0" collapsed="false">
      <c r="A165" s="8" t="s">
        <v>886</v>
      </c>
      <c r="B165" s="10" t="n">
        <v>45924</v>
      </c>
      <c r="C165" s="8" t="s">
        <v>52</v>
      </c>
      <c r="D165" s="8" t="s">
        <v>698</v>
      </c>
      <c r="E165" s="8" t="s">
        <v>699</v>
      </c>
      <c r="F165" s="9" t="n">
        <v>5</v>
      </c>
      <c r="G165" s="20" t="n">
        <v>14.99</v>
      </c>
      <c r="H165" s="20" t="n">
        <v>74.95</v>
      </c>
    </row>
    <row r="166" customFormat="false" ht="15" hidden="false" customHeight="false" outlineLevel="0" collapsed="false">
      <c r="A166" s="8" t="s">
        <v>887</v>
      </c>
      <c r="B166" s="10" t="n">
        <v>45951</v>
      </c>
      <c r="C166" s="8" t="s">
        <v>69</v>
      </c>
      <c r="D166" s="8" t="s">
        <v>703</v>
      </c>
      <c r="E166" s="8" t="s">
        <v>734</v>
      </c>
      <c r="F166" s="9" t="n">
        <v>7</v>
      </c>
      <c r="G166" s="20" t="n">
        <v>40.13</v>
      </c>
      <c r="H166" s="20" t="n">
        <v>280.91</v>
      </c>
    </row>
    <row r="167" customFormat="false" ht="15" hidden="false" customHeight="false" outlineLevel="0" collapsed="false">
      <c r="A167" s="8" t="s">
        <v>888</v>
      </c>
      <c r="B167" s="10" t="n">
        <v>46230</v>
      </c>
      <c r="C167" s="8" t="s">
        <v>277</v>
      </c>
      <c r="D167" s="8" t="s">
        <v>698</v>
      </c>
      <c r="E167" s="8" t="s">
        <v>710</v>
      </c>
      <c r="F167" s="9" t="n">
        <v>3</v>
      </c>
      <c r="G167" s="20" t="n">
        <v>55.35</v>
      </c>
      <c r="H167" s="20" t="n">
        <v>166.05</v>
      </c>
    </row>
    <row r="168" customFormat="false" ht="15" hidden="false" customHeight="false" outlineLevel="0" collapsed="false">
      <c r="A168" s="8" t="s">
        <v>889</v>
      </c>
      <c r="B168" s="10" t="n">
        <v>46026</v>
      </c>
      <c r="C168" s="8" t="s">
        <v>52</v>
      </c>
      <c r="D168" s="8" t="s">
        <v>703</v>
      </c>
      <c r="E168" s="8" t="s">
        <v>720</v>
      </c>
      <c r="F168" s="9" t="n">
        <v>8</v>
      </c>
      <c r="G168" s="20" t="n">
        <v>35.75</v>
      </c>
      <c r="H168" s="20" t="n">
        <v>286</v>
      </c>
    </row>
    <row r="169" customFormat="false" ht="15" hidden="false" customHeight="false" outlineLevel="0" collapsed="false">
      <c r="A169" s="8" t="s">
        <v>890</v>
      </c>
      <c r="B169" s="10" t="n">
        <v>46241</v>
      </c>
      <c r="C169" s="8" t="s">
        <v>52</v>
      </c>
      <c r="D169" s="8" t="s">
        <v>703</v>
      </c>
      <c r="E169" s="8" t="s">
        <v>720</v>
      </c>
      <c r="F169" s="9" t="n">
        <v>4</v>
      </c>
      <c r="G169" s="20" t="n">
        <v>34.32</v>
      </c>
      <c r="H169" s="20" t="n">
        <v>137.28</v>
      </c>
    </row>
    <row r="170" customFormat="false" ht="15" hidden="false" customHeight="false" outlineLevel="0" collapsed="false">
      <c r="A170" s="8" t="s">
        <v>891</v>
      </c>
      <c r="B170" s="10" t="n">
        <v>46141</v>
      </c>
      <c r="C170" s="8" t="s">
        <v>69</v>
      </c>
      <c r="D170" s="8" t="s">
        <v>703</v>
      </c>
      <c r="E170" s="8" t="s">
        <v>734</v>
      </c>
      <c r="F170" s="9" t="n">
        <v>6</v>
      </c>
      <c r="G170" s="20" t="n">
        <v>39.98</v>
      </c>
      <c r="H170" s="20" t="n">
        <v>239.88</v>
      </c>
    </row>
    <row r="171" customFormat="false" ht="15" hidden="false" customHeight="false" outlineLevel="0" collapsed="false">
      <c r="A171" s="8" t="s">
        <v>892</v>
      </c>
      <c r="B171" s="10" t="n">
        <v>46094</v>
      </c>
      <c r="C171" s="8" t="s">
        <v>277</v>
      </c>
      <c r="D171" s="8" t="s">
        <v>703</v>
      </c>
      <c r="E171" s="8" t="s">
        <v>724</v>
      </c>
      <c r="F171" s="9" t="n">
        <v>2</v>
      </c>
      <c r="G171" s="20" t="n">
        <v>129.68</v>
      </c>
      <c r="H171" s="20" t="n">
        <v>259.36</v>
      </c>
    </row>
    <row r="172" customFormat="false" ht="15" hidden="false" customHeight="false" outlineLevel="0" collapsed="false">
      <c r="A172" s="8" t="s">
        <v>893</v>
      </c>
      <c r="B172" s="10" t="n">
        <v>45901</v>
      </c>
      <c r="C172" s="8" t="s">
        <v>390</v>
      </c>
      <c r="D172" s="8" t="s">
        <v>698</v>
      </c>
      <c r="E172" s="8" t="s">
        <v>708</v>
      </c>
      <c r="F172" s="9" t="n">
        <v>3</v>
      </c>
      <c r="G172" s="20" t="n">
        <v>9.22</v>
      </c>
      <c r="H172" s="20" t="n">
        <v>27.66</v>
      </c>
    </row>
    <row r="173" customFormat="false" ht="15" hidden="false" customHeight="false" outlineLevel="0" collapsed="false">
      <c r="A173" s="8" t="s">
        <v>894</v>
      </c>
      <c r="B173" s="10" t="n">
        <v>46210</v>
      </c>
      <c r="C173" s="8" t="s">
        <v>115</v>
      </c>
      <c r="D173" s="8" t="s">
        <v>703</v>
      </c>
      <c r="E173" s="8" t="s">
        <v>772</v>
      </c>
      <c r="F173" s="9" t="n">
        <v>2</v>
      </c>
      <c r="G173" s="20" t="n">
        <v>115.79</v>
      </c>
      <c r="H173" s="20" t="n">
        <v>231.58</v>
      </c>
    </row>
    <row r="174" customFormat="false" ht="15" hidden="false" customHeight="false" outlineLevel="0" collapsed="false">
      <c r="A174" s="8" t="s">
        <v>895</v>
      </c>
      <c r="B174" s="10" t="n">
        <v>46069</v>
      </c>
      <c r="C174" s="8" t="s">
        <v>115</v>
      </c>
      <c r="D174" s="8" t="s">
        <v>703</v>
      </c>
      <c r="E174" s="8" t="s">
        <v>772</v>
      </c>
      <c r="F174" s="9" t="n">
        <v>1</v>
      </c>
      <c r="G174" s="20" t="n">
        <v>109.2</v>
      </c>
      <c r="H174" s="20" t="n">
        <v>109.2</v>
      </c>
    </row>
    <row r="175" customFormat="false" ht="15" hidden="false" customHeight="false" outlineLevel="0" collapsed="false">
      <c r="A175" s="8" t="s">
        <v>896</v>
      </c>
      <c r="B175" s="10" t="n">
        <v>45909</v>
      </c>
      <c r="C175" s="8" t="s">
        <v>277</v>
      </c>
      <c r="D175" s="8" t="s">
        <v>703</v>
      </c>
      <c r="E175" s="8" t="s">
        <v>724</v>
      </c>
      <c r="F175" s="9" t="n">
        <v>1</v>
      </c>
      <c r="G175" s="20" t="n">
        <v>148.76</v>
      </c>
      <c r="H175" s="20" t="n">
        <v>148.76</v>
      </c>
    </row>
    <row r="176" customFormat="false" ht="15" hidden="false" customHeight="false" outlineLevel="0" collapsed="false">
      <c r="A176" s="8" t="s">
        <v>897</v>
      </c>
      <c r="B176" s="10" t="n">
        <v>46154</v>
      </c>
      <c r="C176" s="8" t="s">
        <v>262</v>
      </c>
      <c r="D176" s="8" t="s">
        <v>698</v>
      </c>
      <c r="E176" s="8" t="s">
        <v>737</v>
      </c>
      <c r="F176" s="9" t="n">
        <v>7</v>
      </c>
      <c r="G176" s="20" t="n">
        <v>12.21</v>
      </c>
      <c r="H176" s="20" t="n">
        <v>85.47</v>
      </c>
    </row>
    <row r="177" customFormat="false" ht="15" hidden="false" customHeight="false" outlineLevel="0" collapsed="false">
      <c r="A177" s="8" t="s">
        <v>898</v>
      </c>
      <c r="B177" s="10" t="n">
        <v>46135</v>
      </c>
      <c r="C177" s="8" t="s">
        <v>52</v>
      </c>
      <c r="D177" s="8" t="s">
        <v>698</v>
      </c>
      <c r="E177" s="8" t="s">
        <v>699</v>
      </c>
      <c r="F177" s="9" t="n">
        <v>1</v>
      </c>
      <c r="G177" s="20" t="n">
        <v>14.18</v>
      </c>
      <c r="H177" s="20" t="n">
        <v>14.18</v>
      </c>
    </row>
    <row r="178" customFormat="false" ht="15" hidden="false" customHeight="false" outlineLevel="0" collapsed="false">
      <c r="A178" s="8" t="s">
        <v>899</v>
      </c>
      <c r="B178" s="10" t="n">
        <v>46236</v>
      </c>
      <c r="C178" s="8" t="s">
        <v>52</v>
      </c>
      <c r="D178" s="8" t="s">
        <v>698</v>
      </c>
      <c r="E178" s="8" t="s">
        <v>699</v>
      </c>
      <c r="F178" s="9" t="n">
        <v>3</v>
      </c>
      <c r="G178" s="20" t="n">
        <v>15.68</v>
      </c>
      <c r="H178" s="20" t="n">
        <v>47.04</v>
      </c>
    </row>
    <row r="179" customFormat="false" ht="15" hidden="false" customHeight="false" outlineLevel="0" collapsed="false">
      <c r="A179" s="8" t="s">
        <v>900</v>
      </c>
      <c r="B179" s="10" t="n">
        <v>45924</v>
      </c>
      <c r="C179" s="8" t="s">
        <v>115</v>
      </c>
      <c r="D179" s="8" t="s">
        <v>703</v>
      </c>
      <c r="E179" s="8" t="s">
        <v>772</v>
      </c>
      <c r="F179" s="9" t="n">
        <v>1</v>
      </c>
      <c r="G179" s="20" t="n">
        <v>107.85</v>
      </c>
      <c r="H179" s="20" t="n">
        <v>107.85</v>
      </c>
    </row>
    <row r="180" customFormat="false" ht="15" hidden="false" customHeight="false" outlineLevel="0" collapsed="false">
      <c r="A180" s="8" t="s">
        <v>901</v>
      </c>
      <c r="B180" s="10" t="n">
        <v>46218</v>
      </c>
      <c r="C180" s="8" t="s">
        <v>277</v>
      </c>
      <c r="D180" s="8" t="s">
        <v>698</v>
      </c>
      <c r="E180" s="8" t="s">
        <v>710</v>
      </c>
      <c r="F180" s="9" t="n">
        <v>1</v>
      </c>
      <c r="G180" s="20" t="n">
        <v>56.86</v>
      </c>
      <c r="H180" s="20" t="n">
        <v>56.86</v>
      </c>
    </row>
    <row r="181" customFormat="false" ht="15" hidden="false" customHeight="false" outlineLevel="0" collapsed="false">
      <c r="A181" s="8" t="s">
        <v>902</v>
      </c>
      <c r="B181" s="10" t="n">
        <v>46174</v>
      </c>
      <c r="C181" s="8" t="s">
        <v>646</v>
      </c>
      <c r="D181" s="8" t="s">
        <v>698</v>
      </c>
      <c r="E181" s="8" t="s">
        <v>782</v>
      </c>
      <c r="F181" s="9" t="n">
        <v>2</v>
      </c>
      <c r="G181" s="20" t="n">
        <v>68.87</v>
      </c>
      <c r="H181" s="20" t="n">
        <v>137.74</v>
      </c>
    </row>
    <row r="182" customFormat="false" ht="15" hidden="false" customHeight="false" outlineLevel="0" collapsed="false">
      <c r="A182" s="8" t="s">
        <v>903</v>
      </c>
      <c r="B182" s="10" t="n">
        <v>46144</v>
      </c>
      <c r="C182" s="8" t="s">
        <v>69</v>
      </c>
      <c r="D182" s="8" t="s">
        <v>703</v>
      </c>
      <c r="E182" s="8" t="s">
        <v>734</v>
      </c>
      <c r="F182" s="9" t="n">
        <v>2</v>
      </c>
      <c r="G182" s="20" t="n">
        <v>37.73</v>
      </c>
      <c r="H182" s="20" t="n">
        <v>75.46</v>
      </c>
    </row>
    <row r="183" customFormat="false" ht="15" hidden="false" customHeight="false" outlineLevel="0" collapsed="false">
      <c r="A183" s="8" t="s">
        <v>904</v>
      </c>
      <c r="B183" s="10" t="n">
        <v>45993</v>
      </c>
      <c r="C183" s="8" t="s">
        <v>390</v>
      </c>
      <c r="D183" s="8" t="s">
        <v>698</v>
      </c>
      <c r="E183" s="8" t="s">
        <v>708</v>
      </c>
      <c r="F183" s="9" t="n">
        <v>5</v>
      </c>
      <c r="G183" s="20" t="n">
        <v>9.56</v>
      </c>
      <c r="H183" s="20" t="n">
        <v>47.8</v>
      </c>
    </row>
    <row r="184" customFormat="false" ht="15" hidden="false" customHeight="false" outlineLevel="0" collapsed="false">
      <c r="A184" s="8" t="s">
        <v>905</v>
      </c>
      <c r="B184" s="10" t="n">
        <v>46105</v>
      </c>
      <c r="C184" s="8" t="s">
        <v>52</v>
      </c>
      <c r="D184" s="8" t="s">
        <v>698</v>
      </c>
      <c r="E184" s="8" t="s">
        <v>699</v>
      </c>
      <c r="F184" s="9" t="n">
        <v>1</v>
      </c>
      <c r="G184" s="20" t="n">
        <v>14.01</v>
      </c>
      <c r="H184" s="20" t="n">
        <v>14.01</v>
      </c>
    </row>
    <row r="185" customFormat="false" ht="15" hidden="false" customHeight="false" outlineLevel="0" collapsed="false">
      <c r="A185" s="8" t="s">
        <v>906</v>
      </c>
      <c r="B185" s="10" t="n">
        <v>46222</v>
      </c>
      <c r="C185" s="8" t="s">
        <v>277</v>
      </c>
      <c r="D185" s="8" t="s">
        <v>703</v>
      </c>
      <c r="E185" s="8" t="s">
        <v>724</v>
      </c>
      <c r="F185" s="9" t="n">
        <v>4</v>
      </c>
      <c r="G185" s="20" t="n">
        <v>130.28</v>
      </c>
      <c r="H185" s="20" t="n">
        <v>521.12</v>
      </c>
    </row>
    <row r="186" customFormat="false" ht="15" hidden="false" customHeight="false" outlineLevel="0" collapsed="false">
      <c r="A186" s="8" t="s">
        <v>907</v>
      </c>
      <c r="B186" s="10" t="n">
        <v>45976</v>
      </c>
      <c r="C186" s="8" t="s">
        <v>52</v>
      </c>
      <c r="D186" s="8" t="s">
        <v>703</v>
      </c>
      <c r="E186" s="8" t="s">
        <v>720</v>
      </c>
      <c r="F186" s="9" t="n">
        <v>7</v>
      </c>
      <c r="G186" s="20" t="n">
        <v>35.67</v>
      </c>
      <c r="H186" s="20" t="n">
        <v>249.69</v>
      </c>
    </row>
    <row r="187" customFormat="false" ht="15" hidden="false" customHeight="false" outlineLevel="0" collapsed="false">
      <c r="A187" s="8" t="s">
        <v>908</v>
      </c>
      <c r="B187" s="10" t="n">
        <v>46171</v>
      </c>
      <c r="C187" s="8" t="s">
        <v>214</v>
      </c>
      <c r="D187" s="8" t="s">
        <v>698</v>
      </c>
      <c r="E187" s="8" t="s">
        <v>701</v>
      </c>
      <c r="F187" s="9" t="n">
        <v>2</v>
      </c>
      <c r="G187" s="20" t="n">
        <v>19.65</v>
      </c>
      <c r="H187" s="20" t="n">
        <v>39.3</v>
      </c>
    </row>
    <row r="188" customFormat="false" ht="15" hidden="false" customHeight="false" outlineLevel="0" collapsed="false">
      <c r="A188" s="8" t="s">
        <v>909</v>
      </c>
      <c r="B188" s="10" t="n">
        <v>46206</v>
      </c>
      <c r="C188" s="8" t="s">
        <v>394</v>
      </c>
      <c r="D188" s="8" t="s">
        <v>698</v>
      </c>
      <c r="E188" s="8" t="s">
        <v>776</v>
      </c>
      <c r="F188" s="9" t="n">
        <v>1</v>
      </c>
      <c r="G188" s="20" t="n">
        <v>20.72</v>
      </c>
      <c r="H188" s="20" t="n">
        <v>20.72</v>
      </c>
    </row>
    <row r="189" customFormat="false" ht="15" hidden="false" customHeight="false" outlineLevel="0" collapsed="false">
      <c r="A189" s="8" t="s">
        <v>910</v>
      </c>
      <c r="B189" s="10" t="n">
        <v>45980</v>
      </c>
      <c r="C189" s="8" t="s">
        <v>52</v>
      </c>
      <c r="D189" s="8" t="s">
        <v>698</v>
      </c>
      <c r="E189" s="8" t="s">
        <v>699</v>
      </c>
      <c r="F189" s="9" t="n">
        <v>2</v>
      </c>
      <c r="G189" s="20" t="n">
        <v>15.7</v>
      </c>
      <c r="H189" s="20" t="n">
        <v>31.4</v>
      </c>
    </row>
    <row r="190" customFormat="false" ht="15" hidden="false" customHeight="false" outlineLevel="0" collapsed="false">
      <c r="A190" s="8" t="s">
        <v>911</v>
      </c>
      <c r="B190" s="10" t="n">
        <v>46260</v>
      </c>
      <c r="C190" s="8" t="s">
        <v>214</v>
      </c>
      <c r="D190" s="8" t="s">
        <v>698</v>
      </c>
      <c r="E190" s="8" t="s">
        <v>701</v>
      </c>
      <c r="F190" s="9" t="n">
        <v>4</v>
      </c>
      <c r="G190" s="20" t="n">
        <v>20.29</v>
      </c>
      <c r="H190" s="20" t="n">
        <v>81.16</v>
      </c>
    </row>
    <row r="191" customFormat="false" ht="15" hidden="false" customHeight="false" outlineLevel="0" collapsed="false">
      <c r="A191" s="8" t="s">
        <v>912</v>
      </c>
      <c r="B191" s="10" t="n">
        <v>46259</v>
      </c>
      <c r="C191" s="8" t="s">
        <v>154</v>
      </c>
      <c r="D191" s="8" t="s">
        <v>698</v>
      </c>
      <c r="E191" s="8" t="s">
        <v>750</v>
      </c>
      <c r="F191" s="9" t="n">
        <v>1</v>
      </c>
      <c r="G191" s="20" t="n">
        <v>25.74</v>
      </c>
      <c r="H191" s="20" t="n">
        <v>25.74</v>
      </c>
    </row>
    <row r="192" customFormat="false" ht="15" hidden="false" customHeight="false" outlineLevel="0" collapsed="false">
      <c r="A192" s="8" t="s">
        <v>913</v>
      </c>
      <c r="B192" s="10" t="n">
        <v>46004</v>
      </c>
      <c r="C192" s="8" t="s">
        <v>277</v>
      </c>
      <c r="D192" s="8" t="s">
        <v>698</v>
      </c>
      <c r="E192" s="8" t="s">
        <v>710</v>
      </c>
      <c r="F192" s="9" t="n">
        <v>6</v>
      </c>
      <c r="G192" s="20" t="n">
        <v>63.57</v>
      </c>
      <c r="H192" s="20" t="n">
        <v>381.42</v>
      </c>
    </row>
    <row r="193" customFormat="false" ht="15" hidden="false" customHeight="false" outlineLevel="0" collapsed="false">
      <c r="A193" s="8" t="s">
        <v>914</v>
      </c>
      <c r="B193" s="10" t="n">
        <v>46014</v>
      </c>
      <c r="C193" s="8" t="s">
        <v>390</v>
      </c>
      <c r="D193" s="8" t="s">
        <v>703</v>
      </c>
      <c r="E193" s="8" t="s">
        <v>785</v>
      </c>
      <c r="F193" s="9" t="n">
        <v>2</v>
      </c>
      <c r="G193" s="20" t="n">
        <v>23.41</v>
      </c>
      <c r="H193" s="20" t="n">
        <v>46.82</v>
      </c>
    </row>
    <row r="194" customFormat="false" ht="15" hidden="false" customHeight="false" outlineLevel="0" collapsed="false">
      <c r="A194" s="8" t="s">
        <v>915</v>
      </c>
      <c r="B194" s="10" t="n">
        <v>46244</v>
      </c>
      <c r="C194" s="8" t="s">
        <v>214</v>
      </c>
      <c r="D194" s="8" t="s">
        <v>698</v>
      </c>
      <c r="E194" s="8" t="s">
        <v>701</v>
      </c>
      <c r="F194" s="9" t="n">
        <v>1</v>
      </c>
      <c r="G194" s="20" t="n">
        <v>20.4</v>
      </c>
      <c r="H194" s="20" t="n">
        <v>20.4</v>
      </c>
    </row>
    <row r="195" customFormat="false" ht="15" hidden="false" customHeight="false" outlineLevel="0" collapsed="false">
      <c r="A195" s="8" t="s">
        <v>916</v>
      </c>
      <c r="B195" s="10" t="n">
        <v>45911</v>
      </c>
      <c r="C195" s="8" t="s">
        <v>214</v>
      </c>
      <c r="D195" s="8" t="s">
        <v>703</v>
      </c>
      <c r="E195" s="8" t="s">
        <v>715</v>
      </c>
      <c r="F195" s="9" t="n">
        <v>3</v>
      </c>
      <c r="G195" s="20" t="n">
        <v>44.05</v>
      </c>
      <c r="H195" s="20" t="n">
        <v>132.15</v>
      </c>
    </row>
    <row r="196" customFormat="false" ht="15" hidden="false" customHeight="false" outlineLevel="0" collapsed="false">
      <c r="A196" s="8" t="s">
        <v>917</v>
      </c>
      <c r="B196" s="10" t="n">
        <v>45988</v>
      </c>
      <c r="C196" s="8" t="s">
        <v>214</v>
      </c>
      <c r="D196" s="8" t="s">
        <v>703</v>
      </c>
      <c r="E196" s="8" t="s">
        <v>715</v>
      </c>
      <c r="F196" s="9" t="n">
        <v>5</v>
      </c>
      <c r="G196" s="20" t="n">
        <v>44.09</v>
      </c>
      <c r="H196" s="20" t="n">
        <v>220.45</v>
      </c>
    </row>
    <row r="197" customFormat="false" ht="15" hidden="false" customHeight="false" outlineLevel="0" collapsed="false">
      <c r="A197" s="8" t="s">
        <v>918</v>
      </c>
      <c r="B197" s="10" t="n">
        <v>46179</v>
      </c>
      <c r="C197" s="8" t="s">
        <v>52</v>
      </c>
      <c r="D197" s="8" t="s">
        <v>698</v>
      </c>
      <c r="E197" s="8" t="s">
        <v>699</v>
      </c>
      <c r="F197" s="9" t="n">
        <v>5</v>
      </c>
      <c r="G197" s="20" t="n">
        <v>14.33</v>
      </c>
      <c r="H197" s="20" t="n">
        <v>71.65</v>
      </c>
    </row>
    <row r="198" customFormat="false" ht="15" hidden="false" customHeight="false" outlineLevel="0" collapsed="false">
      <c r="A198" s="8" t="s">
        <v>919</v>
      </c>
      <c r="B198" s="10" t="n">
        <v>46038</v>
      </c>
      <c r="C198" s="8" t="s">
        <v>646</v>
      </c>
      <c r="D198" s="8" t="s">
        <v>703</v>
      </c>
      <c r="E198" s="8" t="s">
        <v>732</v>
      </c>
      <c r="F198" s="9" t="n">
        <v>1</v>
      </c>
      <c r="G198" s="20" t="n">
        <v>190.1</v>
      </c>
      <c r="H198" s="20" t="n">
        <v>190.1</v>
      </c>
    </row>
    <row r="199" customFormat="false" ht="15" hidden="false" customHeight="false" outlineLevel="0" collapsed="false">
      <c r="A199" s="8" t="s">
        <v>920</v>
      </c>
      <c r="B199" s="10" t="n">
        <v>46103</v>
      </c>
      <c r="C199" s="8" t="s">
        <v>214</v>
      </c>
      <c r="D199" s="8" t="s">
        <v>698</v>
      </c>
      <c r="E199" s="8" t="s">
        <v>701</v>
      </c>
      <c r="F199" s="9" t="n">
        <v>2</v>
      </c>
      <c r="G199" s="20" t="n">
        <v>19.4</v>
      </c>
      <c r="H199" s="20" t="n">
        <v>38.8</v>
      </c>
    </row>
    <row r="200" customFormat="false" ht="15" hidden="false" customHeight="false" outlineLevel="0" collapsed="false">
      <c r="A200" s="8" t="s">
        <v>921</v>
      </c>
      <c r="B200" s="10" t="n">
        <v>46006</v>
      </c>
      <c r="C200" s="8" t="s">
        <v>69</v>
      </c>
      <c r="D200" s="8" t="s">
        <v>703</v>
      </c>
      <c r="E200" s="8" t="s">
        <v>734</v>
      </c>
      <c r="F200" s="9" t="n">
        <v>1</v>
      </c>
      <c r="G200" s="20" t="n">
        <v>42.63</v>
      </c>
      <c r="H200" s="20" t="n">
        <v>42.63</v>
      </c>
    </row>
    <row r="201" customFormat="false" ht="15" hidden="false" customHeight="false" outlineLevel="0" collapsed="false">
      <c r="A201" s="8" t="s">
        <v>922</v>
      </c>
      <c r="B201" s="10" t="n">
        <v>46126</v>
      </c>
      <c r="C201" s="8" t="s">
        <v>390</v>
      </c>
      <c r="D201" s="8" t="s">
        <v>703</v>
      </c>
      <c r="E201" s="8" t="s">
        <v>785</v>
      </c>
      <c r="F201" s="9" t="n">
        <v>4</v>
      </c>
      <c r="G201" s="20" t="n">
        <v>23.94</v>
      </c>
      <c r="H201" s="20" t="n">
        <v>95.76</v>
      </c>
    </row>
    <row r="202" customFormat="false" ht="15" hidden="false" customHeight="false" outlineLevel="0" collapsed="false">
      <c r="A202" s="8" t="s">
        <v>923</v>
      </c>
      <c r="B202" s="10" t="n">
        <v>46193</v>
      </c>
      <c r="C202" s="8" t="s">
        <v>154</v>
      </c>
      <c r="D202" s="8" t="s">
        <v>703</v>
      </c>
      <c r="E202" s="8" t="s">
        <v>778</v>
      </c>
      <c r="F202" s="9" t="n">
        <v>5</v>
      </c>
      <c r="G202" s="20" t="n">
        <v>51.76</v>
      </c>
      <c r="H202" s="20" t="n">
        <v>258.8</v>
      </c>
    </row>
    <row r="203" customFormat="false" ht="15" hidden="false" customHeight="false" outlineLevel="0" collapsed="false">
      <c r="A203" s="8" t="s">
        <v>924</v>
      </c>
      <c r="B203" s="10" t="n">
        <v>46021</v>
      </c>
      <c r="C203" s="8" t="s">
        <v>52</v>
      </c>
      <c r="D203" s="8" t="s">
        <v>703</v>
      </c>
      <c r="E203" s="8" t="s">
        <v>720</v>
      </c>
      <c r="F203" s="9" t="n">
        <v>2</v>
      </c>
      <c r="G203" s="20" t="n">
        <v>37.4</v>
      </c>
      <c r="H203" s="20" t="n">
        <v>74.8</v>
      </c>
    </row>
    <row r="204" customFormat="false" ht="15" hidden="false" customHeight="false" outlineLevel="0" collapsed="false">
      <c r="A204" s="8" t="s">
        <v>925</v>
      </c>
      <c r="B204" s="10" t="n">
        <v>46141</v>
      </c>
      <c r="C204" s="8" t="s">
        <v>214</v>
      </c>
      <c r="D204" s="8" t="s">
        <v>703</v>
      </c>
      <c r="E204" s="8" t="s">
        <v>715</v>
      </c>
      <c r="F204" s="9" t="n">
        <v>1</v>
      </c>
      <c r="G204" s="20" t="n">
        <v>46.14</v>
      </c>
      <c r="H204" s="20" t="n">
        <v>46.14</v>
      </c>
    </row>
    <row r="205" customFormat="false" ht="15" hidden="false" customHeight="false" outlineLevel="0" collapsed="false">
      <c r="A205" s="8" t="s">
        <v>926</v>
      </c>
      <c r="B205" s="10" t="n">
        <v>46167</v>
      </c>
      <c r="C205" s="8" t="s">
        <v>214</v>
      </c>
      <c r="D205" s="8" t="s">
        <v>698</v>
      </c>
      <c r="E205" s="8" t="s">
        <v>701</v>
      </c>
      <c r="F205" s="9" t="n">
        <v>2</v>
      </c>
      <c r="G205" s="20" t="n">
        <v>19.87</v>
      </c>
      <c r="H205" s="20" t="n">
        <v>39.74</v>
      </c>
    </row>
    <row r="206" customFormat="false" ht="15" hidden="false" customHeight="false" outlineLevel="0" collapsed="false">
      <c r="A206" s="8" t="s">
        <v>927</v>
      </c>
      <c r="B206" s="10" t="n">
        <v>46204</v>
      </c>
      <c r="C206" s="8" t="s">
        <v>52</v>
      </c>
      <c r="D206" s="8" t="s">
        <v>698</v>
      </c>
      <c r="E206" s="8" t="s">
        <v>699</v>
      </c>
      <c r="F206" s="9" t="n">
        <v>3</v>
      </c>
      <c r="G206" s="20" t="n">
        <v>15.55</v>
      </c>
      <c r="H206" s="20" t="n">
        <v>46.65</v>
      </c>
    </row>
    <row r="207" customFormat="false" ht="15" hidden="false" customHeight="false" outlineLevel="0" collapsed="false">
      <c r="A207" s="8" t="s">
        <v>928</v>
      </c>
      <c r="B207" s="10" t="n">
        <v>46257</v>
      </c>
      <c r="C207" s="8" t="s">
        <v>277</v>
      </c>
      <c r="D207" s="8" t="s">
        <v>698</v>
      </c>
      <c r="E207" s="8" t="s">
        <v>710</v>
      </c>
      <c r="F207" s="9" t="n">
        <v>8</v>
      </c>
      <c r="G207" s="20" t="n">
        <v>60.76</v>
      </c>
      <c r="H207" s="20" t="n">
        <v>486.08</v>
      </c>
    </row>
    <row r="208" customFormat="false" ht="15" hidden="false" customHeight="false" outlineLevel="0" collapsed="false">
      <c r="A208" s="8" t="s">
        <v>929</v>
      </c>
      <c r="B208" s="10" t="n">
        <v>46149</v>
      </c>
      <c r="C208" s="8" t="s">
        <v>145</v>
      </c>
      <c r="D208" s="8" t="s">
        <v>703</v>
      </c>
      <c r="E208" s="8" t="s">
        <v>706</v>
      </c>
      <c r="F208" s="9" t="n">
        <v>1</v>
      </c>
      <c r="G208" s="20" t="n">
        <v>208.12</v>
      </c>
      <c r="H208" s="20" t="n">
        <v>208.12</v>
      </c>
    </row>
    <row r="209" customFormat="false" ht="15" hidden="false" customHeight="false" outlineLevel="0" collapsed="false">
      <c r="A209" s="8" t="s">
        <v>930</v>
      </c>
      <c r="B209" s="10" t="n">
        <v>46114</v>
      </c>
      <c r="C209" s="8" t="s">
        <v>394</v>
      </c>
      <c r="D209" s="8" t="s">
        <v>698</v>
      </c>
      <c r="E209" s="8" t="s">
        <v>776</v>
      </c>
      <c r="F209" s="9" t="n">
        <v>3</v>
      </c>
      <c r="G209" s="20" t="n">
        <v>23.48</v>
      </c>
      <c r="H209" s="20" t="n">
        <v>70.44</v>
      </c>
    </row>
    <row r="210" customFormat="false" ht="15" hidden="false" customHeight="false" outlineLevel="0" collapsed="false">
      <c r="A210" s="8" t="s">
        <v>931</v>
      </c>
      <c r="B210" s="10" t="n">
        <v>46120</v>
      </c>
      <c r="C210" s="8" t="s">
        <v>390</v>
      </c>
      <c r="D210" s="8" t="s">
        <v>698</v>
      </c>
      <c r="E210" s="8" t="s">
        <v>708</v>
      </c>
      <c r="F210" s="9" t="n">
        <v>3</v>
      </c>
      <c r="G210" s="20" t="n">
        <v>9.28</v>
      </c>
      <c r="H210" s="20" t="n">
        <v>27.84</v>
      </c>
    </row>
    <row r="211" customFormat="false" ht="15" hidden="false" customHeight="false" outlineLevel="0" collapsed="false">
      <c r="A211" s="8" t="s">
        <v>932</v>
      </c>
      <c r="B211" s="10" t="n">
        <v>46069</v>
      </c>
      <c r="C211" s="8" t="s">
        <v>145</v>
      </c>
      <c r="D211" s="8" t="s">
        <v>698</v>
      </c>
      <c r="E211" s="8" t="s">
        <v>754</v>
      </c>
      <c r="F211" s="9" t="n">
        <v>2</v>
      </c>
      <c r="G211" s="20" t="n">
        <v>90.88</v>
      </c>
      <c r="H211" s="20" t="n">
        <v>181.76</v>
      </c>
    </row>
    <row r="212" customFormat="false" ht="15" hidden="false" customHeight="false" outlineLevel="0" collapsed="false">
      <c r="A212" s="8" t="s">
        <v>933</v>
      </c>
      <c r="B212" s="10" t="n">
        <v>46235</v>
      </c>
      <c r="C212" s="8" t="s">
        <v>52</v>
      </c>
      <c r="D212" s="8" t="s">
        <v>698</v>
      </c>
      <c r="E212" s="8" t="s">
        <v>699</v>
      </c>
      <c r="F212" s="9" t="n">
        <v>4</v>
      </c>
      <c r="G212" s="20" t="n">
        <v>13.97</v>
      </c>
      <c r="H212" s="20" t="n">
        <v>55.88</v>
      </c>
    </row>
    <row r="213" customFormat="false" ht="15" hidden="false" customHeight="false" outlineLevel="0" collapsed="false">
      <c r="A213" s="8" t="s">
        <v>934</v>
      </c>
      <c r="B213" s="10" t="n">
        <v>45905</v>
      </c>
      <c r="C213" s="8" t="s">
        <v>390</v>
      </c>
      <c r="D213" s="8" t="s">
        <v>698</v>
      </c>
      <c r="E213" s="8" t="s">
        <v>708</v>
      </c>
      <c r="F213" s="9" t="n">
        <v>1</v>
      </c>
      <c r="G213" s="20" t="n">
        <v>9.75</v>
      </c>
      <c r="H213" s="20" t="n">
        <v>9.75</v>
      </c>
    </row>
    <row r="214" customFormat="false" ht="15" hidden="false" customHeight="false" outlineLevel="0" collapsed="false">
      <c r="A214" s="8" t="s">
        <v>935</v>
      </c>
      <c r="B214" s="10" t="n">
        <v>46148</v>
      </c>
      <c r="C214" s="8" t="s">
        <v>145</v>
      </c>
      <c r="D214" s="8" t="s">
        <v>703</v>
      </c>
      <c r="E214" s="8" t="s">
        <v>706</v>
      </c>
      <c r="F214" s="9" t="n">
        <v>2</v>
      </c>
      <c r="G214" s="20" t="n">
        <v>225.68</v>
      </c>
      <c r="H214" s="20" t="n">
        <v>451.36</v>
      </c>
    </row>
    <row r="215" customFormat="false" ht="15" hidden="false" customHeight="false" outlineLevel="0" collapsed="false">
      <c r="A215" s="8" t="s">
        <v>936</v>
      </c>
      <c r="B215" s="10" t="n">
        <v>46161</v>
      </c>
      <c r="C215" s="8" t="s">
        <v>277</v>
      </c>
      <c r="D215" s="8" t="s">
        <v>703</v>
      </c>
      <c r="E215" s="8" t="s">
        <v>724</v>
      </c>
      <c r="F215" s="9" t="n">
        <v>4</v>
      </c>
      <c r="G215" s="20" t="n">
        <v>135.83</v>
      </c>
      <c r="H215" s="20" t="n">
        <v>543.32</v>
      </c>
    </row>
    <row r="216" customFormat="false" ht="15" hidden="false" customHeight="false" outlineLevel="0" collapsed="false">
      <c r="A216" s="8" t="s">
        <v>937</v>
      </c>
      <c r="B216" s="10" t="n">
        <v>46063</v>
      </c>
      <c r="C216" s="8" t="s">
        <v>650</v>
      </c>
      <c r="D216" s="8" t="s">
        <v>698</v>
      </c>
      <c r="E216" s="8" t="s">
        <v>800</v>
      </c>
      <c r="F216" s="9" t="n">
        <v>4</v>
      </c>
      <c r="G216" s="20" t="n">
        <v>27.53</v>
      </c>
      <c r="H216" s="20" t="n">
        <v>110.12</v>
      </c>
    </row>
    <row r="217" customFormat="false" ht="15" hidden="false" customHeight="false" outlineLevel="0" collapsed="false">
      <c r="A217" s="8" t="s">
        <v>938</v>
      </c>
      <c r="B217" s="10" t="n">
        <v>46233</v>
      </c>
      <c r="C217" s="8" t="s">
        <v>52</v>
      </c>
      <c r="D217" s="8" t="s">
        <v>703</v>
      </c>
      <c r="E217" s="8" t="s">
        <v>720</v>
      </c>
      <c r="F217" s="9" t="n">
        <v>1</v>
      </c>
      <c r="G217" s="20" t="n">
        <v>35.95</v>
      </c>
      <c r="H217" s="20" t="n">
        <v>35.95</v>
      </c>
    </row>
    <row r="218" customFormat="false" ht="15" hidden="false" customHeight="false" outlineLevel="0" collapsed="false">
      <c r="A218" s="8" t="s">
        <v>939</v>
      </c>
      <c r="B218" s="10" t="n">
        <v>45930</v>
      </c>
      <c r="C218" s="8" t="s">
        <v>390</v>
      </c>
      <c r="D218" s="8" t="s">
        <v>698</v>
      </c>
      <c r="E218" s="8" t="s">
        <v>708</v>
      </c>
      <c r="F218" s="9" t="n">
        <v>5</v>
      </c>
      <c r="G218" s="20" t="n">
        <v>10.05</v>
      </c>
      <c r="H218" s="20" t="n">
        <v>50.25</v>
      </c>
    </row>
    <row r="219" customFormat="false" ht="15" hidden="false" customHeight="false" outlineLevel="0" collapsed="false">
      <c r="A219" s="8" t="s">
        <v>940</v>
      </c>
      <c r="B219" s="10" t="n">
        <v>46175</v>
      </c>
      <c r="C219" s="8" t="s">
        <v>214</v>
      </c>
      <c r="D219" s="8" t="s">
        <v>698</v>
      </c>
      <c r="E219" s="8" t="s">
        <v>701</v>
      </c>
      <c r="F219" s="9" t="n">
        <v>7</v>
      </c>
      <c r="G219" s="20" t="n">
        <v>20.7</v>
      </c>
      <c r="H219" s="20" t="n">
        <v>144.9</v>
      </c>
    </row>
    <row r="220" customFormat="false" ht="15" hidden="false" customHeight="false" outlineLevel="0" collapsed="false">
      <c r="A220" s="8" t="s">
        <v>941</v>
      </c>
      <c r="B220" s="10" t="n">
        <v>45969</v>
      </c>
      <c r="C220" s="8" t="s">
        <v>145</v>
      </c>
      <c r="D220" s="8" t="s">
        <v>698</v>
      </c>
      <c r="E220" s="8" t="s">
        <v>754</v>
      </c>
      <c r="F220" s="9" t="n">
        <v>2</v>
      </c>
      <c r="G220" s="20" t="n">
        <v>92.44</v>
      </c>
      <c r="H220" s="20" t="n">
        <v>184.88</v>
      </c>
    </row>
    <row r="221" customFormat="false" ht="15" hidden="false" customHeight="false" outlineLevel="0" collapsed="false">
      <c r="A221" s="8" t="s">
        <v>942</v>
      </c>
      <c r="B221" s="10" t="n">
        <v>45994</v>
      </c>
      <c r="C221" s="8" t="s">
        <v>214</v>
      </c>
      <c r="D221" s="8" t="s">
        <v>703</v>
      </c>
      <c r="E221" s="8" t="s">
        <v>715</v>
      </c>
      <c r="F221" s="9" t="n">
        <v>1</v>
      </c>
      <c r="G221" s="20" t="n">
        <v>46.71</v>
      </c>
      <c r="H221" s="20" t="n">
        <v>46.71</v>
      </c>
    </row>
    <row r="222" customFormat="false" ht="15" hidden="false" customHeight="false" outlineLevel="0" collapsed="false">
      <c r="A222" s="8" t="s">
        <v>943</v>
      </c>
      <c r="B222" s="10" t="n">
        <v>46169</v>
      </c>
      <c r="C222" s="8" t="s">
        <v>262</v>
      </c>
      <c r="D222" s="8" t="s">
        <v>698</v>
      </c>
      <c r="E222" s="8" t="s">
        <v>737</v>
      </c>
      <c r="F222" s="9" t="n">
        <v>2</v>
      </c>
      <c r="G222" s="20" t="n">
        <v>11.64</v>
      </c>
      <c r="H222" s="20" t="n">
        <v>23.28</v>
      </c>
    </row>
    <row r="223" customFormat="false" ht="15" hidden="false" customHeight="false" outlineLevel="0" collapsed="false">
      <c r="A223" s="8" t="s">
        <v>944</v>
      </c>
      <c r="B223" s="10" t="n">
        <v>46037</v>
      </c>
      <c r="C223" s="8" t="s">
        <v>69</v>
      </c>
      <c r="D223" s="8" t="s">
        <v>703</v>
      </c>
      <c r="E223" s="8" t="s">
        <v>734</v>
      </c>
      <c r="F223" s="9" t="n">
        <v>3</v>
      </c>
      <c r="G223" s="20" t="n">
        <v>36.82</v>
      </c>
      <c r="H223" s="20" t="n">
        <v>110.46</v>
      </c>
    </row>
    <row r="224" customFormat="false" ht="15" hidden="false" customHeight="false" outlineLevel="0" collapsed="false">
      <c r="A224" s="8" t="s">
        <v>945</v>
      </c>
      <c r="B224" s="10" t="n">
        <v>46018</v>
      </c>
      <c r="C224" s="8" t="s">
        <v>277</v>
      </c>
      <c r="D224" s="8" t="s">
        <v>703</v>
      </c>
      <c r="E224" s="8" t="s">
        <v>724</v>
      </c>
      <c r="F224" s="9" t="n">
        <v>3</v>
      </c>
      <c r="G224" s="20" t="n">
        <v>147.54</v>
      </c>
      <c r="H224" s="20" t="n">
        <v>442.62</v>
      </c>
    </row>
    <row r="225" customFormat="false" ht="15" hidden="false" customHeight="false" outlineLevel="0" collapsed="false">
      <c r="A225" s="8" t="s">
        <v>946</v>
      </c>
      <c r="B225" s="10" t="n">
        <v>46045</v>
      </c>
      <c r="C225" s="8" t="s">
        <v>277</v>
      </c>
      <c r="D225" s="8" t="s">
        <v>703</v>
      </c>
      <c r="E225" s="8" t="s">
        <v>724</v>
      </c>
      <c r="F225" s="9" t="n">
        <v>4</v>
      </c>
      <c r="G225" s="20" t="n">
        <v>130.92</v>
      </c>
      <c r="H225" s="20" t="n">
        <v>523.68</v>
      </c>
    </row>
    <row r="226" customFormat="false" ht="15" hidden="false" customHeight="false" outlineLevel="0" collapsed="false">
      <c r="A226" s="8" t="s">
        <v>947</v>
      </c>
      <c r="B226" s="10" t="n">
        <v>45907</v>
      </c>
      <c r="C226" s="8" t="s">
        <v>262</v>
      </c>
      <c r="D226" s="8" t="s">
        <v>703</v>
      </c>
      <c r="E226" s="8" t="s">
        <v>769</v>
      </c>
      <c r="F226" s="9" t="n">
        <v>5</v>
      </c>
      <c r="G226" s="20" t="n">
        <v>29.25</v>
      </c>
      <c r="H226" s="20" t="n">
        <v>146.25</v>
      </c>
    </row>
    <row r="227" customFormat="false" ht="15" hidden="false" customHeight="false" outlineLevel="0" collapsed="false">
      <c r="A227" s="8" t="s">
        <v>948</v>
      </c>
      <c r="B227" s="10" t="n">
        <v>46120</v>
      </c>
      <c r="C227" s="8" t="s">
        <v>154</v>
      </c>
      <c r="D227" s="8" t="s">
        <v>703</v>
      </c>
      <c r="E227" s="8" t="s">
        <v>778</v>
      </c>
      <c r="F227" s="9" t="n">
        <v>7</v>
      </c>
      <c r="G227" s="20" t="n">
        <v>52.13</v>
      </c>
      <c r="H227" s="20" t="n">
        <v>364.91</v>
      </c>
    </row>
    <row r="228" customFormat="false" ht="15" hidden="false" customHeight="false" outlineLevel="0" collapsed="false">
      <c r="A228" s="8" t="s">
        <v>949</v>
      </c>
      <c r="B228" s="10" t="n">
        <v>46240</v>
      </c>
      <c r="C228" s="8" t="s">
        <v>115</v>
      </c>
      <c r="D228" s="8" t="s">
        <v>703</v>
      </c>
      <c r="E228" s="8" t="s">
        <v>772</v>
      </c>
      <c r="F228" s="9" t="n">
        <v>3</v>
      </c>
      <c r="G228" s="20" t="n">
        <v>114.76</v>
      </c>
      <c r="H228" s="20" t="n">
        <v>344.28</v>
      </c>
    </row>
    <row r="229" customFormat="false" ht="15" hidden="false" customHeight="false" outlineLevel="0" collapsed="false">
      <c r="A229" s="8" t="s">
        <v>950</v>
      </c>
      <c r="B229" s="10" t="n">
        <v>46186</v>
      </c>
      <c r="C229" s="8" t="s">
        <v>390</v>
      </c>
      <c r="D229" s="8" t="s">
        <v>698</v>
      </c>
      <c r="E229" s="8" t="s">
        <v>708</v>
      </c>
      <c r="F229" s="9" t="n">
        <v>2</v>
      </c>
      <c r="G229" s="20" t="n">
        <v>10.41</v>
      </c>
      <c r="H229" s="20" t="n">
        <v>20.82</v>
      </c>
    </row>
    <row r="230" customFormat="false" ht="15" hidden="false" customHeight="false" outlineLevel="0" collapsed="false">
      <c r="A230" s="8" t="s">
        <v>951</v>
      </c>
      <c r="B230" s="10" t="n">
        <v>46259</v>
      </c>
      <c r="C230" s="8" t="s">
        <v>646</v>
      </c>
      <c r="D230" s="8" t="s">
        <v>698</v>
      </c>
      <c r="E230" s="8" t="s">
        <v>782</v>
      </c>
      <c r="F230" s="9" t="n">
        <v>5</v>
      </c>
      <c r="G230" s="20" t="n">
        <v>72.49</v>
      </c>
      <c r="H230" s="20" t="n">
        <v>362.45</v>
      </c>
    </row>
    <row r="231" customFormat="false" ht="15" hidden="false" customHeight="false" outlineLevel="0" collapsed="false">
      <c r="A231" s="8" t="s">
        <v>952</v>
      </c>
      <c r="B231" s="10" t="n">
        <v>46068</v>
      </c>
      <c r="C231" s="8" t="s">
        <v>390</v>
      </c>
      <c r="D231" s="8" t="s">
        <v>703</v>
      </c>
      <c r="E231" s="8" t="s">
        <v>785</v>
      </c>
      <c r="F231" s="9" t="n">
        <v>1</v>
      </c>
      <c r="G231" s="20" t="n">
        <v>26.5</v>
      </c>
      <c r="H231" s="20" t="n">
        <v>26.5</v>
      </c>
    </row>
    <row r="232" customFormat="false" ht="15" hidden="false" customHeight="false" outlineLevel="0" collapsed="false">
      <c r="A232" s="8" t="s">
        <v>953</v>
      </c>
      <c r="B232" s="10" t="n">
        <v>45940</v>
      </c>
      <c r="C232" s="8" t="s">
        <v>262</v>
      </c>
      <c r="D232" s="8" t="s">
        <v>703</v>
      </c>
      <c r="E232" s="8" t="s">
        <v>769</v>
      </c>
      <c r="F232" s="9" t="n">
        <v>2</v>
      </c>
      <c r="G232" s="20" t="n">
        <v>32.05</v>
      </c>
      <c r="H232" s="20" t="n">
        <v>64.1</v>
      </c>
    </row>
    <row r="233" customFormat="false" ht="15" hidden="false" customHeight="false" outlineLevel="0" collapsed="false">
      <c r="A233" s="8" t="s">
        <v>954</v>
      </c>
      <c r="B233" s="10" t="n">
        <v>46075</v>
      </c>
      <c r="C233" s="8" t="s">
        <v>262</v>
      </c>
      <c r="D233" s="8" t="s">
        <v>698</v>
      </c>
      <c r="E233" s="8" t="s">
        <v>737</v>
      </c>
      <c r="F233" s="9" t="n">
        <v>2</v>
      </c>
      <c r="G233" s="20" t="n">
        <v>12</v>
      </c>
      <c r="H233" s="20" t="n">
        <v>24</v>
      </c>
    </row>
    <row r="234" customFormat="false" ht="15" hidden="false" customHeight="false" outlineLevel="0" collapsed="false">
      <c r="A234" s="8" t="s">
        <v>955</v>
      </c>
      <c r="B234" s="10" t="n">
        <v>46046</v>
      </c>
      <c r="C234" s="8" t="s">
        <v>277</v>
      </c>
      <c r="D234" s="8" t="s">
        <v>698</v>
      </c>
      <c r="E234" s="8" t="s">
        <v>710</v>
      </c>
      <c r="F234" s="9" t="n">
        <v>3</v>
      </c>
      <c r="G234" s="20" t="n">
        <v>62.67</v>
      </c>
      <c r="H234" s="20" t="n">
        <v>188.01</v>
      </c>
    </row>
    <row r="235" customFormat="false" ht="15" hidden="false" customHeight="false" outlineLevel="0" collapsed="false">
      <c r="A235" s="8" t="s">
        <v>956</v>
      </c>
      <c r="B235" s="10" t="n">
        <v>45983</v>
      </c>
      <c r="C235" s="8" t="s">
        <v>390</v>
      </c>
      <c r="D235" s="8" t="s">
        <v>698</v>
      </c>
      <c r="E235" s="8" t="s">
        <v>708</v>
      </c>
      <c r="F235" s="9" t="n">
        <v>1</v>
      </c>
      <c r="G235" s="20" t="n">
        <v>9.48</v>
      </c>
      <c r="H235" s="20" t="n">
        <v>9.48</v>
      </c>
    </row>
    <row r="236" customFormat="false" ht="15" hidden="false" customHeight="false" outlineLevel="0" collapsed="false">
      <c r="A236" s="8" t="s">
        <v>957</v>
      </c>
      <c r="B236" s="10" t="n">
        <v>46212</v>
      </c>
      <c r="C236" s="8" t="s">
        <v>390</v>
      </c>
      <c r="D236" s="8" t="s">
        <v>698</v>
      </c>
      <c r="E236" s="8" t="s">
        <v>708</v>
      </c>
      <c r="F236" s="9" t="n">
        <v>6</v>
      </c>
      <c r="G236" s="20" t="n">
        <v>9.92</v>
      </c>
      <c r="H236" s="20" t="n">
        <v>59.52</v>
      </c>
    </row>
    <row r="237" customFormat="false" ht="15" hidden="false" customHeight="false" outlineLevel="0" collapsed="false">
      <c r="A237" s="8" t="s">
        <v>958</v>
      </c>
      <c r="B237" s="10" t="n">
        <v>46241</v>
      </c>
      <c r="C237" s="8" t="s">
        <v>69</v>
      </c>
      <c r="D237" s="8" t="s">
        <v>703</v>
      </c>
      <c r="E237" s="8" t="s">
        <v>734</v>
      </c>
      <c r="F237" s="9" t="n">
        <v>3</v>
      </c>
      <c r="G237" s="20" t="n">
        <v>39.04</v>
      </c>
      <c r="H237" s="20" t="n">
        <v>117.12</v>
      </c>
    </row>
    <row r="238" customFormat="false" ht="15" hidden="false" customHeight="false" outlineLevel="0" collapsed="false">
      <c r="A238" s="8" t="s">
        <v>959</v>
      </c>
      <c r="B238" s="10" t="n">
        <v>46043</v>
      </c>
      <c r="C238" s="8" t="s">
        <v>214</v>
      </c>
      <c r="D238" s="8" t="s">
        <v>703</v>
      </c>
      <c r="E238" s="8" t="s">
        <v>715</v>
      </c>
      <c r="F238" s="9" t="n">
        <v>2</v>
      </c>
      <c r="G238" s="20" t="n">
        <v>43.73</v>
      </c>
      <c r="H238" s="20" t="n">
        <v>87.46</v>
      </c>
    </row>
    <row r="239" customFormat="false" ht="15" hidden="false" customHeight="false" outlineLevel="0" collapsed="false">
      <c r="A239" s="8" t="s">
        <v>960</v>
      </c>
      <c r="B239" s="10" t="n">
        <v>45939</v>
      </c>
      <c r="C239" s="8" t="s">
        <v>390</v>
      </c>
      <c r="D239" s="8" t="s">
        <v>703</v>
      </c>
      <c r="E239" s="8" t="s">
        <v>785</v>
      </c>
      <c r="F239" s="9" t="n">
        <v>2</v>
      </c>
      <c r="G239" s="20" t="n">
        <v>26.37</v>
      </c>
      <c r="H239" s="20" t="n">
        <v>52.74</v>
      </c>
    </row>
    <row r="240" customFormat="false" ht="15" hidden="false" customHeight="false" outlineLevel="0" collapsed="false">
      <c r="A240" s="8" t="s">
        <v>961</v>
      </c>
      <c r="B240" s="10" t="n">
        <v>46149</v>
      </c>
      <c r="C240" s="8" t="s">
        <v>390</v>
      </c>
      <c r="D240" s="8" t="s">
        <v>698</v>
      </c>
      <c r="E240" s="8" t="s">
        <v>708</v>
      </c>
      <c r="F240" s="9" t="n">
        <v>2</v>
      </c>
      <c r="G240" s="20" t="n">
        <v>10.42</v>
      </c>
      <c r="H240" s="20" t="n">
        <v>20.84</v>
      </c>
    </row>
    <row r="241" customFormat="false" ht="15" hidden="false" customHeight="false" outlineLevel="0" collapsed="false">
      <c r="A241" s="8" t="s">
        <v>962</v>
      </c>
      <c r="B241" s="10" t="n">
        <v>46263</v>
      </c>
      <c r="C241" s="8" t="s">
        <v>52</v>
      </c>
      <c r="D241" s="8" t="s">
        <v>703</v>
      </c>
      <c r="E241" s="8" t="s">
        <v>720</v>
      </c>
      <c r="F241" s="9" t="n">
        <v>3</v>
      </c>
      <c r="G241" s="20" t="n">
        <v>33.66</v>
      </c>
      <c r="H241" s="20" t="n">
        <v>100.98</v>
      </c>
    </row>
    <row r="242" customFormat="false" ht="15" hidden="false" customHeight="false" outlineLevel="0" collapsed="false">
      <c r="A242" s="8" t="s">
        <v>963</v>
      </c>
      <c r="B242" s="10" t="n">
        <v>46235</v>
      </c>
      <c r="C242" s="8" t="s">
        <v>214</v>
      </c>
      <c r="D242" s="8" t="s">
        <v>698</v>
      </c>
      <c r="E242" s="8" t="s">
        <v>701</v>
      </c>
      <c r="F242" s="9" t="n">
        <v>1</v>
      </c>
      <c r="G242" s="20" t="n">
        <v>21.08</v>
      </c>
      <c r="H242" s="20" t="n">
        <v>21.08</v>
      </c>
    </row>
    <row r="243" customFormat="false" ht="15" hidden="false" customHeight="false" outlineLevel="0" collapsed="false">
      <c r="A243" s="8" t="s">
        <v>964</v>
      </c>
      <c r="B243" s="10" t="n">
        <v>46010</v>
      </c>
      <c r="C243" s="8" t="s">
        <v>277</v>
      </c>
      <c r="D243" s="8" t="s">
        <v>698</v>
      </c>
      <c r="E243" s="8" t="s">
        <v>710</v>
      </c>
      <c r="F243" s="9" t="n">
        <v>1</v>
      </c>
      <c r="G243" s="20" t="n">
        <v>62.17</v>
      </c>
      <c r="H243" s="20" t="n">
        <v>62.17</v>
      </c>
    </row>
    <row r="244" customFormat="false" ht="15" hidden="false" customHeight="false" outlineLevel="0" collapsed="false">
      <c r="A244" s="8" t="s">
        <v>965</v>
      </c>
      <c r="B244" s="10" t="n">
        <v>46075</v>
      </c>
      <c r="C244" s="8" t="s">
        <v>166</v>
      </c>
      <c r="D244" s="8" t="s">
        <v>698</v>
      </c>
      <c r="E244" s="8" t="s">
        <v>729</v>
      </c>
      <c r="F244" s="9" t="n">
        <v>7</v>
      </c>
      <c r="G244" s="20" t="n">
        <v>154.94</v>
      </c>
      <c r="H244" s="20" t="n">
        <v>1084.58</v>
      </c>
    </row>
    <row r="245" customFormat="false" ht="15" hidden="false" customHeight="false" outlineLevel="0" collapsed="false">
      <c r="A245" s="8" t="s">
        <v>966</v>
      </c>
      <c r="B245" s="10" t="n">
        <v>46008</v>
      </c>
      <c r="C245" s="8" t="s">
        <v>52</v>
      </c>
      <c r="D245" s="8" t="s">
        <v>698</v>
      </c>
      <c r="E245" s="8" t="s">
        <v>699</v>
      </c>
      <c r="F245" s="9" t="n">
        <v>4</v>
      </c>
      <c r="G245" s="20" t="n">
        <v>15.04</v>
      </c>
      <c r="H245" s="20" t="n">
        <v>60.16</v>
      </c>
    </row>
    <row r="246" customFormat="false" ht="15" hidden="false" customHeight="false" outlineLevel="0" collapsed="false">
      <c r="A246" s="8" t="s">
        <v>967</v>
      </c>
      <c r="B246" s="10" t="n">
        <v>46172</v>
      </c>
      <c r="C246" s="8" t="s">
        <v>69</v>
      </c>
      <c r="D246" s="8" t="s">
        <v>703</v>
      </c>
      <c r="E246" s="8" t="s">
        <v>734</v>
      </c>
      <c r="F246" s="9" t="n">
        <v>8</v>
      </c>
      <c r="G246" s="20" t="n">
        <v>39.34</v>
      </c>
      <c r="H246" s="20" t="n">
        <v>314.72</v>
      </c>
    </row>
    <row r="247" customFormat="false" ht="15" hidden="false" customHeight="false" outlineLevel="0" collapsed="false">
      <c r="A247" s="8" t="s">
        <v>968</v>
      </c>
      <c r="B247" s="10" t="n">
        <v>46250</v>
      </c>
      <c r="C247" s="8" t="s">
        <v>214</v>
      </c>
      <c r="D247" s="8" t="s">
        <v>698</v>
      </c>
      <c r="E247" s="8" t="s">
        <v>701</v>
      </c>
      <c r="F247" s="9" t="n">
        <v>3</v>
      </c>
      <c r="G247" s="20" t="n">
        <v>19.61</v>
      </c>
      <c r="H247" s="20" t="n">
        <v>58.83</v>
      </c>
    </row>
    <row r="248" customFormat="false" ht="15" hidden="false" customHeight="false" outlineLevel="0" collapsed="false">
      <c r="A248" s="8" t="s">
        <v>969</v>
      </c>
      <c r="B248" s="10" t="n">
        <v>46174</v>
      </c>
      <c r="C248" s="8" t="s">
        <v>145</v>
      </c>
      <c r="D248" s="8" t="s">
        <v>698</v>
      </c>
      <c r="E248" s="8" t="s">
        <v>754</v>
      </c>
      <c r="F248" s="9" t="n">
        <v>3</v>
      </c>
      <c r="G248" s="20" t="n">
        <v>94.21</v>
      </c>
      <c r="H248" s="20" t="n">
        <v>282.63</v>
      </c>
    </row>
    <row r="249" customFormat="false" ht="15" hidden="false" customHeight="false" outlineLevel="0" collapsed="false">
      <c r="A249" s="8" t="s">
        <v>970</v>
      </c>
      <c r="B249" s="10" t="n">
        <v>46162</v>
      </c>
      <c r="C249" s="8" t="s">
        <v>277</v>
      </c>
      <c r="D249" s="8" t="s">
        <v>698</v>
      </c>
      <c r="E249" s="8" t="s">
        <v>710</v>
      </c>
      <c r="F249" s="9" t="n">
        <v>1</v>
      </c>
      <c r="G249" s="20" t="n">
        <v>61.36</v>
      </c>
      <c r="H249" s="20" t="n">
        <v>61.36</v>
      </c>
    </row>
    <row r="250" customFormat="false" ht="15" hidden="false" customHeight="false" outlineLevel="0" collapsed="false">
      <c r="A250" s="8" t="s">
        <v>971</v>
      </c>
      <c r="B250" s="10" t="n">
        <v>46160</v>
      </c>
      <c r="C250" s="8" t="s">
        <v>390</v>
      </c>
      <c r="D250" s="8" t="s">
        <v>703</v>
      </c>
      <c r="E250" s="8" t="s">
        <v>785</v>
      </c>
      <c r="F250" s="9" t="n">
        <v>4</v>
      </c>
      <c r="G250" s="20" t="n">
        <v>23.53</v>
      </c>
      <c r="H250" s="20" t="n">
        <v>94.12</v>
      </c>
    </row>
    <row r="251" customFormat="false" ht="15" hidden="false" customHeight="false" outlineLevel="0" collapsed="false">
      <c r="A251" s="8" t="s">
        <v>972</v>
      </c>
      <c r="B251" s="10" t="n">
        <v>46230</v>
      </c>
      <c r="C251" s="8" t="s">
        <v>646</v>
      </c>
      <c r="D251" s="8" t="s">
        <v>698</v>
      </c>
      <c r="E251" s="8" t="s">
        <v>782</v>
      </c>
      <c r="F251" s="9" t="n">
        <v>4</v>
      </c>
      <c r="G251" s="20" t="n">
        <v>72.2</v>
      </c>
      <c r="H251" s="20" t="n">
        <v>288.8</v>
      </c>
    </row>
    <row r="252" customFormat="false" ht="15" hidden="false" customHeight="false" outlineLevel="0" collapsed="false">
      <c r="A252" s="8" t="s">
        <v>973</v>
      </c>
      <c r="B252" s="10" t="n">
        <v>46257</v>
      </c>
      <c r="C252" s="8" t="s">
        <v>154</v>
      </c>
      <c r="D252" s="8" t="s">
        <v>698</v>
      </c>
      <c r="E252" s="8" t="s">
        <v>750</v>
      </c>
      <c r="F252" s="9" t="n">
        <v>1</v>
      </c>
      <c r="G252" s="20" t="n">
        <v>24.77</v>
      </c>
      <c r="H252" s="20" t="n">
        <v>24.77</v>
      </c>
    </row>
    <row r="253" customFormat="false" ht="15" hidden="false" customHeight="false" outlineLevel="0" collapsed="false">
      <c r="A253" s="8" t="s">
        <v>974</v>
      </c>
      <c r="B253" s="10" t="n">
        <v>46252</v>
      </c>
      <c r="C253" s="8" t="s">
        <v>69</v>
      </c>
      <c r="D253" s="8" t="s">
        <v>698</v>
      </c>
      <c r="E253" s="8" t="s">
        <v>713</v>
      </c>
      <c r="F253" s="9" t="n">
        <v>1</v>
      </c>
      <c r="G253" s="20" t="n">
        <v>18.29</v>
      </c>
      <c r="H253" s="20" t="n">
        <v>18.29</v>
      </c>
    </row>
    <row r="254" customFormat="false" ht="15" hidden="false" customHeight="false" outlineLevel="0" collapsed="false">
      <c r="A254" s="8" t="s">
        <v>975</v>
      </c>
      <c r="B254" s="10" t="n">
        <v>46225</v>
      </c>
      <c r="C254" s="8" t="s">
        <v>145</v>
      </c>
      <c r="D254" s="8" t="s">
        <v>698</v>
      </c>
      <c r="E254" s="8" t="s">
        <v>754</v>
      </c>
      <c r="F254" s="9" t="n">
        <v>4</v>
      </c>
      <c r="G254" s="20" t="n">
        <v>94.46</v>
      </c>
      <c r="H254" s="20" t="n">
        <v>377.84</v>
      </c>
    </row>
    <row r="255" customFormat="false" ht="15" hidden="false" customHeight="false" outlineLevel="0" collapsed="false">
      <c r="A255" s="8" t="s">
        <v>976</v>
      </c>
      <c r="B255" s="10" t="n">
        <v>46058</v>
      </c>
      <c r="C255" s="8" t="s">
        <v>52</v>
      </c>
      <c r="D255" s="8" t="s">
        <v>698</v>
      </c>
      <c r="E255" s="8" t="s">
        <v>699</v>
      </c>
      <c r="F255" s="9" t="n">
        <v>2</v>
      </c>
      <c r="G255" s="20" t="n">
        <v>14.32</v>
      </c>
      <c r="H255" s="20" t="n">
        <v>28.64</v>
      </c>
    </row>
    <row r="256" customFormat="false" ht="15" hidden="false" customHeight="false" outlineLevel="0" collapsed="false">
      <c r="A256" s="8" t="s">
        <v>977</v>
      </c>
      <c r="B256" s="10" t="n">
        <v>46214</v>
      </c>
      <c r="C256" s="8" t="s">
        <v>262</v>
      </c>
      <c r="D256" s="8" t="s">
        <v>698</v>
      </c>
      <c r="E256" s="8" t="s">
        <v>737</v>
      </c>
      <c r="F256" s="9" t="n">
        <v>2</v>
      </c>
      <c r="G256" s="20" t="n">
        <v>11.66</v>
      </c>
      <c r="H256" s="20" t="n">
        <v>23.32</v>
      </c>
    </row>
    <row r="257" customFormat="false" ht="15" hidden="false" customHeight="false" outlineLevel="0" collapsed="false">
      <c r="A257" s="8" t="s">
        <v>978</v>
      </c>
      <c r="B257" s="10" t="n">
        <v>46024</v>
      </c>
      <c r="C257" s="8" t="s">
        <v>323</v>
      </c>
      <c r="D257" s="8" t="s">
        <v>698</v>
      </c>
      <c r="E257" s="8" t="s">
        <v>804</v>
      </c>
      <c r="F257" s="9" t="n">
        <v>4</v>
      </c>
      <c r="G257" s="20" t="n">
        <v>98.7</v>
      </c>
      <c r="H257" s="20" t="n">
        <v>394.8</v>
      </c>
    </row>
    <row r="258" customFormat="false" ht="15" hidden="false" customHeight="false" outlineLevel="0" collapsed="false">
      <c r="A258" s="8" t="s">
        <v>979</v>
      </c>
      <c r="B258" s="10" t="n">
        <v>45981</v>
      </c>
      <c r="C258" s="8" t="s">
        <v>154</v>
      </c>
      <c r="D258" s="8" t="s">
        <v>703</v>
      </c>
      <c r="E258" s="8" t="s">
        <v>778</v>
      </c>
      <c r="F258" s="9" t="n">
        <v>1</v>
      </c>
      <c r="G258" s="20" t="n">
        <v>54.51</v>
      </c>
      <c r="H258" s="20" t="n">
        <v>54.51</v>
      </c>
    </row>
    <row r="259" customFormat="false" ht="15" hidden="false" customHeight="false" outlineLevel="0" collapsed="false">
      <c r="A259" s="8" t="s">
        <v>980</v>
      </c>
      <c r="B259" s="10" t="n">
        <v>46139</v>
      </c>
      <c r="C259" s="8" t="s">
        <v>277</v>
      </c>
      <c r="D259" s="8" t="s">
        <v>698</v>
      </c>
      <c r="E259" s="8" t="s">
        <v>710</v>
      </c>
      <c r="F259" s="9" t="n">
        <v>5</v>
      </c>
      <c r="G259" s="20" t="n">
        <v>58.77</v>
      </c>
      <c r="H259" s="20" t="n">
        <v>293.85</v>
      </c>
    </row>
    <row r="260" customFormat="false" ht="15" hidden="false" customHeight="false" outlineLevel="0" collapsed="false">
      <c r="A260" s="8" t="s">
        <v>981</v>
      </c>
      <c r="B260" s="10" t="n">
        <v>45902</v>
      </c>
      <c r="C260" s="8" t="s">
        <v>52</v>
      </c>
      <c r="D260" s="8" t="s">
        <v>698</v>
      </c>
      <c r="E260" s="8" t="s">
        <v>699</v>
      </c>
      <c r="F260" s="9" t="n">
        <v>7</v>
      </c>
      <c r="G260" s="20" t="n">
        <v>14.06</v>
      </c>
      <c r="H260" s="20" t="n">
        <v>98.42</v>
      </c>
    </row>
    <row r="261" customFormat="false" ht="15" hidden="false" customHeight="false" outlineLevel="0" collapsed="false">
      <c r="A261" s="8" t="s">
        <v>982</v>
      </c>
      <c r="B261" s="10" t="n">
        <v>45949</v>
      </c>
      <c r="C261" s="8" t="s">
        <v>154</v>
      </c>
      <c r="D261" s="8" t="s">
        <v>703</v>
      </c>
      <c r="E261" s="8" t="s">
        <v>778</v>
      </c>
      <c r="F261" s="9" t="n">
        <v>6</v>
      </c>
      <c r="G261" s="20" t="n">
        <v>52.86</v>
      </c>
      <c r="H261" s="20" t="n">
        <v>317.16</v>
      </c>
    </row>
    <row r="262" customFormat="false" ht="15" hidden="false" customHeight="false" outlineLevel="0" collapsed="false">
      <c r="A262" s="8" t="s">
        <v>983</v>
      </c>
      <c r="B262" s="10" t="n">
        <v>46245</v>
      </c>
      <c r="C262" s="8" t="s">
        <v>323</v>
      </c>
      <c r="D262" s="8" t="s">
        <v>698</v>
      </c>
      <c r="E262" s="8" t="s">
        <v>804</v>
      </c>
      <c r="F262" s="9" t="n">
        <v>4</v>
      </c>
      <c r="G262" s="20" t="n">
        <v>96.51</v>
      </c>
      <c r="H262" s="20" t="n">
        <v>386.04</v>
      </c>
    </row>
    <row r="263" customFormat="false" ht="15" hidden="false" customHeight="false" outlineLevel="0" collapsed="false">
      <c r="A263" s="8" t="s">
        <v>984</v>
      </c>
      <c r="B263" s="10" t="n">
        <v>45929</v>
      </c>
      <c r="C263" s="8" t="s">
        <v>69</v>
      </c>
      <c r="D263" s="8" t="s">
        <v>698</v>
      </c>
      <c r="E263" s="8" t="s">
        <v>713</v>
      </c>
      <c r="F263" s="9" t="n">
        <v>2</v>
      </c>
      <c r="G263" s="20" t="n">
        <v>19.24</v>
      </c>
      <c r="H263" s="20" t="n">
        <v>38.48</v>
      </c>
    </row>
    <row r="264" customFormat="false" ht="15" hidden="false" customHeight="false" outlineLevel="0" collapsed="false">
      <c r="A264" s="8" t="s">
        <v>985</v>
      </c>
      <c r="B264" s="10" t="n">
        <v>46227</v>
      </c>
      <c r="C264" s="8" t="s">
        <v>390</v>
      </c>
      <c r="D264" s="8" t="s">
        <v>698</v>
      </c>
      <c r="E264" s="8" t="s">
        <v>708</v>
      </c>
      <c r="F264" s="9" t="n">
        <v>2</v>
      </c>
      <c r="G264" s="20" t="n">
        <v>10.07</v>
      </c>
      <c r="H264" s="20" t="n">
        <v>20.14</v>
      </c>
    </row>
    <row r="265" customFormat="false" ht="15" hidden="false" customHeight="false" outlineLevel="0" collapsed="false">
      <c r="A265" s="8" t="s">
        <v>986</v>
      </c>
      <c r="B265" s="10" t="n">
        <v>45959</v>
      </c>
      <c r="C265" s="8" t="s">
        <v>69</v>
      </c>
      <c r="D265" s="8" t="s">
        <v>698</v>
      </c>
      <c r="E265" s="8" t="s">
        <v>713</v>
      </c>
      <c r="F265" s="9" t="n">
        <v>5</v>
      </c>
      <c r="G265" s="20" t="n">
        <v>19.27</v>
      </c>
      <c r="H265" s="20" t="n">
        <v>96.35</v>
      </c>
    </row>
    <row r="266" customFormat="false" ht="15" hidden="false" customHeight="false" outlineLevel="0" collapsed="false">
      <c r="A266" s="8" t="s">
        <v>987</v>
      </c>
      <c r="B266" s="10" t="n">
        <v>46247</v>
      </c>
      <c r="C266" s="8" t="s">
        <v>69</v>
      </c>
      <c r="D266" s="8" t="s">
        <v>698</v>
      </c>
      <c r="E266" s="8" t="s">
        <v>713</v>
      </c>
      <c r="F266" s="9" t="n">
        <v>3</v>
      </c>
      <c r="G266" s="20" t="n">
        <v>18.94</v>
      </c>
      <c r="H266" s="20" t="n">
        <v>56.82</v>
      </c>
    </row>
    <row r="267" customFormat="false" ht="15" hidden="false" customHeight="false" outlineLevel="0" collapsed="false">
      <c r="A267" s="8" t="s">
        <v>988</v>
      </c>
      <c r="B267" s="10" t="n">
        <v>45934</v>
      </c>
      <c r="C267" s="8" t="s">
        <v>262</v>
      </c>
      <c r="D267" s="8" t="s">
        <v>698</v>
      </c>
      <c r="E267" s="8" t="s">
        <v>737</v>
      </c>
      <c r="F267" s="9" t="n">
        <v>5</v>
      </c>
      <c r="G267" s="20" t="n">
        <v>11.95</v>
      </c>
      <c r="H267" s="20" t="n">
        <v>59.75</v>
      </c>
    </row>
    <row r="268" customFormat="false" ht="15" hidden="false" customHeight="false" outlineLevel="0" collapsed="false">
      <c r="A268" s="8" t="s">
        <v>989</v>
      </c>
      <c r="B268" s="10" t="n">
        <v>45983</v>
      </c>
      <c r="C268" s="8" t="s">
        <v>145</v>
      </c>
      <c r="D268" s="8" t="s">
        <v>698</v>
      </c>
      <c r="E268" s="8" t="s">
        <v>754</v>
      </c>
      <c r="F268" s="9" t="n">
        <v>1</v>
      </c>
      <c r="G268" s="20" t="n">
        <v>88.33</v>
      </c>
      <c r="H268" s="20" t="n">
        <v>88.33</v>
      </c>
    </row>
    <row r="269" customFormat="false" ht="15" hidden="false" customHeight="false" outlineLevel="0" collapsed="false">
      <c r="A269" s="8" t="s">
        <v>990</v>
      </c>
      <c r="B269" s="10" t="n">
        <v>45901</v>
      </c>
      <c r="C269" s="8" t="s">
        <v>646</v>
      </c>
      <c r="D269" s="8" t="s">
        <v>703</v>
      </c>
      <c r="E269" s="8" t="s">
        <v>732</v>
      </c>
      <c r="F269" s="9" t="n">
        <v>8</v>
      </c>
      <c r="G269" s="20" t="n">
        <v>184.66</v>
      </c>
      <c r="H269" s="20" t="n">
        <v>1477.28</v>
      </c>
    </row>
    <row r="270" customFormat="false" ht="15" hidden="false" customHeight="false" outlineLevel="0" collapsed="false">
      <c r="A270" s="8" t="s">
        <v>991</v>
      </c>
      <c r="B270" s="10" t="n">
        <v>46254</v>
      </c>
      <c r="C270" s="8" t="s">
        <v>52</v>
      </c>
      <c r="D270" s="8" t="s">
        <v>703</v>
      </c>
      <c r="E270" s="8" t="s">
        <v>720</v>
      </c>
      <c r="F270" s="9" t="n">
        <v>2</v>
      </c>
      <c r="G270" s="20" t="n">
        <v>32.56</v>
      </c>
      <c r="H270" s="20" t="n">
        <v>65.12</v>
      </c>
    </row>
    <row r="271" customFormat="false" ht="15" hidden="false" customHeight="false" outlineLevel="0" collapsed="false">
      <c r="A271" s="8" t="s">
        <v>992</v>
      </c>
      <c r="B271" s="10" t="n">
        <v>45918</v>
      </c>
      <c r="C271" s="8" t="s">
        <v>115</v>
      </c>
      <c r="D271" s="8" t="s">
        <v>698</v>
      </c>
      <c r="E271" s="8" t="s">
        <v>821</v>
      </c>
      <c r="F271" s="9" t="n">
        <v>3</v>
      </c>
      <c r="G271" s="20" t="n">
        <v>43.74</v>
      </c>
      <c r="H271" s="20" t="n">
        <v>131.22</v>
      </c>
    </row>
    <row r="272" customFormat="false" ht="15" hidden="false" customHeight="false" outlineLevel="0" collapsed="false">
      <c r="A272" s="8" t="s">
        <v>993</v>
      </c>
      <c r="B272" s="10" t="n">
        <v>46101</v>
      </c>
      <c r="C272" s="8" t="s">
        <v>277</v>
      </c>
      <c r="D272" s="8" t="s">
        <v>698</v>
      </c>
      <c r="E272" s="8" t="s">
        <v>710</v>
      </c>
      <c r="F272" s="9" t="n">
        <v>3</v>
      </c>
      <c r="G272" s="20" t="n">
        <v>58.86</v>
      </c>
      <c r="H272" s="20" t="n">
        <v>176.58</v>
      </c>
    </row>
    <row r="273" customFormat="false" ht="15" hidden="false" customHeight="false" outlineLevel="0" collapsed="false">
      <c r="A273" s="8" t="s">
        <v>994</v>
      </c>
      <c r="B273" s="10" t="n">
        <v>46249</v>
      </c>
      <c r="C273" s="8" t="s">
        <v>214</v>
      </c>
      <c r="D273" s="8" t="s">
        <v>703</v>
      </c>
      <c r="E273" s="8" t="s">
        <v>715</v>
      </c>
      <c r="F273" s="9" t="n">
        <v>1</v>
      </c>
      <c r="G273" s="20" t="n">
        <v>47.85</v>
      </c>
      <c r="H273" s="20" t="n">
        <v>47.85</v>
      </c>
    </row>
    <row r="274" customFormat="false" ht="15" hidden="false" customHeight="false" outlineLevel="0" collapsed="false">
      <c r="A274" s="8" t="s">
        <v>995</v>
      </c>
      <c r="B274" s="10" t="n">
        <v>46188</v>
      </c>
      <c r="C274" s="8" t="s">
        <v>115</v>
      </c>
      <c r="D274" s="8" t="s">
        <v>698</v>
      </c>
      <c r="E274" s="8" t="s">
        <v>821</v>
      </c>
      <c r="F274" s="9" t="n">
        <v>2</v>
      </c>
      <c r="G274" s="20" t="n">
        <v>42.61</v>
      </c>
      <c r="H274" s="20" t="n">
        <v>85.22</v>
      </c>
    </row>
    <row r="275" customFormat="false" ht="15" hidden="false" customHeight="false" outlineLevel="0" collapsed="false">
      <c r="A275" s="8" t="s">
        <v>996</v>
      </c>
      <c r="B275" s="10" t="n">
        <v>45925</v>
      </c>
      <c r="C275" s="8" t="s">
        <v>145</v>
      </c>
      <c r="D275" s="8" t="s">
        <v>703</v>
      </c>
      <c r="E275" s="8" t="s">
        <v>706</v>
      </c>
      <c r="F275" s="9" t="n">
        <v>4</v>
      </c>
      <c r="G275" s="20" t="n">
        <v>231.43</v>
      </c>
      <c r="H275" s="20" t="n">
        <v>925.72</v>
      </c>
    </row>
    <row r="276" customFormat="false" ht="15" hidden="false" customHeight="false" outlineLevel="0" collapsed="false">
      <c r="A276" s="8" t="s">
        <v>997</v>
      </c>
      <c r="B276" s="10" t="n">
        <v>45983</v>
      </c>
      <c r="C276" s="8" t="s">
        <v>262</v>
      </c>
      <c r="D276" s="8" t="s">
        <v>703</v>
      </c>
      <c r="E276" s="8" t="s">
        <v>769</v>
      </c>
      <c r="F276" s="9" t="n">
        <v>2</v>
      </c>
      <c r="G276" s="20" t="n">
        <v>31.85</v>
      </c>
      <c r="H276" s="20" t="n">
        <v>63.7</v>
      </c>
    </row>
    <row r="277" customFormat="false" ht="15" hidden="false" customHeight="false" outlineLevel="0" collapsed="false">
      <c r="A277" s="8" t="s">
        <v>998</v>
      </c>
      <c r="B277" s="10" t="n">
        <v>46135</v>
      </c>
      <c r="C277" s="8" t="s">
        <v>52</v>
      </c>
      <c r="D277" s="8" t="s">
        <v>703</v>
      </c>
      <c r="E277" s="8" t="s">
        <v>720</v>
      </c>
      <c r="F277" s="9" t="n">
        <v>8</v>
      </c>
      <c r="G277" s="20" t="n">
        <v>36.92</v>
      </c>
      <c r="H277" s="20" t="n">
        <v>295.36</v>
      </c>
    </row>
    <row r="278" customFormat="false" ht="15" hidden="false" customHeight="false" outlineLevel="0" collapsed="false">
      <c r="A278" s="8" t="s">
        <v>999</v>
      </c>
      <c r="B278" s="10" t="n">
        <v>45903</v>
      </c>
      <c r="C278" s="8" t="s">
        <v>52</v>
      </c>
      <c r="D278" s="8" t="s">
        <v>703</v>
      </c>
      <c r="E278" s="8" t="s">
        <v>720</v>
      </c>
      <c r="F278" s="9" t="n">
        <v>4</v>
      </c>
      <c r="G278" s="20" t="n">
        <v>35.06</v>
      </c>
      <c r="H278" s="20" t="n">
        <v>140.24</v>
      </c>
    </row>
    <row r="279" customFormat="false" ht="15" hidden="false" customHeight="false" outlineLevel="0" collapsed="false">
      <c r="A279" s="8" t="s">
        <v>1000</v>
      </c>
      <c r="B279" s="10" t="n">
        <v>46114</v>
      </c>
      <c r="C279" s="8" t="s">
        <v>52</v>
      </c>
      <c r="D279" s="8" t="s">
        <v>698</v>
      </c>
      <c r="E279" s="8" t="s">
        <v>699</v>
      </c>
      <c r="F279" s="9" t="n">
        <v>4</v>
      </c>
      <c r="G279" s="20" t="n">
        <v>16.02</v>
      </c>
      <c r="H279" s="20" t="n">
        <v>64.08</v>
      </c>
    </row>
    <row r="280" customFormat="false" ht="15" hidden="false" customHeight="false" outlineLevel="0" collapsed="false">
      <c r="A280" s="8" t="s">
        <v>1001</v>
      </c>
      <c r="B280" s="10" t="n">
        <v>46153</v>
      </c>
      <c r="C280" s="8" t="s">
        <v>69</v>
      </c>
      <c r="D280" s="8" t="s">
        <v>703</v>
      </c>
      <c r="E280" s="8" t="s">
        <v>734</v>
      </c>
      <c r="F280" s="9" t="n">
        <v>2</v>
      </c>
      <c r="G280" s="20" t="n">
        <v>40.22</v>
      </c>
      <c r="H280" s="20" t="n">
        <v>80.44</v>
      </c>
    </row>
    <row r="281" customFormat="false" ht="15" hidden="false" customHeight="false" outlineLevel="0" collapsed="false">
      <c r="A281" s="8" t="s">
        <v>1002</v>
      </c>
      <c r="B281" s="10" t="n">
        <v>45960</v>
      </c>
      <c r="C281" s="8" t="s">
        <v>214</v>
      </c>
      <c r="D281" s="8" t="s">
        <v>698</v>
      </c>
      <c r="E281" s="8" t="s">
        <v>701</v>
      </c>
      <c r="F281" s="9" t="n">
        <v>1</v>
      </c>
      <c r="G281" s="20" t="n">
        <v>19.17</v>
      </c>
      <c r="H281" s="20" t="n">
        <v>19.17</v>
      </c>
    </row>
    <row r="282" customFormat="false" ht="15" hidden="false" customHeight="false" outlineLevel="0" collapsed="false">
      <c r="A282" s="8" t="s">
        <v>1003</v>
      </c>
      <c r="B282" s="10" t="n">
        <v>46099</v>
      </c>
      <c r="C282" s="8" t="s">
        <v>650</v>
      </c>
      <c r="D282" s="8" t="s">
        <v>698</v>
      </c>
      <c r="E282" s="8" t="s">
        <v>800</v>
      </c>
      <c r="F282" s="9" t="n">
        <v>2</v>
      </c>
      <c r="G282" s="20" t="n">
        <v>27.35</v>
      </c>
      <c r="H282" s="20" t="n">
        <v>54.7</v>
      </c>
    </row>
    <row r="283" customFormat="false" ht="15" hidden="false" customHeight="false" outlineLevel="0" collapsed="false">
      <c r="A283" s="8" t="s">
        <v>1004</v>
      </c>
      <c r="B283" s="10" t="n">
        <v>46044</v>
      </c>
      <c r="C283" s="8" t="s">
        <v>214</v>
      </c>
      <c r="D283" s="8" t="s">
        <v>703</v>
      </c>
      <c r="E283" s="8" t="s">
        <v>715</v>
      </c>
      <c r="F283" s="9" t="n">
        <v>3</v>
      </c>
      <c r="G283" s="20" t="n">
        <v>47.09</v>
      </c>
      <c r="H283" s="20" t="n">
        <v>141.27</v>
      </c>
    </row>
    <row r="284" customFormat="false" ht="15" hidden="false" customHeight="false" outlineLevel="0" collapsed="false">
      <c r="A284" s="8" t="s">
        <v>1005</v>
      </c>
      <c r="B284" s="10" t="n">
        <v>46031</v>
      </c>
      <c r="C284" s="8" t="s">
        <v>166</v>
      </c>
      <c r="D284" s="8" t="s">
        <v>698</v>
      </c>
      <c r="E284" s="8" t="s">
        <v>729</v>
      </c>
      <c r="F284" s="9" t="n">
        <v>3</v>
      </c>
      <c r="G284" s="20" t="n">
        <v>144.44</v>
      </c>
      <c r="H284" s="20" t="n">
        <v>433.32</v>
      </c>
    </row>
    <row r="285" customFormat="false" ht="15" hidden="false" customHeight="false" outlineLevel="0" collapsed="false">
      <c r="A285" s="8" t="s">
        <v>1006</v>
      </c>
      <c r="B285" s="10" t="n">
        <v>46204</v>
      </c>
      <c r="C285" s="8" t="s">
        <v>154</v>
      </c>
      <c r="D285" s="8" t="s">
        <v>703</v>
      </c>
      <c r="E285" s="8" t="s">
        <v>778</v>
      </c>
      <c r="F285" s="9" t="n">
        <v>4</v>
      </c>
      <c r="G285" s="20" t="n">
        <v>51.02</v>
      </c>
      <c r="H285" s="20" t="n">
        <v>204.08</v>
      </c>
    </row>
    <row r="286" customFormat="false" ht="15" hidden="false" customHeight="false" outlineLevel="0" collapsed="false">
      <c r="A286" s="8" t="s">
        <v>1007</v>
      </c>
      <c r="B286" s="10" t="n">
        <v>46238</v>
      </c>
      <c r="C286" s="8" t="s">
        <v>166</v>
      </c>
      <c r="D286" s="8" t="s">
        <v>703</v>
      </c>
      <c r="E286" s="8" t="s">
        <v>774</v>
      </c>
      <c r="F286" s="9" t="n">
        <v>1</v>
      </c>
      <c r="G286" s="20" t="n">
        <v>390.69</v>
      </c>
      <c r="H286" s="20" t="n">
        <v>390.69</v>
      </c>
    </row>
    <row r="287" customFormat="false" ht="15" hidden="false" customHeight="false" outlineLevel="0" collapsed="false">
      <c r="A287" s="8" t="s">
        <v>1008</v>
      </c>
      <c r="B287" s="10" t="n">
        <v>46156</v>
      </c>
      <c r="C287" s="8" t="s">
        <v>650</v>
      </c>
      <c r="D287" s="8" t="s">
        <v>703</v>
      </c>
      <c r="E287" s="8" t="s">
        <v>858</v>
      </c>
      <c r="F287" s="9" t="n">
        <v>8</v>
      </c>
      <c r="G287" s="20" t="n">
        <v>67.48</v>
      </c>
      <c r="H287" s="20" t="n">
        <v>539.84</v>
      </c>
    </row>
    <row r="288" customFormat="false" ht="15" hidden="false" customHeight="false" outlineLevel="0" collapsed="false">
      <c r="A288" s="8" t="s">
        <v>1009</v>
      </c>
      <c r="B288" s="10" t="n">
        <v>46141</v>
      </c>
      <c r="C288" s="8" t="s">
        <v>52</v>
      </c>
      <c r="D288" s="8" t="s">
        <v>698</v>
      </c>
      <c r="E288" s="8" t="s">
        <v>699</v>
      </c>
      <c r="F288" s="9" t="n">
        <v>2</v>
      </c>
      <c r="G288" s="20" t="n">
        <v>15.04</v>
      </c>
      <c r="H288" s="20" t="n">
        <v>30.08</v>
      </c>
    </row>
    <row r="289" customFormat="false" ht="15" hidden="false" customHeight="false" outlineLevel="0" collapsed="false">
      <c r="A289" s="8" t="s">
        <v>1010</v>
      </c>
      <c r="B289" s="10" t="n">
        <v>45995</v>
      </c>
      <c r="C289" s="8" t="s">
        <v>390</v>
      </c>
      <c r="D289" s="8" t="s">
        <v>698</v>
      </c>
      <c r="E289" s="8" t="s">
        <v>708</v>
      </c>
      <c r="F289" s="9" t="n">
        <v>3</v>
      </c>
      <c r="G289" s="20" t="n">
        <v>9.72</v>
      </c>
      <c r="H289" s="20" t="n">
        <v>29.16</v>
      </c>
    </row>
    <row r="290" customFormat="false" ht="15" hidden="false" customHeight="false" outlineLevel="0" collapsed="false">
      <c r="A290" s="8" t="s">
        <v>1011</v>
      </c>
      <c r="B290" s="10" t="n">
        <v>45960</v>
      </c>
      <c r="C290" s="8" t="s">
        <v>115</v>
      </c>
      <c r="D290" s="8" t="s">
        <v>698</v>
      </c>
      <c r="E290" s="8" t="s">
        <v>821</v>
      </c>
      <c r="F290" s="9" t="n">
        <v>3</v>
      </c>
      <c r="G290" s="20" t="n">
        <v>44.38</v>
      </c>
      <c r="H290" s="20" t="n">
        <v>133.14</v>
      </c>
    </row>
    <row r="291" customFormat="false" ht="15" hidden="false" customHeight="false" outlineLevel="0" collapsed="false">
      <c r="A291" s="8" t="s">
        <v>1012</v>
      </c>
      <c r="B291" s="10" t="n">
        <v>45968</v>
      </c>
      <c r="C291" s="8" t="s">
        <v>52</v>
      </c>
      <c r="D291" s="8" t="s">
        <v>698</v>
      </c>
      <c r="E291" s="8" t="s">
        <v>699</v>
      </c>
      <c r="F291" s="9" t="n">
        <v>3</v>
      </c>
      <c r="G291" s="20" t="n">
        <v>15.79</v>
      </c>
      <c r="H291" s="20" t="n">
        <v>47.37</v>
      </c>
    </row>
    <row r="292" customFormat="false" ht="15" hidden="false" customHeight="false" outlineLevel="0" collapsed="false">
      <c r="A292" s="8" t="s">
        <v>1013</v>
      </c>
      <c r="B292" s="10" t="n">
        <v>46224</v>
      </c>
      <c r="C292" s="8" t="s">
        <v>52</v>
      </c>
      <c r="D292" s="8" t="s">
        <v>698</v>
      </c>
      <c r="E292" s="8" t="s">
        <v>699</v>
      </c>
      <c r="F292" s="9" t="n">
        <v>4</v>
      </c>
      <c r="G292" s="20" t="n">
        <v>14.29</v>
      </c>
      <c r="H292" s="20" t="n">
        <v>57.16</v>
      </c>
    </row>
    <row r="293" customFormat="false" ht="15" hidden="false" customHeight="false" outlineLevel="0" collapsed="false">
      <c r="A293" s="8" t="s">
        <v>1014</v>
      </c>
      <c r="B293" s="10" t="n">
        <v>45994</v>
      </c>
      <c r="C293" s="8" t="s">
        <v>390</v>
      </c>
      <c r="D293" s="8" t="s">
        <v>703</v>
      </c>
      <c r="E293" s="8" t="s">
        <v>785</v>
      </c>
      <c r="F293" s="9" t="n">
        <v>2</v>
      </c>
      <c r="G293" s="20" t="n">
        <v>25.93</v>
      </c>
      <c r="H293" s="20" t="n">
        <v>51.86</v>
      </c>
    </row>
    <row r="294" customFormat="false" ht="15" hidden="false" customHeight="false" outlineLevel="0" collapsed="false">
      <c r="A294" s="8" t="s">
        <v>1015</v>
      </c>
      <c r="B294" s="10" t="n">
        <v>46209</v>
      </c>
      <c r="C294" s="8" t="s">
        <v>52</v>
      </c>
      <c r="D294" s="8" t="s">
        <v>703</v>
      </c>
      <c r="E294" s="8" t="s">
        <v>720</v>
      </c>
      <c r="F294" s="9" t="n">
        <v>1</v>
      </c>
      <c r="G294" s="20" t="n">
        <v>34.63</v>
      </c>
      <c r="H294" s="20" t="n">
        <v>34.63</v>
      </c>
    </row>
    <row r="295" customFormat="false" ht="15" hidden="false" customHeight="false" outlineLevel="0" collapsed="false">
      <c r="A295" s="8" t="s">
        <v>1016</v>
      </c>
      <c r="B295" s="10" t="n">
        <v>46122</v>
      </c>
      <c r="C295" s="8" t="s">
        <v>323</v>
      </c>
      <c r="D295" s="8" t="s">
        <v>703</v>
      </c>
      <c r="E295" s="8" t="s">
        <v>704</v>
      </c>
      <c r="F295" s="9" t="n">
        <v>8</v>
      </c>
      <c r="G295" s="20" t="n">
        <v>235.35</v>
      </c>
      <c r="H295" s="20" t="n">
        <v>1882.8</v>
      </c>
    </row>
    <row r="296" customFormat="false" ht="15" hidden="false" customHeight="false" outlineLevel="0" collapsed="false">
      <c r="A296" s="8" t="s">
        <v>1017</v>
      </c>
      <c r="B296" s="10" t="n">
        <v>46137</v>
      </c>
      <c r="C296" s="8" t="s">
        <v>646</v>
      </c>
      <c r="D296" s="8" t="s">
        <v>698</v>
      </c>
      <c r="E296" s="8" t="s">
        <v>782</v>
      </c>
      <c r="F296" s="9" t="n">
        <v>2</v>
      </c>
      <c r="G296" s="20" t="n">
        <v>68.2</v>
      </c>
      <c r="H296" s="20" t="n">
        <v>136.4</v>
      </c>
    </row>
    <row r="297" customFormat="false" ht="15" hidden="false" customHeight="false" outlineLevel="0" collapsed="false">
      <c r="A297" s="8" t="s">
        <v>1018</v>
      </c>
      <c r="B297" s="10" t="n">
        <v>46186</v>
      </c>
      <c r="C297" s="8" t="s">
        <v>69</v>
      </c>
      <c r="D297" s="8" t="s">
        <v>698</v>
      </c>
      <c r="E297" s="8" t="s">
        <v>713</v>
      </c>
      <c r="F297" s="9" t="n">
        <v>7</v>
      </c>
      <c r="G297" s="20" t="n">
        <v>18.16</v>
      </c>
      <c r="H297" s="20" t="n">
        <v>127.12</v>
      </c>
    </row>
    <row r="298" customFormat="false" ht="15" hidden="false" customHeight="false" outlineLevel="0" collapsed="false">
      <c r="A298" s="8" t="s">
        <v>1019</v>
      </c>
      <c r="B298" s="10" t="n">
        <v>46115</v>
      </c>
      <c r="C298" s="8" t="s">
        <v>115</v>
      </c>
      <c r="D298" s="8" t="s">
        <v>698</v>
      </c>
      <c r="E298" s="8" t="s">
        <v>821</v>
      </c>
      <c r="F298" s="9" t="n">
        <v>4</v>
      </c>
      <c r="G298" s="20" t="n">
        <v>46.09</v>
      </c>
      <c r="H298" s="20" t="n">
        <v>184.36</v>
      </c>
    </row>
    <row r="299" customFormat="false" ht="15" hidden="false" customHeight="false" outlineLevel="0" collapsed="false">
      <c r="A299" s="8" t="s">
        <v>1020</v>
      </c>
      <c r="B299" s="10" t="n">
        <v>46180</v>
      </c>
      <c r="C299" s="8" t="s">
        <v>323</v>
      </c>
      <c r="D299" s="8" t="s">
        <v>698</v>
      </c>
      <c r="E299" s="8" t="s">
        <v>804</v>
      </c>
      <c r="F299" s="9" t="n">
        <v>2</v>
      </c>
      <c r="G299" s="20" t="n">
        <v>88.36</v>
      </c>
      <c r="H299" s="20" t="n">
        <v>176.72</v>
      </c>
    </row>
    <row r="300" customFormat="false" ht="15" hidden="false" customHeight="false" outlineLevel="0" collapsed="false">
      <c r="A300" s="8" t="s">
        <v>1021</v>
      </c>
      <c r="B300" s="10" t="n">
        <v>46153</v>
      </c>
      <c r="C300" s="8" t="s">
        <v>277</v>
      </c>
      <c r="D300" s="8" t="s">
        <v>698</v>
      </c>
      <c r="E300" s="8" t="s">
        <v>710</v>
      </c>
      <c r="F300" s="9" t="n">
        <v>1</v>
      </c>
      <c r="G300" s="20" t="n">
        <v>63.33</v>
      </c>
      <c r="H300" s="20" t="n">
        <v>63.33</v>
      </c>
    </row>
    <row r="301" customFormat="false" ht="15" hidden="false" customHeight="false" outlineLevel="0" collapsed="false">
      <c r="A301" s="8" t="s">
        <v>1022</v>
      </c>
      <c r="B301" s="10" t="n">
        <v>45947</v>
      </c>
      <c r="C301" s="8" t="s">
        <v>390</v>
      </c>
      <c r="D301" s="8" t="s">
        <v>698</v>
      </c>
      <c r="E301" s="8" t="s">
        <v>708</v>
      </c>
      <c r="F301" s="9" t="n">
        <v>4</v>
      </c>
      <c r="G301" s="20" t="n">
        <v>9.6</v>
      </c>
      <c r="H301" s="20" t="n">
        <v>38.4</v>
      </c>
    </row>
    <row r="302" customFormat="false" ht="15" hidden="false" customHeight="false" outlineLevel="0" collapsed="false">
      <c r="A302" s="8" t="s">
        <v>1023</v>
      </c>
      <c r="B302" s="10" t="n">
        <v>46138</v>
      </c>
      <c r="C302" s="8" t="s">
        <v>390</v>
      </c>
      <c r="D302" s="8" t="s">
        <v>698</v>
      </c>
      <c r="E302" s="8" t="s">
        <v>708</v>
      </c>
      <c r="F302" s="9" t="n">
        <v>2</v>
      </c>
      <c r="G302" s="20" t="n">
        <v>10.51</v>
      </c>
      <c r="H302" s="20" t="n">
        <v>21.02</v>
      </c>
    </row>
    <row r="303" customFormat="false" ht="15" hidden="false" customHeight="false" outlineLevel="0" collapsed="false">
      <c r="A303" s="8" t="s">
        <v>1024</v>
      </c>
      <c r="B303" s="10" t="n">
        <v>46170</v>
      </c>
      <c r="C303" s="8" t="s">
        <v>166</v>
      </c>
      <c r="D303" s="8" t="s">
        <v>698</v>
      </c>
      <c r="E303" s="8" t="s">
        <v>729</v>
      </c>
      <c r="F303" s="9" t="n">
        <v>5</v>
      </c>
      <c r="G303" s="20" t="n">
        <v>154.67</v>
      </c>
      <c r="H303" s="20" t="n">
        <v>773.35</v>
      </c>
    </row>
    <row r="304" customFormat="false" ht="15" hidden="false" customHeight="false" outlineLevel="0" collapsed="false">
      <c r="A304" s="8" t="s">
        <v>1025</v>
      </c>
      <c r="B304" s="10" t="n">
        <v>46121</v>
      </c>
      <c r="C304" s="8" t="s">
        <v>154</v>
      </c>
      <c r="D304" s="8" t="s">
        <v>698</v>
      </c>
      <c r="E304" s="8" t="s">
        <v>750</v>
      </c>
      <c r="F304" s="9" t="n">
        <v>7</v>
      </c>
      <c r="G304" s="20" t="n">
        <v>24.37</v>
      </c>
      <c r="H304" s="20" t="n">
        <v>170.59</v>
      </c>
    </row>
    <row r="305" customFormat="false" ht="15" hidden="false" customHeight="false" outlineLevel="0" collapsed="false">
      <c r="A305" s="8" t="s">
        <v>1026</v>
      </c>
      <c r="B305" s="10" t="n">
        <v>45942</v>
      </c>
      <c r="C305" s="8" t="s">
        <v>145</v>
      </c>
      <c r="D305" s="8" t="s">
        <v>703</v>
      </c>
      <c r="E305" s="8" t="s">
        <v>706</v>
      </c>
      <c r="F305" s="9" t="n">
        <v>1</v>
      </c>
      <c r="G305" s="20" t="n">
        <v>209.86</v>
      </c>
      <c r="H305" s="20" t="n">
        <v>209.86</v>
      </c>
    </row>
    <row r="306" customFormat="false" ht="15" hidden="false" customHeight="false" outlineLevel="0" collapsed="false">
      <c r="A306" s="8" t="s">
        <v>1027</v>
      </c>
      <c r="B306" s="10" t="n">
        <v>46204</v>
      </c>
      <c r="C306" s="8" t="s">
        <v>214</v>
      </c>
      <c r="D306" s="8" t="s">
        <v>698</v>
      </c>
      <c r="E306" s="8" t="s">
        <v>701</v>
      </c>
      <c r="F306" s="9" t="n">
        <v>7</v>
      </c>
      <c r="G306" s="20" t="n">
        <v>21.33</v>
      </c>
      <c r="H306" s="20" t="n">
        <v>149.31</v>
      </c>
    </row>
    <row r="307" customFormat="false" ht="15" hidden="false" customHeight="false" outlineLevel="0" collapsed="false">
      <c r="A307" s="8" t="s">
        <v>1028</v>
      </c>
      <c r="B307" s="10" t="n">
        <v>46044</v>
      </c>
      <c r="C307" s="8" t="s">
        <v>262</v>
      </c>
      <c r="D307" s="8" t="s">
        <v>703</v>
      </c>
      <c r="E307" s="8" t="s">
        <v>769</v>
      </c>
      <c r="F307" s="9" t="n">
        <v>4</v>
      </c>
      <c r="G307" s="20" t="n">
        <v>29.5</v>
      </c>
      <c r="H307" s="20" t="n">
        <v>118</v>
      </c>
    </row>
    <row r="308" customFormat="false" ht="15" hidden="false" customHeight="false" outlineLevel="0" collapsed="false">
      <c r="A308" s="8" t="s">
        <v>1029</v>
      </c>
      <c r="B308" s="10" t="n">
        <v>46107</v>
      </c>
      <c r="C308" s="8" t="s">
        <v>166</v>
      </c>
      <c r="D308" s="8" t="s">
        <v>698</v>
      </c>
      <c r="E308" s="8" t="s">
        <v>729</v>
      </c>
      <c r="F308" s="9" t="n">
        <v>6</v>
      </c>
      <c r="G308" s="20" t="n">
        <v>155.27</v>
      </c>
      <c r="H308" s="20" t="n">
        <v>931.62</v>
      </c>
    </row>
    <row r="309" customFormat="false" ht="15" hidden="false" customHeight="false" outlineLevel="0" collapsed="false">
      <c r="A309" s="8" t="s">
        <v>1030</v>
      </c>
      <c r="B309" s="10" t="n">
        <v>46259</v>
      </c>
      <c r="C309" s="8" t="s">
        <v>145</v>
      </c>
      <c r="D309" s="8" t="s">
        <v>698</v>
      </c>
      <c r="E309" s="8" t="s">
        <v>754</v>
      </c>
      <c r="F309" s="9" t="n">
        <v>1</v>
      </c>
      <c r="G309" s="20" t="n">
        <v>87.66</v>
      </c>
      <c r="H309" s="20" t="n">
        <v>87.66</v>
      </c>
    </row>
    <row r="310" customFormat="false" ht="15" hidden="false" customHeight="false" outlineLevel="0" collapsed="false">
      <c r="A310" s="8" t="s">
        <v>1031</v>
      </c>
      <c r="B310" s="10" t="n">
        <v>46149</v>
      </c>
      <c r="C310" s="8" t="s">
        <v>390</v>
      </c>
      <c r="D310" s="8" t="s">
        <v>698</v>
      </c>
      <c r="E310" s="8" t="s">
        <v>708</v>
      </c>
      <c r="F310" s="9" t="n">
        <v>2</v>
      </c>
      <c r="G310" s="20" t="n">
        <v>9.61</v>
      </c>
      <c r="H310" s="20" t="n">
        <v>19.22</v>
      </c>
    </row>
    <row r="311" customFormat="false" ht="15" hidden="false" customHeight="false" outlineLevel="0" collapsed="false">
      <c r="A311" s="8" t="s">
        <v>1032</v>
      </c>
      <c r="B311" s="10" t="n">
        <v>45982</v>
      </c>
      <c r="C311" s="8" t="s">
        <v>154</v>
      </c>
      <c r="D311" s="8" t="s">
        <v>698</v>
      </c>
      <c r="E311" s="8" t="s">
        <v>750</v>
      </c>
      <c r="F311" s="9" t="n">
        <v>4</v>
      </c>
      <c r="G311" s="20" t="n">
        <v>24.54</v>
      </c>
      <c r="H311" s="20" t="n">
        <v>98.16</v>
      </c>
    </row>
    <row r="312" customFormat="false" ht="15" hidden="false" customHeight="false" outlineLevel="0" collapsed="false">
      <c r="A312" s="8" t="s">
        <v>1033</v>
      </c>
      <c r="B312" s="10" t="n">
        <v>46174</v>
      </c>
      <c r="C312" s="8" t="s">
        <v>390</v>
      </c>
      <c r="D312" s="8" t="s">
        <v>703</v>
      </c>
      <c r="E312" s="8" t="s">
        <v>785</v>
      </c>
      <c r="F312" s="9" t="n">
        <v>5</v>
      </c>
      <c r="G312" s="20" t="n">
        <v>25.35</v>
      </c>
      <c r="H312" s="20" t="n">
        <v>126.75</v>
      </c>
    </row>
    <row r="313" customFormat="false" ht="15" hidden="false" customHeight="false" outlineLevel="0" collapsed="false">
      <c r="A313" s="8" t="s">
        <v>1034</v>
      </c>
      <c r="B313" s="10" t="n">
        <v>45927</v>
      </c>
      <c r="C313" s="8" t="s">
        <v>390</v>
      </c>
      <c r="D313" s="8" t="s">
        <v>698</v>
      </c>
      <c r="E313" s="8" t="s">
        <v>708</v>
      </c>
      <c r="F313" s="9" t="n">
        <v>1</v>
      </c>
      <c r="G313" s="20" t="n">
        <v>10.41</v>
      </c>
      <c r="H313" s="20" t="n">
        <v>10.41</v>
      </c>
    </row>
    <row r="314" customFormat="false" ht="15" hidden="false" customHeight="false" outlineLevel="0" collapsed="false">
      <c r="A314" s="8" t="s">
        <v>1035</v>
      </c>
      <c r="B314" s="10" t="n">
        <v>46205</v>
      </c>
      <c r="C314" s="8" t="s">
        <v>214</v>
      </c>
      <c r="D314" s="8" t="s">
        <v>698</v>
      </c>
      <c r="E314" s="8" t="s">
        <v>701</v>
      </c>
      <c r="F314" s="9" t="n">
        <v>1</v>
      </c>
      <c r="G314" s="20" t="n">
        <v>20.72</v>
      </c>
      <c r="H314" s="20" t="n">
        <v>20.72</v>
      </c>
    </row>
    <row r="315" customFormat="false" ht="15" hidden="false" customHeight="false" outlineLevel="0" collapsed="false">
      <c r="A315" s="8" t="s">
        <v>1036</v>
      </c>
      <c r="B315" s="10" t="n">
        <v>46077</v>
      </c>
      <c r="C315" s="8" t="s">
        <v>214</v>
      </c>
      <c r="D315" s="8" t="s">
        <v>703</v>
      </c>
      <c r="E315" s="8" t="s">
        <v>715</v>
      </c>
      <c r="F315" s="9" t="n">
        <v>1</v>
      </c>
      <c r="G315" s="20" t="n">
        <v>41.5</v>
      </c>
      <c r="H315" s="20" t="n">
        <v>41.5</v>
      </c>
    </row>
    <row r="316" customFormat="false" ht="15" hidden="false" customHeight="false" outlineLevel="0" collapsed="false">
      <c r="A316" s="8" t="s">
        <v>1037</v>
      </c>
      <c r="B316" s="10" t="n">
        <v>45979</v>
      </c>
      <c r="C316" s="8" t="s">
        <v>52</v>
      </c>
      <c r="D316" s="8" t="s">
        <v>703</v>
      </c>
      <c r="E316" s="8" t="s">
        <v>720</v>
      </c>
      <c r="F316" s="9" t="n">
        <v>3</v>
      </c>
      <c r="G316" s="20" t="n">
        <v>33.41</v>
      </c>
      <c r="H316" s="20" t="n">
        <v>100.23</v>
      </c>
    </row>
    <row r="317" customFormat="false" ht="15" hidden="false" customHeight="false" outlineLevel="0" collapsed="false">
      <c r="A317" s="8" t="s">
        <v>1038</v>
      </c>
      <c r="B317" s="10" t="n">
        <v>46228</v>
      </c>
      <c r="C317" s="8" t="s">
        <v>154</v>
      </c>
      <c r="D317" s="8" t="s">
        <v>698</v>
      </c>
      <c r="E317" s="8" t="s">
        <v>750</v>
      </c>
      <c r="F317" s="9" t="n">
        <v>5</v>
      </c>
      <c r="G317" s="20" t="n">
        <v>25.31</v>
      </c>
      <c r="H317" s="20" t="n">
        <v>126.55</v>
      </c>
    </row>
    <row r="318" customFormat="false" ht="15" hidden="false" customHeight="false" outlineLevel="0" collapsed="false">
      <c r="A318" s="8" t="s">
        <v>1039</v>
      </c>
      <c r="B318" s="10" t="n">
        <v>46008</v>
      </c>
      <c r="C318" s="8" t="s">
        <v>154</v>
      </c>
      <c r="D318" s="8" t="s">
        <v>698</v>
      </c>
      <c r="E318" s="8" t="s">
        <v>750</v>
      </c>
      <c r="F318" s="9" t="n">
        <v>2</v>
      </c>
      <c r="G318" s="20" t="n">
        <v>23.38</v>
      </c>
      <c r="H318" s="20" t="n">
        <v>46.76</v>
      </c>
    </row>
    <row r="319" customFormat="false" ht="15" hidden="false" customHeight="false" outlineLevel="0" collapsed="false">
      <c r="A319" s="8" t="s">
        <v>1040</v>
      </c>
      <c r="B319" s="10" t="n">
        <v>46046</v>
      </c>
      <c r="C319" s="8" t="s">
        <v>52</v>
      </c>
      <c r="D319" s="8" t="s">
        <v>698</v>
      </c>
      <c r="E319" s="8" t="s">
        <v>699</v>
      </c>
      <c r="F319" s="9" t="n">
        <v>2</v>
      </c>
      <c r="G319" s="20" t="n">
        <v>15</v>
      </c>
      <c r="H319" s="20" t="n">
        <v>30</v>
      </c>
    </row>
    <row r="320" customFormat="false" ht="15" hidden="false" customHeight="false" outlineLevel="0" collapsed="false">
      <c r="A320" s="8" t="s">
        <v>1041</v>
      </c>
      <c r="B320" s="10" t="n">
        <v>46016</v>
      </c>
      <c r="C320" s="8" t="s">
        <v>394</v>
      </c>
      <c r="D320" s="8" t="s">
        <v>698</v>
      </c>
      <c r="E320" s="8" t="s">
        <v>776</v>
      </c>
      <c r="F320" s="9" t="n">
        <v>1</v>
      </c>
      <c r="G320" s="20" t="n">
        <v>21.81</v>
      </c>
      <c r="H320" s="20" t="n">
        <v>21.81</v>
      </c>
    </row>
    <row r="321" customFormat="false" ht="15" hidden="false" customHeight="false" outlineLevel="0" collapsed="false">
      <c r="A321" s="8" t="s">
        <v>1042</v>
      </c>
      <c r="B321" s="10" t="n">
        <v>46191</v>
      </c>
      <c r="C321" s="8" t="s">
        <v>390</v>
      </c>
      <c r="D321" s="8" t="s">
        <v>703</v>
      </c>
      <c r="E321" s="8" t="s">
        <v>785</v>
      </c>
      <c r="F321" s="9" t="n">
        <v>5</v>
      </c>
      <c r="G321" s="20" t="n">
        <v>24.07</v>
      </c>
      <c r="H321" s="20" t="n">
        <v>120.35</v>
      </c>
    </row>
    <row r="322" customFormat="false" ht="15" hidden="false" customHeight="false" outlineLevel="0" collapsed="false">
      <c r="A322" s="8" t="s">
        <v>1043</v>
      </c>
      <c r="B322" s="10" t="n">
        <v>46002</v>
      </c>
      <c r="C322" s="8" t="s">
        <v>390</v>
      </c>
      <c r="D322" s="8" t="s">
        <v>698</v>
      </c>
      <c r="E322" s="8" t="s">
        <v>708</v>
      </c>
      <c r="F322" s="9" t="n">
        <v>2</v>
      </c>
      <c r="G322" s="20" t="n">
        <v>9.24</v>
      </c>
      <c r="H322" s="20" t="n">
        <v>18.48</v>
      </c>
    </row>
    <row r="323" customFormat="false" ht="15" hidden="false" customHeight="false" outlineLevel="0" collapsed="false">
      <c r="A323" s="8" t="s">
        <v>1044</v>
      </c>
      <c r="B323" s="10" t="n">
        <v>46183</v>
      </c>
      <c r="C323" s="8" t="s">
        <v>52</v>
      </c>
      <c r="D323" s="8" t="s">
        <v>698</v>
      </c>
      <c r="E323" s="8" t="s">
        <v>699</v>
      </c>
      <c r="F323" s="9" t="n">
        <v>2</v>
      </c>
      <c r="G323" s="20" t="n">
        <v>14.6</v>
      </c>
      <c r="H323" s="20" t="n">
        <v>29.2</v>
      </c>
    </row>
    <row r="324" customFormat="false" ht="15" hidden="false" customHeight="false" outlineLevel="0" collapsed="false">
      <c r="A324" s="8" t="s">
        <v>1045</v>
      </c>
      <c r="B324" s="10" t="n">
        <v>46050</v>
      </c>
      <c r="C324" s="8" t="s">
        <v>145</v>
      </c>
      <c r="D324" s="8" t="s">
        <v>703</v>
      </c>
      <c r="E324" s="8" t="s">
        <v>706</v>
      </c>
      <c r="F324" s="9" t="n">
        <v>2</v>
      </c>
      <c r="G324" s="20" t="n">
        <v>224.45</v>
      </c>
      <c r="H324" s="20" t="n">
        <v>448.9</v>
      </c>
    </row>
    <row r="325" customFormat="false" ht="15" hidden="false" customHeight="false" outlineLevel="0" collapsed="false">
      <c r="A325" s="8" t="s">
        <v>1046</v>
      </c>
      <c r="B325" s="10" t="n">
        <v>46166</v>
      </c>
      <c r="C325" s="8" t="s">
        <v>262</v>
      </c>
      <c r="D325" s="8" t="s">
        <v>703</v>
      </c>
      <c r="E325" s="8" t="s">
        <v>769</v>
      </c>
      <c r="F325" s="9" t="n">
        <v>4</v>
      </c>
      <c r="G325" s="20" t="n">
        <v>31.05</v>
      </c>
      <c r="H325" s="20" t="n">
        <v>124.2</v>
      </c>
    </row>
    <row r="326" customFormat="false" ht="15" hidden="false" customHeight="false" outlineLevel="0" collapsed="false">
      <c r="A326" s="8" t="s">
        <v>1047</v>
      </c>
      <c r="B326" s="10" t="n">
        <v>46077</v>
      </c>
      <c r="C326" s="8" t="s">
        <v>145</v>
      </c>
      <c r="D326" s="8" t="s">
        <v>698</v>
      </c>
      <c r="E326" s="8" t="s">
        <v>754</v>
      </c>
      <c r="F326" s="9" t="n">
        <v>1</v>
      </c>
      <c r="G326" s="20" t="n">
        <v>84.37</v>
      </c>
      <c r="H326" s="20" t="n">
        <v>84.37</v>
      </c>
    </row>
    <row r="327" customFormat="false" ht="15" hidden="false" customHeight="false" outlineLevel="0" collapsed="false">
      <c r="A327" s="8" t="s">
        <v>1048</v>
      </c>
      <c r="B327" s="10" t="n">
        <v>46038</v>
      </c>
      <c r="C327" s="8" t="s">
        <v>214</v>
      </c>
      <c r="D327" s="8" t="s">
        <v>698</v>
      </c>
      <c r="E327" s="8" t="s">
        <v>701</v>
      </c>
      <c r="F327" s="9" t="n">
        <v>1</v>
      </c>
      <c r="G327" s="20" t="n">
        <v>19.77</v>
      </c>
      <c r="H327" s="20" t="n">
        <v>19.77</v>
      </c>
    </row>
    <row r="328" customFormat="false" ht="15" hidden="false" customHeight="false" outlineLevel="0" collapsed="false">
      <c r="A328" s="8" t="s">
        <v>1049</v>
      </c>
      <c r="B328" s="10" t="n">
        <v>46077</v>
      </c>
      <c r="C328" s="8" t="s">
        <v>262</v>
      </c>
      <c r="D328" s="8" t="s">
        <v>698</v>
      </c>
      <c r="E328" s="8" t="s">
        <v>737</v>
      </c>
      <c r="F328" s="9" t="n">
        <v>7</v>
      </c>
      <c r="G328" s="20" t="n">
        <v>12.45</v>
      </c>
      <c r="H328" s="20" t="n">
        <v>87.15</v>
      </c>
    </row>
    <row r="329" customFormat="false" ht="15" hidden="false" customHeight="false" outlineLevel="0" collapsed="false">
      <c r="A329" s="8" t="s">
        <v>1050</v>
      </c>
      <c r="B329" s="10" t="n">
        <v>46081</v>
      </c>
      <c r="C329" s="8" t="s">
        <v>390</v>
      </c>
      <c r="D329" s="8" t="s">
        <v>703</v>
      </c>
      <c r="E329" s="8" t="s">
        <v>785</v>
      </c>
      <c r="F329" s="9" t="n">
        <v>2</v>
      </c>
      <c r="G329" s="20" t="n">
        <v>25.52</v>
      </c>
      <c r="H329" s="20" t="n">
        <v>51.04</v>
      </c>
    </row>
    <row r="330" customFormat="false" ht="15" hidden="false" customHeight="false" outlineLevel="0" collapsed="false">
      <c r="A330" s="8" t="s">
        <v>1051</v>
      </c>
      <c r="B330" s="10" t="n">
        <v>46030</v>
      </c>
      <c r="C330" s="8" t="s">
        <v>52</v>
      </c>
      <c r="D330" s="8" t="s">
        <v>703</v>
      </c>
      <c r="E330" s="8" t="s">
        <v>720</v>
      </c>
      <c r="F330" s="9" t="n">
        <v>4</v>
      </c>
      <c r="G330" s="20" t="n">
        <v>35.71</v>
      </c>
      <c r="H330" s="20" t="n">
        <v>142.84</v>
      </c>
    </row>
    <row r="331" customFormat="false" ht="15" hidden="false" customHeight="false" outlineLevel="0" collapsed="false">
      <c r="A331" s="8" t="s">
        <v>1052</v>
      </c>
      <c r="B331" s="10" t="n">
        <v>46082</v>
      </c>
      <c r="C331" s="8" t="s">
        <v>646</v>
      </c>
      <c r="D331" s="8" t="s">
        <v>703</v>
      </c>
      <c r="E331" s="8" t="s">
        <v>732</v>
      </c>
      <c r="F331" s="9" t="n">
        <v>3</v>
      </c>
      <c r="G331" s="20" t="n">
        <v>165.82</v>
      </c>
      <c r="H331" s="20" t="n">
        <v>497.46</v>
      </c>
    </row>
    <row r="332" customFormat="false" ht="15" hidden="false" customHeight="false" outlineLevel="0" collapsed="false">
      <c r="A332" s="8" t="s">
        <v>1053</v>
      </c>
      <c r="B332" s="10" t="n">
        <v>46068</v>
      </c>
      <c r="C332" s="8" t="s">
        <v>145</v>
      </c>
      <c r="D332" s="8" t="s">
        <v>703</v>
      </c>
      <c r="E332" s="8" t="s">
        <v>706</v>
      </c>
      <c r="F332" s="9" t="n">
        <v>5</v>
      </c>
      <c r="G332" s="20" t="n">
        <v>210.92</v>
      </c>
      <c r="H332" s="20" t="n">
        <v>1054.6</v>
      </c>
    </row>
    <row r="333" customFormat="false" ht="15" hidden="false" customHeight="false" outlineLevel="0" collapsed="false">
      <c r="A333" s="8" t="s">
        <v>1054</v>
      </c>
      <c r="B333" s="10" t="n">
        <v>46205</v>
      </c>
      <c r="C333" s="8" t="s">
        <v>145</v>
      </c>
      <c r="D333" s="8" t="s">
        <v>703</v>
      </c>
      <c r="E333" s="8" t="s">
        <v>706</v>
      </c>
      <c r="F333" s="9" t="n">
        <v>7</v>
      </c>
      <c r="G333" s="20" t="n">
        <v>224.2</v>
      </c>
      <c r="H333" s="20" t="n">
        <v>1569.4</v>
      </c>
    </row>
    <row r="334" customFormat="false" ht="15" hidden="false" customHeight="false" outlineLevel="0" collapsed="false">
      <c r="A334" s="8" t="s">
        <v>1055</v>
      </c>
      <c r="B334" s="10" t="n">
        <v>46105</v>
      </c>
      <c r="C334" s="8" t="s">
        <v>115</v>
      </c>
      <c r="D334" s="8" t="s">
        <v>703</v>
      </c>
      <c r="E334" s="8" t="s">
        <v>772</v>
      </c>
      <c r="F334" s="9" t="n">
        <v>3</v>
      </c>
      <c r="G334" s="20" t="n">
        <v>115.44</v>
      </c>
      <c r="H334" s="20" t="n">
        <v>346.32</v>
      </c>
    </row>
    <row r="335" customFormat="false" ht="15" hidden="false" customHeight="false" outlineLevel="0" collapsed="false">
      <c r="A335" s="8" t="s">
        <v>1056</v>
      </c>
      <c r="B335" s="10" t="n">
        <v>46237</v>
      </c>
      <c r="C335" s="8" t="s">
        <v>214</v>
      </c>
      <c r="D335" s="8" t="s">
        <v>698</v>
      </c>
      <c r="E335" s="8" t="s">
        <v>701</v>
      </c>
      <c r="F335" s="9" t="n">
        <v>2</v>
      </c>
      <c r="G335" s="20" t="n">
        <v>19.49</v>
      </c>
      <c r="H335" s="20" t="n">
        <v>38.98</v>
      </c>
    </row>
    <row r="336" customFormat="false" ht="15" hidden="false" customHeight="false" outlineLevel="0" collapsed="false">
      <c r="A336" s="8" t="s">
        <v>1057</v>
      </c>
      <c r="B336" s="10" t="n">
        <v>46200</v>
      </c>
      <c r="C336" s="8" t="s">
        <v>390</v>
      </c>
      <c r="D336" s="8" t="s">
        <v>698</v>
      </c>
      <c r="E336" s="8" t="s">
        <v>708</v>
      </c>
      <c r="F336" s="9" t="n">
        <v>5</v>
      </c>
      <c r="G336" s="20" t="n">
        <v>9.96</v>
      </c>
      <c r="H336" s="20" t="n">
        <v>49.8</v>
      </c>
    </row>
    <row r="337" customFormat="false" ht="15" hidden="false" customHeight="false" outlineLevel="0" collapsed="false">
      <c r="A337" s="8" t="s">
        <v>1058</v>
      </c>
      <c r="B337" s="10" t="n">
        <v>45987</v>
      </c>
      <c r="C337" s="8" t="s">
        <v>52</v>
      </c>
      <c r="D337" s="8" t="s">
        <v>698</v>
      </c>
      <c r="E337" s="8" t="s">
        <v>699</v>
      </c>
      <c r="F337" s="9" t="n">
        <v>2</v>
      </c>
      <c r="G337" s="20" t="n">
        <v>16.14</v>
      </c>
      <c r="H337" s="20" t="n">
        <v>32.28</v>
      </c>
    </row>
    <row r="338" customFormat="false" ht="15" hidden="false" customHeight="false" outlineLevel="0" collapsed="false">
      <c r="A338" s="8" t="s">
        <v>1059</v>
      </c>
      <c r="B338" s="10" t="n">
        <v>46190</v>
      </c>
      <c r="C338" s="8" t="s">
        <v>69</v>
      </c>
      <c r="D338" s="8" t="s">
        <v>703</v>
      </c>
      <c r="E338" s="8" t="s">
        <v>734</v>
      </c>
      <c r="F338" s="9" t="n">
        <v>5</v>
      </c>
      <c r="G338" s="20" t="n">
        <v>43.02</v>
      </c>
      <c r="H338" s="20" t="n">
        <v>215.1</v>
      </c>
    </row>
    <row r="339" customFormat="false" ht="15" hidden="false" customHeight="false" outlineLevel="0" collapsed="false">
      <c r="A339" s="8" t="s">
        <v>1060</v>
      </c>
      <c r="B339" s="10" t="n">
        <v>46034</v>
      </c>
      <c r="C339" s="8" t="s">
        <v>52</v>
      </c>
      <c r="D339" s="8" t="s">
        <v>703</v>
      </c>
      <c r="E339" s="8" t="s">
        <v>720</v>
      </c>
      <c r="F339" s="9" t="n">
        <v>7</v>
      </c>
      <c r="G339" s="20" t="n">
        <v>36.89</v>
      </c>
      <c r="H339" s="20" t="n">
        <v>258.23</v>
      </c>
    </row>
    <row r="340" customFormat="false" ht="15" hidden="false" customHeight="false" outlineLevel="0" collapsed="false">
      <c r="A340" s="8" t="s">
        <v>1061</v>
      </c>
      <c r="B340" s="10" t="n">
        <v>46178</v>
      </c>
      <c r="C340" s="8" t="s">
        <v>52</v>
      </c>
      <c r="D340" s="8" t="s">
        <v>703</v>
      </c>
      <c r="E340" s="8" t="s">
        <v>720</v>
      </c>
      <c r="F340" s="9" t="n">
        <v>1</v>
      </c>
      <c r="G340" s="20" t="n">
        <v>36.14</v>
      </c>
      <c r="H340" s="20" t="n">
        <v>36.14</v>
      </c>
    </row>
    <row r="341" customFormat="false" ht="15" hidden="false" customHeight="false" outlineLevel="0" collapsed="false">
      <c r="A341" s="8" t="s">
        <v>1062</v>
      </c>
      <c r="B341" s="10" t="n">
        <v>46147</v>
      </c>
      <c r="C341" s="8" t="s">
        <v>277</v>
      </c>
      <c r="D341" s="8" t="s">
        <v>698</v>
      </c>
      <c r="E341" s="8" t="s">
        <v>710</v>
      </c>
      <c r="F341" s="9" t="n">
        <v>4</v>
      </c>
      <c r="G341" s="20" t="n">
        <v>57.86</v>
      </c>
      <c r="H341" s="20" t="n">
        <v>231.44</v>
      </c>
    </row>
    <row r="342" customFormat="false" ht="15" hidden="false" customHeight="false" outlineLevel="0" collapsed="false">
      <c r="A342" s="8" t="s">
        <v>1063</v>
      </c>
      <c r="B342" s="10" t="n">
        <v>46086</v>
      </c>
      <c r="C342" s="8" t="s">
        <v>166</v>
      </c>
      <c r="D342" s="8" t="s">
        <v>698</v>
      </c>
      <c r="E342" s="8" t="s">
        <v>729</v>
      </c>
      <c r="F342" s="9" t="n">
        <v>3</v>
      </c>
      <c r="G342" s="20" t="n">
        <v>152.67</v>
      </c>
      <c r="H342" s="20" t="n">
        <v>458.01</v>
      </c>
    </row>
    <row r="343" customFormat="false" ht="15" hidden="false" customHeight="false" outlineLevel="0" collapsed="false">
      <c r="A343" s="8" t="s">
        <v>1064</v>
      </c>
      <c r="B343" s="10" t="n">
        <v>46120</v>
      </c>
      <c r="C343" s="8" t="s">
        <v>115</v>
      </c>
      <c r="D343" s="8" t="s">
        <v>698</v>
      </c>
      <c r="E343" s="8" t="s">
        <v>821</v>
      </c>
      <c r="F343" s="9" t="n">
        <v>3</v>
      </c>
      <c r="G343" s="20" t="n">
        <v>47.28</v>
      </c>
      <c r="H343" s="20" t="n">
        <v>141.84</v>
      </c>
    </row>
    <row r="344" customFormat="false" ht="15" hidden="false" customHeight="false" outlineLevel="0" collapsed="false">
      <c r="A344" s="8" t="s">
        <v>1065</v>
      </c>
      <c r="B344" s="10" t="n">
        <v>46145</v>
      </c>
      <c r="C344" s="8" t="s">
        <v>277</v>
      </c>
      <c r="D344" s="8" t="s">
        <v>703</v>
      </c>
      <c r="E344" s="8" t="s">
        <v>724</v>
      </c>
      <c r="F344" s="9" t="n">
        <v>2</v>
      </c>
      <c r="G344" s="20" t="n">
        <v>128.9</v>
      </c>
      <c r="H344" s="20" t="n">
        <v>257.8</v>
      </c>
    </row>
    <row r="345" customFormat="false" ht="15" hidden="false" customHeight="false" outlineLevel="0" collapsed="false">
      <c r="A345" s="8" t="s">
        <v>1066</v>
      </c>
      <c r="B345" s="10" t="n">
        <v>46215</v>
      </c>
      <c r="C345" s="8" t="s">
        <v>214</v>
      </c>
      <c r="D345" s="8" t="s">
        <v>703</v>
      </c>
      <c r="E345" s="8" t="s">
        <v>715</v>
      </c>
      <c r="F345" s="9" t="n">
        <v>4</v>
      </c>
      <c r="G345" s="20" t="n">
        <v>47.81</v>
      </c>
      <c r="H345" s="20" t="n">
        <v>191.24</v>
      </c>
    </row>
    <row r="346" customFormat="false" ht="15" hidden="false" customHeight="false" outlineLevel="0" collapsed="false">
      <c r="A346" s="8" t="s">
        <v>1067</v>
      </c>
      <c r="B346" s="10" t="n">
        <v>46117</v>
      </c>
      <c r="C346" s="8" t="s">
        <v>115</v>
      </c>
      <c r="D346" s="8" t="s">
        <v>703</v>
      </c>
      <c r="E346" s="8" t="s">
        <v>772</v>
      </c>
      <c r="F346" s="9" t="n">
        <v>8</v>
      </c>
      <c r="G346" s="20" t="n">
        <v>109.72</v>
      </c>
      <c r="H346" s="20" t="n">
        <v>877.76</v>
      </c>
    </row>
    <row r="347" customFormat="false" ht="15" hidden="false" customHeight="false" outlineLevel="0" collapsed="false">
      <c r="A347" s="8" t="s">
        <v>1068</v>
      </c>
      <c r="B347" s="10" t="n">
        <v>46072</v>
      </c>
      <c r="C347" s="8" t="s">
        <v>650</v>
      </c>
      <c r="D347" s="8" t="s">
        <v>698</v>
      </c>
      <c r="E347" s="8" t="s">
        <v>800</v>
      </c>
      <c r="F347" s="9" t="n">
        <v>1</v>
      </c>
      <c r="G347" s="20" t="n">
        <v>26.87</v>
      </c>
      <c r="H347" s="20" t="n">
        <v>26.87</v>
      </c>
    </row>
    <row r="348" customFormat="false" ht="15" hidden="false" customHeight="false" outlineLevel="0" collapsed="false">
      <c r="A348" s="8" t="s">
        <v>1069</v>
      </c>
      <c r="B348" s="10" t="n">
        <v>46086</v>
      </c>
      <c r="C348" s="8" t="s">
        <v>52</v>
      </c>
      <c r="D348" s="8" t="s">
        <v>703</v>
      </c>
      <c r="E348" s="8" t="s">
        <v>720</v>
      </c>
      <c r="F348" s="9" t="n">
        <v>2</v>
      </c>
      <c r="G348" s="20" t="n">
        <v>32.77</v>
      </c>
      <c r="H348" s="20" t="n">
        <v>65.54</v>
      </c>
    </row>
    <row r="349" customFormat="false" ht="15" hidden="false" customHeight="false" outlineLevel="0" collapsed="false">
      <c r="A349" s="8" t="s">
        <v>1070</v>
      </c>
      <c r="B349" s="10" t="n">
        <v>46199</v>
      </c>
      <c r="C349" s="8" t="s">
        <v>52</v>
      </c>
      <c r="D349" s="8" t="s">
        <v>698</v>
      </c>
      <c r="E349" s="8" t="s">
        <v>699</v>
      </c>
      <c r="F349" s="9" t="n">
        <v>8</v>
      </c>
      <c r="G349" s="20" t="n">
        <v>14.61</v>
      </c>
      <c r="H349" s="20" t="n">
        <v>116.88</v>
      </c>
    </row>
    <row r="350" customFormat="false" ht="15" hidden="false" customHeight="false" outlineLevel="0" collapsed="false">
      <c r="A350" s="8" t="s">
        <v>1071</v>
      </c>
      <c r="B350" s="10" t="n">
        <v>46157</v>
      </c>
      <c r="C350" s="8" t="s">
        <v>52</v>
      </c>
      <c r="D350" s="8" t="s">
        <v>703</v>
      </c>
      <c r="E350" s="8" t="s">
        <v>720</v>
      </c>
      <c r="F350" s="9" t="n">
        <v>1</v>
      </c>
      <c r="G350" s="20" t="n">
        <v>35.06</v>
      </c>
      <c r="H350" s="20" t="n">
        <v>35.06</v>
      </c>
    </row>
    <row r="351" customFormat="false" ht="15" hidden="false" customHeight="false" outlineLevel="0" collapsed="false">
      <c r="A351" s="8" t="s">
        <v>1072</v>
      </c>
      <c r="B351" s="10" t="n">
        <v>45946</v>
      </c>
      <c r="C351" s="8" t="s">
        <v>650</v>
      </c>
      <c r="D351" s="8" t="s">
        <v>703</v>
      </c>
      <c r="E351" s="8" t="s">
        <v>858</v>
      </c>
      <c r="F351" s="9" t="n">
        <v>7</v>
      </c>
      <c r="G351" s="20" t="n">
        <v>61.21</v>
      </c>
      <c r="H351" s="20" t="n">
        <v>428.47</v>
      </c>
    </row>
    <row r="352" customFormat="false" ht="15" hidden="false" customHeight="false" outlineLevel="0" collapsed="false">
      <c r="A352" s="8" t="s">
        <v>1073</v>
      </c>
      <c r="B352" s="10" t="n">
        <v>45942</v>
      </c>
      <c r="C352" s="8" t="s">
        <v>262</v>
      </c>
      <c r="D352" s="8" t="s">
        <v>698</v>
      </c>
      <c r="E352" s="8" t="s">
        <v>737</v>
      </c>
      <c r="F352" s="9" t="n">
        <v>3</v>
      </c>
      <c r="G352" s="20" t="n">
        <v>12.32</v>
      </c>
      <c r="H352" s="20" t="n">
        <v>36.96</v>
      </c>
    </row>
    <row r="353" customFormat="false" ht="15" hidden="false" customHeight="false" outlineLevel="0" collapsed="false">
      <c r="A353" s="8" t="s">
        <v>1074</v>
      </c>
      <c r="B353" s="10" t="n">
        <v>45935</v>
      </c>
      <c r="C353" s="8" t="s">
        <v>390</v>
      </c>
      <c r="D353" s="8" t="s">
        <v>703</v>
      </c>
      <c r="E353" s="8" t="s">
        <v>785</v>
      </c>
      <c r="F353" s="9" t="n">
        <v>1</v>
      </c>
      <c r="G353" s="20" t="n">
        <v>25.07</v>
      </c>
      <c r="H353" s="20" t="n">
        <v>25.07</v>
      </c>
    </row>
    <row r="354" customFormat="false" ht="15" hidden="false" customHeight="false" outlineLevel="0" collapsed="false">
      <c r="A354" s="8" t="s">
        <v>1075</v>
      </c>
      <c r="B354" s="10" t="n">
        <v>46259</v>
      </c>
      <c r="C354" s="8" t="s">
        <v>145</v>
      </c>
      <c r="D354" s="8" t="s">
        <v>698</v>
      </c>
      <c r="E354" s="8" t="s">
        <v>754</v>
      </c>
      <c r="F354" s="9" t="n">
        <v>1</v>
      </c>
      <c r="G354" s="20" t="n">
        <v>94.14</v>
      </c>
      <c r="H354" s="20" t="n">
        <v>94.14</v>
      </c>
    </row>
    <row r="355" customFormat="false" ht="15" hidden="false" customHeight="false" outlineLevel="0" collapsed="false">
      <c r="A355" s="8" t="s">
        <v>1076</v>
      </c>
      <c r="B355" s="10" t="n">
        <v>45981</v>
      </c>
      <c r="C355" s="8" t="s">
        <v>650</v>
      </c>
      <c r="D355" s="8" t="s">
        <v>703</v>
      </c>
      <c r="E355" s="8" t="s">
        <v>858</v>
      </c>
      <c r="F355" s="9" t="n">
        <v>2</v>
      </c>
      <c r="G355" s="20" t="n">
        <v>64.97</v>
      </c>
      <c r="H355" s="20" t="n">
        <v>129.94</v>
      </c>
    </row>
    <row r="356" customFormat="false" ht="15" hidden="false" customHeight="false" outlineLevel="0" collapsed="false">
      <c r="A356" s="8" t="s">
        <v>1077</v>
      </c>
      <c r="B356" s="10" t="n">
        <v>46093</v>
      </c>
      <c r="C356" s="8" t="s">
        <v>69</v>
      </c>
      <c r="D356" s="8" t="s">
        <v>703</v>
      </c>
      <c r="E356" s="8" t="s">
        <v>734</v>
      </c>
      <c r="F356" s="9" t="n">
        <v>2</v>
      </c>
      <c r="G356" s="20" t="n">
        <v>37.45</v>
      </c>
      <c r="H356" s="20" t="n">
        <v>74.9</v>
      </c>
    </row>
    <row r="357" customFormat="false" ht="15" hidden="false" customHeight="false" outlineLevel="0" collapsed="false">
      <c r="A357" s="8" t="s">
        <v>1078</v>
      </c>
      <c r="B357" s="10" t="n">
        <v>46152</v>
      </c>
      <c r="C357" s="8" t="s">
        <v>277</v>
      </c>
      <c r="D357" s="8" t="s">
        <v>698</v>
      </c>
      <c r="E357" s="8" t="s">
        <v>710</v>
      </c>
      <c r="F357" s="9" t="n">
        <v>5</v>
      </c>
      <c r="G357" s="20" t="n">
        <v>64.08</v>
      </c>
      <c r="H357" s="20" t="n">
        <v>320.4</v>
      </c>
    </row>
    <row r="358" customFormat="false" ht="15" hidden="false" customHeight="false" outlineLevel="0" collapsed="false">
      <c r="A358" s="8" t="s">
        <v>1079</v>
      </c>
      <c r="B358" s="10" t="n">
        <v>45959</v>
      </c>
      <c r="C358" s="8" t="s">
        <v>214</v>
      </c>
      <c r="D358" s="8" t="s">
        <v>703</v>
      </c>
      <c r="E358" s="8" t="s">
        <v>715</v>
      </c>
      <c r="F358" s="9" t="n">
        <v>7</v>
      </c>
      <c r="G358" s="20" t="n">
        <v>44.74</v>
      </c>
      <c r="H358" s="20" t="n">
        <v>313.18</v>
      </c>
    </row>
    <row r="359" customFormat="false" ht="15" hidden="false" customHeight="false" outlineLevel="0" collapsed="false">
      <c r="A359" s="8" t="s">
        <v>1080</v>
      </c>
      <c r="B359" s="10" t="n">
        <v>46181</v>
      </c>
      <c r="C359" s="8" t="s">
        <v>145</v>
      </c>
      <c r="D359" s="8" t="s">
        <v>698</v>
      </c>
      <c r="E359" s="8" t="s">
        <v>754</v>
      </c>
      <c r="F359" s="9" t="n">
        <v>8</v>
      </c>
      <c r="G359" s="20" t="n">
        <v>86.02</v>
      </c>
      <c r="H359" s="20" t="n">
        <v>688.16</v>
      </c>
    </row>
    <row r="360" customFormat="false" ht="15" hidden="false" customHeight="false" outlineLevel="0" collapsed="false">
      <c r="A360" s="8" t="s">
        <v>1081</v>
      </c>
      <c r="B360" s="10" t="n">
        <v>46134</v>
      </c>
      <c r="C360" s="8" t="s">
        <v>323</v>
      </c>
      <c r="D360" s="8" t="s">
        <v>703</v>
      </c>
      <c r="E360" s="8" t="s">
        <v>704</v>
      </c>
      <c r="F360" s="9" t="n">
        <v>1</v>
      </c>
      <c r="G360" s="20" t="n">
        <v>227.38</v>
      </c>
      <c r="H360" s="20" t="n">
        <v>227.38</v>
      </c>
    </row>
    <row r="361" customFormat="false" ht="15" hidden="false" customHeight="false" outlineLevel="0" collapsed="false">
      <c r="A361" s="8" t="s">
        <v>1082</v>
      </c>
      <c r="B361" s="10" t="n">
        <v>45915</v>
      </c>
      <c r="C361" s="8" t="s">
        <v>214</v>
      </c>
      <c r="D361" s="8" t="s">
        <v>698</v>
      </c>
      <c r="E361" s="8" t="s">
        <v>701</v>
      </c>
      <c r="F361" s="9" t="n">
        <v>8</v>
      </c>
      <c r="G361" s="20" t="n">
        <v>18.97</v>
      </c>
      <c r="H361" s="20" t="n">
        <v>151.76</v>
      </c>
    </row>
    <row r="362" customFormat="false" ht="15" hidden="false" customHeight="false" outlineLevel="0" collapsed="false">
      <c r="A362" s="8" t="s">
        <v>1083</v>
      </c>
      <c r="B362" s="10" t="n">
        <v>46182</v>
      </c>
      <c r="C362" s="8" t="s">
        <v>646</v>
      </c>
      <c r="D362" s="8" t="s">
        <v>703</v>
      </c>
      <c r="E362" s="8" t="s">
        <v>732</v>
      </c>
      <c r="F362" s="9" t="n">
        <v>5</v>
      </c>
      <c r="G362" s="20" t="n">
        <v>184.66</v>
      </c>
      <c r="H362" s="20" t="n">
        <v>923.3</v>
      </c>
    </row>
    <row r="363" customFormat="false" ht="15" hidden="false" customHeight="false" outlineLevel="0" collapsed="false">
      <c r="A363" s="8" t="s">
        <v>1084</v>
      </c>
      <c r="B363" s="10" t="n">
        <v>46088</v>
      </c>
      <c r="C363" s="8" t="s">
        <v>52</v>
      </c>
      <c r="D363" s="8" t="s">
        <v>703</v>
      </c>
      <c r="E363" s="8" t="s">
        <v>720</v>
      </c>
      <c r="F363" s="9" t="n">
        <v>4</v>
      </c>
      <c r="G363" s="20" t="n">
        <v>37.68</v>
      </c>
      <c r="H363" s="20" t="n">
        <v>150.72</v>
      </c>
    </row>
    <row r="364" customFormat="false" ht="15" hidden="false" customHeight="false" outlineLevel="0" collapsed="false">
      <c r="A364" s="8" t="s">
        <v>1085</v>
      </c>
      <c r="B364" s="10" t="n">
        <v>46030</v>
      </c>
      <c r="C364" s="8" t="s">
        <v>69</v>
      </c>
      <c r="D364" s="8" t="s">
        <v>703</v>
      </c>
      <c r="E364" s="8" t="s">
        <v>734</v>
      </c>
      <c r="F364" s="9" t="n">
        <v>3</v>
      </c>
      <c r="G364" s="20" t="n">
        <v>38.06</v>
      </c>
      <c r="H364" s="20" t="n">
        <v>114.18</v>
      </c>
    </row>
    <row r="365" customFormat="false" ht="15" hidden="false" customHeight="false" outlineLevel="0" collapsed="false">
      <c r="A365" s="8" t="s">
        <v>1086</v>
      </c>
      <c r="B365" s="10" t="n">
        <v>46042</v>
      </c>
      <c r="C365" s="8" t="s">
        <v>145</v>
      </c>
      <c r="D365" s="8" t="s">
        <v>703</v>
      </c>
      <c r="E365" s="8" t="s">
        <v>706</v>
      </c>
      <c r="F365" s="9" t="n">
        <v>1</v>
      </c>
      <c r="G365" s="20" t="n">
        <v>227.48</v>
      </c>
      <c r="H365" s="20" t="n">
        <v>227.48</v>
      </c>
    </row>
    <row r="366" customFormat="false" ht="15" hidden="false" customHeight="false" outlineLevel="0" collapsed="false">
      <c r="A366" s="8" t="s">
        <v>1087</v>
      </c>
      <c r="B366" s="10" t="n">
        <v>46110</v>
      </c>
      <c r="C366" s="8" t="s">
        <v>52</v>
      </c>
      <c r="D366" s="8" t="s">
        <v>698</v>
      </c>
      <c r="E366" s="8" t="s">
        <v>699</v>
      </c>
      <c r="F366" s="9" t="n">
        <v>8</v>
      </c>
      <c r="G366" s="20" t="n">
        <v>14.74</v>
      </c>
      <c r="H366" s="20" t="n">
        <v>117.92</v>
      </c>
    </row>
    <row r="367" customFormat="false" ht="15" hidden="false" customHeight="false" outlineLevel="0" collapsed="false">
      <c r="A367" s="8" t="s">
        <v>1088</v>
      </c>
      <c r="B367" s="10" t="n">
        <v>46106</v>
      </c>
      <c r="C367" s="8" t="s">
        <v>214</v>
      </c>
      <c r="D367" s="8" t="s">
        <v>703</v>
      </c>
      <c r="E367" s="8" t="s">
        <v>715</v>
      </c>
      <c r="F367" s="9" t="n">
        <v>7</v>
      </c>
      <c r="G367" s="20" t="n">
        <v>46.21</v>
      </c>
      <c r="H367" s="20" t="n">
        <v>323.47</v>
      </c>
    </row>
    <row r="368" customFormat="false" ht="15" hidden="false" customHeight="false" outlineLevel="0" collapsed="false">
      <c r="A368" s="8" t="s">
        <v>1089</v>
      </c>
      <c r="B368" s="10" t="n">
        <v>45942</v>
      </c>
      <c r="C368" s="8" t="s">
        <v>166</v>
      </c>
      <c r="D368" s="8" t="s">
        <v>698</v>
      </c>
      <c r="E368" s="8" t="s">
        <v>729</v>
      </c>
      <c r="F368" s="9" t="n">
        <v>4</v>
      </c>
      <c r="G368" s="20" t="n">
        <v>152.03</v>
      </c>
      <c r="H368" s="20" t="n">
        <v>608.12</v>
      </c>
    </row>
    <row r="369" customFormat="false" ht="15" hidden="false" customHeight="false" outlineLevel="0" collapsed="false">
      <c r="A369" s="8" t="s">
        <v>1090</v>
      </c>
      <c r="B369" s="10" t="n">
        <v>45997</v>
      </c>
      <c r="C369" s="8" t="s">
        <v>52</v>
      </c>
      <c r="D369" s="8" t="s">
        <v>698</v>
      </c>
      <c r="E369" s="8" t="s">
        <v>699</v>
      </c>
      <c r="F369" s="9" t="n">
        <v>3</v>
      </c>
      <c r="G369" s="20" t="n">
        <v>14.22</v>
      </c>
      <c r="H369" s="20" t="n">
        <v>42.66</v>
      </c>
    </row>
    <row r="370" customFormat="false" ht="15" hidden="false" customHeight="false" outlineLevel="0" collapsed="false">
      <c r="A370" s="8" t="s">
        <v>1091</v>
      </c>
      <c r="B370" s="10" t="n">
        <v>46011</v>
      </c>
      <c r="C370" s="8" t="s">
        <v>115</v>
      </c>
      <c r="D370" s="8" t="s">
        <v>698</v>
      </c>
      <c r="E370" s="8" t="s">
        <v>821</v>
      </c>
      <c r="F370" s="9" t="n">
        <v>8</v>
      </c>
      <c r="G370" s="20" t="n">
        <v>46.71</v>
      </c>
      <c r="H370" s="20" t="n">
        <v>373.68</v>
      </c>
    </row>
    <row r="371" customFormat="false" ht="15" hidden="false" customHeight="false" outlineLevel="0" collapsed="false">
      <c r="A371" s="8" t="s">
        <v>1092</v>
      </c>
      <c r="B371" s="10" t="n">
        <v>46178</v>
      </c>
      <c r="C371" s="8" t="s">
        <v>52</v>
      </c>
      <c r="D371" s="8" t="s">
        <v>698</v>
      </c>
      <c r="E371" s="8" t="s">
        <v>699</v>
      </c>
      <c r="F371" s="9" t="n">
        <v>1</v>
      </c>
      <c r="G371" s="20" t="n">
        <v>14.95</v>
      </c>
      <c r="H371" s="20" t="n">
        <v>14.95</v>
      </c>
    </row>
    <row r="372" customFormat="false" ht="15" hidden="false" customHeight="false" outlineLevel="0" collapsed="false">
      <c r="A372" s="8" t="s">
        <v>1093</v>
      </c>
      <c r="B372" s="10" t="n">
        <v>46110</v>
      </c>
      <c r="C372" s="8" t="s">
        <v>214</v>
      </c>
      <c r="D372" s="8" t="s">
        <v>698</v>
      </c>
      <c r="E372" s="8" t="s">
        <v>701</v>
      </c>
      <c r="F372" s="9" t="n">
        <v>3</v>
      </c>
      <c r="G372" s="20" t="n">
        <v>19.1</v>
      </c>
      <c r="H372" s="20" t="n">
        <v>57.3</v>
      </c>
    </row>
    <row r="373" customFormat="false" ht="15" hidden="false" customHeight="false" outlineLevel="0" collapsed="false">
      <c r="A373" s="8" t="s">
        <v>1094</v>
      </c>
      <c r="B373" s="10" t="n">
        <v>46140</v>
      </c>
      <c r="C373" s="8" t="s">
        <v>262</v>
      </c>
      <c r="D373" s="8" t="s">
        <v>698</v>
      </c>
      <c r="E373" s="8" t="s">
        <v>737</v>
      </c>
      <c r="F373" s="9" t="n">
        <v>8</v>
      </c>
      <c r="G373" s="20" t="n">
        <v>12.4</v>
      </c>
      <c r="H373" s="20" t="n">
        <v>99.2</v>
      </c>
    </row>
    <row r="374" customFormat="false" ht="15" hidden="false" customHeight="false" outlineLevel="0" collapsed="false">
      <c r="A374" s="8" t="s">
        <v>1095</v>
      </c>
      <c r="B374" s="10" t="n">
        <v>46077</v>
      </c>
      <c r="C374" s="8" t="s">
        <v>277</v>
      </c>
      <c r="D374" s="8" t="s">
        <v>698</v>
      </c>
      <c r="E374" s="8" t="s">
        <v>710</v>
      </c>
      <c r="F374" s="9" t="n">
        <v>1</v>
      </c>
      <c r="G374" s="20" t="n">
        <v>57.03</v>
      </c>
      <c r="H374" s="20" t="n">
        <v>57.03</v>
      </c>
    </row>
    <row r="375" customFormat="false" ht="15" hidden="false" customHeight="false" outlineLevel="0" collapsed="false">
      <c r="A375" s="8" t="s">
        <v>1096</v>
      </c>
      <c r="B375" s="10" t="n">
        <v>46243</v>
      </c>
      <c r="C375" s="8" t="s">
        <v>154</v>
      </c>
      <c r="D375" s="8" t="s">
        <v>698</v>
      </c>
      <c r="E375" s="8" t="s">
        <v>750</v>
      </c>
      <c r="F375" s="9" t="n">
        <v>1</v>
      </c>
      <c r="G375" s="20" t="n">
        <v>25.2</v>
      </c>
      <c r="H375" s="20" t="n">
        <v>25.2</v>
      </c>
    </row>
    <row r="376" customFormat="false" ht="15" hidden="false" customHeight="false" outlineLevel="0" collapsed="false">
      <c r="A376" s="8" t="s">
        <v>1097</v>
      </c>
      <c r="B376" s="10" t="n">
        <v>45975</v>
      </c>
      <c r="C376" s="8" t="s">
        <v>69</v>
      </c>
      <c r="D376" s="8" t="s">
        <v>698</v>
      </c>
      <c r="E376" s="8" t="s">
        <v>713</v>
      </c>
      <c r="F376" s="9" t="n">
        <v>2</v>
      </c>
      <c r="G376" s="20" t="n">
        <v>17.77</v>
      </c>
      <c r="H376" s="20" t="n">
        <v>35.54</v>
      </c>
    </row>
    <row r="377" customFormat="false" ht="15" hidden="false" customHeight="false" outlineLevel="0" collapsed="false">
      <c r="A377" s="8" t="s">
        <v>1098</v>
      </c>
      <c r="B377" s="10" t="n">
        <v>46166</v>
      </c>
      <c r="C377" s="8" t="s">
        <v>214</v>
      </c>
      <c r="D377" s="8" t="s">
        <v>698</v>
      </c>
      <c r="E377" s="8" t="s">
        <v>701</v>
      </c>
      <c r="F377" s="9" t="n">
        <v>2</v>
      </c>
      <c r="G377" s="20" t="n">
        <v>18.98</v>
      </c>
      <c r="H377" s="20" t="n">
        <v>37.96</v>
      </c>
    </row>
    <row r="378" customFormat="false" ht="15" hidden="false" customHeight="false" outlineLevel="0" collapsed="false">
      <c r="A378" s="8" t="s">
        <v>1099</v>
      </c>
      <c r="B378" s="10" t="n">
        <v>46108</v>
      </c>
      <c r="C378" s="8" t="s">
        <v>69</v>
      </c>
      <c r="D378" s="8" t="s">
        <v>698</v>
      </c>
      <c r="E378" s="8" t="s">
        <v>713</v>
      </c>
      <c r="F378" s="9" t="n">
        <v>1</v>
      </c>
      <c r="G378" s="20" t="n">
        <v>17.88</v>
      </c>
      <c r="H378" s="20" t="n">
        <v>17.88</v>
      </c>
    </row>
    <row r="379" customFormat="false" ht="15" hidden="false" customHeight="false" outlineLevel="0" collapsed="false">
      <c r="A379" s="8" t="s">
        <v>1100</v>
      </c>
      <c r="B379" s="10" t="n">
        <v>46261</v>
      </c>
      <c r="C379" s="8" t="s">
        <v>646</v>
      </c>
      <c r="D379" s="8" t="s">
        <v>703</v>
      </c>
      <c r="E379" s="8" t="s">
        <v>732</v>
      </c>
      <c r="F379" s="9" t="n">
        <v>4</v>
      </c>
      <c r="G379" s="20" t="n">
        <v>165.91</v>
      </c>
      <c r="H379" s="20" t="n">
        <v>663.64</v>
      </c>
    </row>
    <row r="380" customFormat="false" ht="15" hidden="false" customHeight="false" outlineLevel="0" collapsed="false">
      <c r="A380" s="8" t="s">
        <v>1101</v>
      </c>
      <c r="B380" s="10" t="n">
        <v>46150</v>
      </c>
      <c r="C380" s="8" t="s">
        <v>323</v>
      </c>
      <c r="D380" s="8" t="s">
        <v>698</v>
      </c>
      <c r="E380" s="8" t="s">
        <v>804</v>
      </c>
      <c r="F380" s="9" t="n">
        <v>8</v>
      </c>
      <c r="G380" s="20" t="n">
        <v>94</v>
      </c>
      <c r="H380" s="20" t="n">
        <v>752</v>
      </c>
    </row>
    <row r="381" customFormat="false" ht="15" hidden="false" customHeight="false" outlineLevel="0" collapsed="false">
      <c r="A381" s="8" t="s">
        <v>1102</v>
      </c>
      <c r="B381" s="10" t="n">
        <v>46190</v>
      </c>
      <c r="C381" s="8" t="s">
        <v>390</v>
      </c>
      <c r="D381" s="8" t="s">
        <v>698</v>
      </c>
      <c r="E381" s="8" t="s">
        <v>708</v>
      </c>
      <c r="F381" s="9" t="n">
        <v>2</v>
      </c>
      <c r="G381" s="20" t="n">
        <v>10.17</v>
      </c>
      <c r="H381" s="20" t="n">
        <v>20.34</v>
      </c>
    </row>
    <row r="382" customFormat="false" ht="15" hidden="false" customHeight="false" outlineLevel="0" collapsed="false">
      <c r="A382" s="8" t="s">
        <v>1103</v>
      </c>
      <c r="B382" s="10" t="n">
        <v>46213</v>
      </c>
      <c r="C382" s="8" t="s">
        <v>390</v>
      </c>
      <c r="D382" s="8" t="s">
        <v>703</v>
      </c>
      <c r="E382" s="8" t="s">
        <v>785</v>
      </c>
      <c r="F382" s="9" t="n">
        <v>6</v>
      </c>
      <c r="G382" s="20" t="n">
        <v>25.83</v>
      </c>
      <c r="H382" s="20" t="n">
        <v>154.98</v>
      </c>
    </row>
    <row r="383" customFormat="false" ht="15" hidden="false" customHeight="false" outlineLevel="0" collapsed="false">
      <c r="A383" s="8" t="s">
        <v>1104</v>
      </c>
      <c r="B383" s="10" t="n">
        <v>45921</v>
      </c>
      <c r="C383" s="8" t="s">
        <v>390</v>
      </c>
      <c r="D383" s="8" t="s">
        <v>703</v>
      </c>
      <c r="E383" s="8" t="s">
        <v>785</v>
      </c>
      <c r="F383" s="9" t="n">
        <v>4</v>
      </c>
      <c r="G383" s="20" t="n">
        <v>25.05</v>
      </c>
      <c r="H383" s="20" t="n">
        <v>100.2</v>
      </c>
    </row>
    <row r="384" customFormat="false" ht="15" hidden="false" customHeight="false" outlineLevel="0" collapsed="false">
      <c r="A384" s="8" t="s">
        <v>1105</v>
      </c>
      <c r="B384" s="10" t="n">
        <v>46100</v>
      </c>
      <c r="C384" s="8" t="s">
        <v>277</v>
      </c>
      <c r="D384" s="8" t="s">
        <v>703</v>
      </c>
      <c r="E384" s="8" t="s">
        <v>724</v>
      </c>
      <c r="F384" s="9" t="n">
        <v>3</v>
      </c>
      <c r="G384" s="20" t="n">
        <v>145.6</v>
      </c>
      <c r="H384" s="20" t="n">
        <v>436.8</v>
      </c>
    </row>
    <row r="385" customFormat="false" ht="15" hidden="false" customHeight="false" outlineLevel="0" collapsed="false">
      <c r="A385" s="8" t="s">
        <v>1106</v>
      </c>
      <c r="B385" s="10" t="n">
        <v>45944</v>
      </c>
      <c r="C385" s="8" t="s">
        <v>115</v>
      </c>
      <c r="D385" s="8" t="s">
        <v>698</v>
      </c>
      <c r="E385" s="8" t="s">
        <v>821</v>
      </c>
      <c r="F385" s="9" t="n">
        <v>1</v>
      </c>
      <c r="G385" s="20" t="n">
        <v>42.11</v>
      </c>
      <c r="H385" s="20" t="n">
        <v>42.11</v>
      </c>
    </row>
    <row r="386" customFormat="false" ht="15" hidden="false" customHeight="false" outlineLevel="0" collapsed="false">
      <c r="A386" s="8" t="s">
        <v>1107</v>
      </c>
      <c r="B386" s="10" t="n">
        <v>45964</v>
      </c>
      <c r="C386" s="8" t="s">
        <v>262</v>
      </c>
      <c r="D386" s="8" t="s">
        <v>698</v>
      </c>
      <c r="E386" s="8" t="s">
        <v>737</v>
      </c>
      <c r="F386" s="9" t="n">
        <v>7</v>
      </c>
      <c r="G386" s="20" t="n">
        <v>12.66</v>
      </c>
      <c r="H386" s="20" t="n">
        <v>88.62</v>
      </c>
    </row>
    <row r="387" customFormat="false" ht="15" hidden="false" customHeight="false" outlineLevel="0" collapsed="false">
      <c r="A387" s="8" t="s">
        <v>1108</v>
      </c>
      <c r="B387" s="10" t="n">
        <v>46112</v>
      </c>
      <c r="C387" s="8" t="s">
        <v>52</v>
      </c>
      <c r="D387" s="8" t="s">
        <v>698</v>
      </c>
      <c r="E387" s="8" t="s">
        <v>699</v>
      </c>
      <c r="F387" s="9" t="n">
        <v>5</v>
      </c>
      <c r="G387" s="20" t="n">
        <v>13.94</v>
      </c>
      <c r="H387" s="20" t="n">
        <v>69.7</v>
      </c>
    </row>
    <row r="388" customFormat="false" ht="15" hidden="false" customHeight="false" outlineLevel="0" collapsed="false">
      <c r="A388" s="8" t="s">
        <v>1109</v>
      </c>
      <c r="B388" s="10" t="n">
        <v>46225</v>
      </c>
      <c r="C388" s="8" t="s">
        <v>166</v>
      </c>
      <c r="D388" s="8" t="s">
        <v>698</v>
      </c>
      <c r="E388" s="8" t="s">
        <v>729</v>
      </c>
      <c r="F388" s="9" t="n">
        <v>2</v>
      </c>
      <c r="G388" s="20" t="n">
        <v>157.15</v>
      </c>
      <c r="H388" s="20" t="n">
        <v>314.3</v>
      </c>
    </row>
    <row r="389" customFormat="false" ht="15" hidden="false" customHeight="false" outlineLevel="0" collapsed="false">
      <c r="A389" s="8" t="s">
        <v>1110</v>
      </c>
      <c r="B389" s="10" t="n">
        <v>46014</v>
      </c>
      <c r="C389" s="8" t="s">
        <v>52</v>
      </c>
      <c r="D389" s="8" t="s">
        <v>703</v>
      </c>
      <c r="E389" s="8" t="s">
        <v>720</v>
      </c>
      <c r="F389" s="9" t="n">
        <v>5</v>
      </c>
      <c r="G389" s="20" t="n">
        <v>34.24</v>
      </c>
      <c r="H389" s="20" t="n">
        <v>171.2</v>
      </c>
    </row>
    <row r="390" customFormat="false" ht="15" hidden="false" customHeight="false" outlineLevel="0" collapsed="false">
      <c r="A390" s="8" t="s">
        <v>1111</v>
      </c>
      <c r="B390" s="10" t="n">
        <v>46044</v>
      </c>
      <c r="C390" s="8" t="s">
        <v>214</v>
      </c>
      <c r="D390" s="8" t="s">
        <v>698</v>
      </c>
      <c r="E390" s="8" t="s">
        <v>701</v>
      </c>
      <c r="F390" s="9" t="n">
        <v>1</v>
      </c>
      <c r="G390" s="20" t="n">
        <v>19.05</v>
      </c>
      <c r="H390" s="20" t="n">
        <v>19.05</v>
      </c>
    </row>
    <row r="391" customFormat="false" ht="15" hidden="false" customHeight="false" outlineLevel="0" collapsed="false">
      <c r="A391" s="8" t="s">
        <v>1112</v>
      </c>
      <c r="B391" s="10" t="n">
        <v>45926</v>
      </c>
      <c r="C391" s="8" t="s">
        <v>390</v>
      </c>
      <c r="D391" s="8" t="s">
        <v>703</v>
      </c>
      <c r="E391" s="8" t="s">
        <v>785</v>
      </c>
      <c r="F391" s="9" t="n">
        <v>1</v>
      </c>
      <c r="G391" s="20" t="n">
        <v>23.37</v>
      </c>
      <c r="H391" s="20" t="n">
        <v>23.37</v>
      </c>
    </row>
    <row r="392" customFormat="false" ht="15" hidden="false" customHeight="false" outlineLevel="0" collapsed="false">
      <c r="A392" s="8" t="s">
        <v>1113</v>
      </c>
      <c r="B392" s="10" t="n">
        <v>45934</v>
      </c>
      <c r="C392" s="8" t="s">
        <v>69</v>
      </c>
      <c r="D392" s="8" t="s">
        <v>703</v>
      </c>
      <c r="E392" s="8" t="s">
        <v>734</v>
      </c>
      <c r="F392" s="9" t="n">
        <v>1</v>
      </c>
      <c r="G392" s="20" t="n">
        <v>38.96</v>
      </c>
      <c r="H392" s="20" t="n">
        <v>38.96</v>
      </c>
    </row>
    <row r="393" customFormat="false" ht="15" hidden="false" customHeight="false" outlineLevel="0" collapsed="false">
      <c r="A393" s="8" t="s">
        <v>1114</v>
      </c>
      <c r="B393" s="10" t="n">
        <v>46122</v>
      </c>
      <c r="C393" s="8" t="s">
        <v>390</v>
      </c>
      <c r="D393" s="8" t="s">
        <v>703</v>
      </c>
      <c r="E393" s="8" t="s">
        <v>785</v>
      </c>
      <c r="F393" s="9" t="n">
        <v>3</v>
      </c>
      <c r="G393" s="20" t="n">
        <v>25.93</v>
      </c>
      <c r="H393" s="20" t="n">
        <v>77.79</v>
      </c>
    </row>
    <row r="394" customFormat="false" ht="15" hidden="false" customHeight="false" outlineLevel="0" collapsed="false">
      <c r="A394" s="8" t="s">
        <v>1115</v>
      </c>
      <c r="B394" s="10" t="n">
        <v>46012</v>
      </c>
      <c r="C394" s="8" t="s">
        <v>69</v>
      </c>
      <c r="D394" s="8" t="s">
        <v>698</v>
      </c>
      <c r="E394" s="8" t="s">
        <v>713</v>
      </c>
      <c r="F394" s="9" t="n">
        <v>1</v>
      </c>
      <c r="G394" s="20" t="n">
        <v>17.23</v>
      </c>
      <c r="H394" s="20" t="n">
        <v>17.23</v>
      </c>
    </row>
    <row r="395" customFormat="false" ht="15" hidden="false" customHeight="false" outlineLevel="0" collapsed="false">
      <c r="A395" s="8" t="s">
        <v>1116</v>
      </c>
      <c r="B395" s="10" t="n">
        <v>46261</v>
      </c>
      <c r="C395" s="8" t="s">
        <v>69</v>
      </c>
      <c r="D395" s="8" t="s">
        <v>703</v>
      </c>
      <c r="E395" s="8" t="s">
        <v>734</v>
      </c>
      <c r="F395" s="9" t="n">
        <v>2</v>
      </c>
      <c r="G395" s="20" t="n">
        <v>40.51</v>
      </c>
      <c r="H395" s="20" t="n">
        <v>81.02</v>
      </c>
    </row>
    <row r="396" customFormat="false" ht="15" hidden="false" customHeight="false" outlineLevel="0" collapsed="false">
      <c r="A396" s="8" t="s">
        <v>1117</v>
      </c>
      <c r="B396" s="10" t="n">
        <v>46079</v>
      </c>
      <c r="C396" s="8" t="s">
        <v>154</v>
      </c>
      <c r="D396" s="8" t="s">
        <v>698</v>
      </c>
      <c r="E396" s="8" t="s">
        <v>750</v>
      </c>
      <c r="F396" s="9" t="n">
        <v>3</v>
      </c>
      <c r="G396" s="20" t="n">
        <v>25.68</v>
      </c>
      <c r="H396" s="20" t="n">
        <v>77.04</v>
      </c>
    </row>
    <row r="397" customFormat="false" ht="15" hidden="false" customHeight="false" outlineLevel="0" collapsed="false">
      <c r="A397" s="8" t="s">
        <v>1118</v>
      </c>
      <c r="B397" s="10" t="n">
        <v>46174</v>
      </c>
      <c r="C397" s="8" t="s">
        <v>115</v>
      </c>
      <c r="D397" s="8" t="s">
        <v>698</v>
      </c>
      <c r="E397" s="8" t="s">
        <v>821</v>
      </c>
      <c r="F397" s="9" t="n">
        <v>5</v>
      </c>
      <c r="G397" s="20" t="n">
        <v>47.06</v>
      </c>
      <c r="H397" s="20" t="n">
        <v>235.3</v>
      </c>
    </row>
    <row r="398" customFormat="false" ht="15" hidden="false" customHeight="false" outlineLevel="0" collapsed="false">
      <c r="A398" s="8" t="s">
        <v>1119</v>
      </c>
      <c r="B398" s="10" t="n">
        <v>46178</v>
      </c>
      <c r="C398" s="8" t="s">
        <v>69</v>
      </c>
      <c r="D398" s="8" t="s">
        <v>703</v>
      </c>
      <c r="E398" s="8" t="s">
        <v>734</v>
      </c>
      <c r="F398" s="9" t="n">
        <v>3</v>
      </c>
      <c r="G398" s="20" t="n">
        <v>37.24</v>
      </c>
      <c r="H398" s="20" t="n">
        <v>111.72</v>
      </c>
    </row>
    <row r="399" customFormat="false" ht="15" hidden="false" customHeight="false" outlineLevel="0" collapsed="false">
      <c r="A399" s="8" t="s">
        <v>1120</v>
      </c>
      <c r="B399" s="10" t="n">
        <v>46087</v>
      </c>
      <c r="C399" s="8" t="s">
        <v>145</v>
      </c>
      <c r="D399" s="8" t="s">
        <v>698</v>
      </c>
      <c r="E399" s="8" t="s">
        <v>754</v>
      </c>
      <c r="F399" s="9" t="n">
        <v>1</v>
      </c>
      <c r="G399" s="20" t="n">
        <v>92.66</v>
      </c>
      <c r="H399" s="20" t="n">
        <v>92.66</v>
      </c>
    </row>
    <row r="400" customFormat="false" ht="15" hidden="false" customHeight="false" outlineLevel="0" collapsed="false">
      <c r="A400" s="8" t="s">
        <v>1121</v>
      </c>
      <c r="B400" s="10" t="n">
        <v>46161</v>
      </c>
      <c r="C400" s="8" t="s">
        <v>650</v>
      </c>
      <c r="D400" s="8" t="s">
        <v>698</v>
      </c>
      <c r="E400" s="8" t="s">
        <v>800</v>
      </c>
      <c r="F400" s="9" t="n">
        <v>4</v>
      </c>
      <c r="G400" s="20" t="n">
        <v>27.43</v>
      </c>
      <c r="H400" s="20" t="n">
        <v>109.72</v>
      </c>
    </row>
    <row r="401" customFormat="false" ht="15" hidden="false" customHeight="false" outlineLevel="0" collapsed="false">
      <c r="A401" s="8" t="s">
        <v>1122</v>
      </c>
      <c r="B401" s="10" t="n">
        <v>46066</v>
      </c>
      <c r="C401" s="8" t="s">
        <v>394</v>
      </c>
      <c r="D401" s="8" t="s">
        <v>703</v>
      </c>
      <c r="E401" s="8" t="s">
        <v>1123</v>
      </c>
      <c r="F401" s="9" t="n">
        <v>6</v>
      </c>
      <c r="G401" s="20" t="n">
        <v>60.32</v>
      </c>
      <c r="H401" s="20" t="n">
        <v>361.92</v>
      </c>
    </row>
    <row r="402" customFormat="false" ht="15" hidden="false" customHeight="false" outlineLevel="0" collapsed="false">
      <c r="A402" s="8" t="s">
        <v>1124</v>
      </c>
      <c r="B402" s="10" t="n">
        <v>46097</v>
      </c>
      <c r="C402" s="8" t="s">
        <v>154</v>
      </c>
      <c r="D402" s="8" t="s">
        <v>703</v>
      </c>
      <c r="E402" s="8" t="s">
        <v>778</v>
      </c>
      <c r="F402" s="9" t="n">
        <v>7</v>
      </c>
      <c r="G402" s="20" t="n">
        <v>57.8</v>
      </c>
      <c r="H402" s="20" t="n">
        <v>404.6</v>
      </c>
    </row>
    <row r="403" customFormat="false" ht="15" hidden="false" customHeight="false" outlineLevel="0" collapsed="false">
      <c r="A403" s="8" t="s">
        <v>1125</v>
      </c>
      <c r="B403" s="10" t="n">
        <v>45963</v>
      </c>
      <c r="C403" s="8" t="s">
        <v>214</v>
      </c>
      <c r="D403" s="8" t="s">
        <v>703</v>
      </c>
      <c r="E403" s="8" t="s">
        <v>715</v>
      </c>
      <c r="F403" s="9" t="n">
        <v>1</v>
      </c>
      <c r="G403" s="20" t="n">
        <v>42.84</v>
      </c>
      <c r="H403" s="20" t="n">
        <v>42.84</v>
      </c>
    </row>
    <row r="404" customFormat="false" ht="15" hidden="false" customHeight="false" outlineLevel="0" collapsed="false">
      <c r="A404" s="8" t="s">
        <v>1126</v>
      </c>
      <c r="B404" s="10" t="n">
        <v>46203</v>
      </c>
      <c r="C404" s="8" t="s">
        <v>214</v>
      </c>
      <c r="D404" s="8" t="s">
        <v>703</v>
      </c>
      <c r="E404" s="8" t="s">
        <v>715</v>
      </c>
      <c r="F404" s="9" t="n">
        <v>3</v>
      </c>
      <c r="G404" s="20" t="n">
        <v>47.63</v>
      </c>
      <c r="H404" s="20" t="n">
        <v>142.89</v>
      </c>
    </row>
    <row r="405" customFormat="false" ht="15" hidden="false" customHeight="false" outlineLevel="0" collapsed="false">
      <c r="A405" s="8" t="s">
        <v>1127</v>
      </c>
      <c r="B405" s="10" t="n">
        <v>46155</v>
      </c>
      <c r="C405" s="8" t="s">
        <v>52</v>
      </c>
      <c r="D405" s="8" t="s">
        <v>698</v>
      </c>
      <c r="E405" s="8" t="s">
        <v>699</v>
      </c>
      <c r="F405" s="9" t="n">
        <v>5</v>
      </c>
      <c r="G405" s="20" t="n">
        <v>15.25</v>
      </c>
      <c r="H405" s="20" t="n">
        <v>76.25</v>
      </c>
    </row>
    <row r="406" customFormat="false" ht="15" hidden="false" customHeight="false" outlineLevel="0" collapsed="false">
      <c r="A406" s="8" t="s">
        <v>1128</v>
      </c>
      <c r="B406" s="10" t="n">
        <v>46043</v>
      </c>
      <c r="C406" s="8" t="s">
        <v>277</v>
      </c>
      <c r="D406" s="8" t="s">
        <v>698</v>
      </c>
      <c r="E406" s="8" t="s">
        <v>710</v>
      </c>
      <c r="F406" s="9" t="n">
        <v>3</v>
      </c>
      <c r="G406" s="20" t="n">
        <v>59.59</v>
      </c>
      <c r="H406" s="20" t="n">
        <v>178.77</v>
      </c>
    </row>
    <row r="407" customFormat="false" ht="15" hidden="false" customHeight="false" outlineLevel="0" collapsed="false">
      <c r="A407" s="8" t="s">
        <v>1129</v>
      </c>
      <c r="B407" s="10" t="n">
        <v>46138</v>
      </c>
      <c r="C407" s="8" t="s">
        <v>646</v>
      </c>
      <c r="D407" s="8" t="s">
        <v>698</v>
      </c>
      <c r="E407" s="8" t="s">
        <v>782</v>
      </c>
      <c r="F407" s="9" t="n">
        <v>1</v>
      </c>
      <c r="G407" s="20" t="n">
        <v>72.42</v>
      </c>
      <c r="H407" s="20" t="n">
        <v>72.42</v>
      </c>
    </row>
    <row r="408" customFormat="false" ht="15" hidden="false" customHeight="false" outlineLevel="0" collapsed="false">
      <c r="A408" s="8" t="s">
        <v>1130</v>
      </c>
      <c r="B408" s="10" t="n">
        <v>46244</v>
      </c>
      <c r="C408" s="8" t="s">
        <v>214</v>
      </c>
      <c r="D408" s="8" t="s">
        <v>698</v>
      </c>
      <c r="E408" s="8" t="s">
        <v>701</v>
      </c>
      <c r="F408" s="9" t="n">
        <v>5</v>
      </c>
      <c r="G408" s="20" t="n">
        <v>19.34</v>
      </c>
      <c r="H408" s="20" t="n">
        <v>96.7</v>
      </c>
    </row>
    <row r="409" customFormat="false" ht="15" hidden="false" customHeight="false" outlineLevel="0" collapsed="false">
      <c r="A409" s="8" t="s">
        <v>1131</v>
      </c>
      <c r="B409" s="10" t="n">
        <v>45991</v>
      </c>
      <c r="C409" s="8" t="s">
        <v>277</v>
      </c>
      <c r="D409" s="8" t="s">
        <v>698</v>
      </c>
      <c r="E409" s="8" t="s">
        <v>710</v>
      </c>
      <c r="F409" s="9" t="n">
        <v>1</v>
      </c>
      <c r="G409" s="20" t="n">
        <v>61.57</v>
      </c>
      <c r="H409" s="20" t="n">
        <v>61.57</v>
      </c>
    </row>
    <row r="410" customFormat="false" ht="15" hidden="false" customHeight="false" outlineLevel="0" collapsed="false">
      <c r="A410" s="8" t="s">
        <v>1132</v>
      </c>
      <c r="B410" s="10" t="n">
        <v>45966</v>
      </c>
      <c r="C410" s="8" t="s">
        <v>650</v>
      </c>
      <c r="D410" s="8" t="s">
        <v>698</v>
      </c>
      <c r="E410" s="8" t="s">
        <v>800</v>
      </c>
      <c r="F410" s="9" t="n">
        <v>2</v>
      </c>
      <c r="G410" s="20" t="n">
        <v>26.01</v>
      </c>
      <c r="H410" s="20" t="n">
        <v>52.02</v>
      </c>
    </row>
    <row r="411" customFormat="false" ht="15" hidden="false" customHeight="false" outlineLevel="0" collapsed="false">
      <c r="A411" s="8" t="s">
        <v>1133</v>
      </c>
      <c r="B411" s="10" t="n">
        <v>46035</v>
      </c>
      <c r="C411" s="8" t="s">
        <v>52</v>
      </c>
      <c r="D411" s="8" t="s">
        <v>703</v>
      </c>
      <c r="E411" s="8" t="s">
        <v>720</v>
      </c>
      <c r="F411" s="9" t="n">
        <v>3</v>
      </c>
      <c r="G411" s="20" t="n">
        <v>34.3</v>
      </c>
      <c r="H411" s="20" t="n">
        <v>102.9</v>
      </c>
    </row>
    <row r="412" customFormat="false" ht="15" hidden="false" customHeight="false" outlineLevel="0" collapsed="false">
      <c r="A412" s="8" t="s">
        <v>1134</v>
      </c>
      <c r="B412" s="10" t="n">
        <v>46075</v>
      </c>
      <c r="C412" s="8" t="s">
        <v>52</v>
      </c>
      <c r="D412" s="8" t="s">
        <v>698</v>
      </c>
      <c r="E412" s="8" t="s">
        <v>699</v>
      </c>
      <c r="F412" s="9" t="n">
        <v>2</v>
      </c>
      <c r="G412" s="20" t="n">
        <v>15</v>
      </c>
      <c r="H412" s="20" t="n">
        <v>30</v>
      </c>
    </row>
    <row r="413" customFormat="false" ht="15" hidden="false" customHeight="false" outlineLevel="0" collapsed="false">
      <c r="A413" s="8" t="s">
        <v>1135</v>
      </c>
      <c r="B413" s="10" t="n">
        <v>46253</v>
      </c>
      <c r="C413" s="8" t="s">
        <v>214</v>
      </c>
      <c r="D413" s="8" t="s">
        <v>698</v>
      </c>
      <c r="E413" s="8" t="s">
        <v>701</v>
      </c>
      <c r="F413" s="9" t="n">
        <v>2</v>
      </c>
      <c r="G413" s="20" t="n">
        <v>20.39</v>
      </c>
      <c r="H413" s="20" t="n">
        <v>40.78</v>
      </c>
    </row>
    <row r="414" customFormat="false" ht="15" hidden="false" customHeight="false" outlineLevel="0" collapsed="false">
      <c r="A414" s="8" t="s">
        <v>1136</v>
      </c>
      <c r="B414" s="10" t="n">
        <v>46248</v>
      </c>
      <c r="C414" s="8" t="s">
        <v>277</v>
      </c>
      <c r="D414" s="8" t="s">
        <v>698</v>
      </c>
      <c r="E414" s="8" t="s">
        <v>710</v>
      </c>
      <c r="F414" s="9" t="n">
        <v>4</v>
      </c>
      <c r="G414" s="20" t="n">
        <v>62.02</v>
      </c>
      <c r="H414" s="20" t="n">
        <v>248.08</v>
      </c>
    </row>
    <row r="415" customFormat="false" ht="15" hidden="false" customHeight="false" outlineLevel="0" collapsed="false">
      <c r="A415" s="8" t="s">
        <v>1137</v>
      </c>
      <c r="B415" s="10" t="n">
        <v>45907</v>
      </c>
      <c r="C415" s="8" t="s">
        <v>390</v>
      </c>
      <c r="D415" s="8" t="s">
        <v>698</v>
      </c>
      <c r="E415" s="8" t="s">
        <v>708</v>
      </c>
      <c r="F415" s="9" t="n">
        <v>1</v>
      </c>
      <c r="G415" s="20" t="n">
        <v>10.7</v>
      </c>
      <c r="H415" s="20" t="n">
        <v>10.7</v>
      </c>
    </row>
    <row r="416" customFormat="false" ht="15" hidden="false" customHeight="false" outlineLevel="0" collapsed="false">
      <c r="A416" s="8" t="s">
        <v>1138</v>
      </c>
      <c r="B416" s="10" t="n">
        <v>46217</v>
      </c>
      <c r="C416" s="8" t="s">
        <v>214</v>
      </c>
      <c r="D416" s="8" t="s">
        <v>698</v>
      </c>
      <c r="E416" s="8" t="s">
        <v>701</v>
      </c>
      <c r="F416" s="9" t="n">
        <v>5</v>
      </c>
      <c r="G416" s="20" t="n">
        <v>18.7</v>
      </c>
      <c r="H416" s="20" t="n">
        <v>93.5</v>
      </c>
    </row>
    <row r="417" customFormat="false" ht="15" hidden="false" customHeight="false" outlineLevel="0" collapsed="false">
      <c r="A417" s="8" t="s">
        <v>1139</v>
      </c>
      <c r="B417" s="10" t="n">
        <v>46126</v>
      </c>
      <c r="C417" s="8" t="s">
        <v>69</v>
      </c>
      <c r="D417" s="8" t="s">
        <v>698</v>
      </c>
      <c r="E417" s="8" t="s">
        <v>713</v>
      </c>
      <c r="F417" s="9" t="n">
        <v>1</v>
      </c>
      <c r="G417" s="20" t="n">
        <v>17.55</v>
      </c>
      <c r="H417" s="20" t="n">
        <v>17.55</v>
      </c>
    </row>
    <row r="418" customFormat="false" ht="15" hidden="false" customHeight="false" outlineLevel="0" collapsed="false">
      <c r="A418" s="8" t="s">
        <v>1140</v>
      </c>
      <c r="B418" s="10" t="n">
        <v>45931</v>
      </c>
      <c r="C418" s="8" t="s">
        <v>214</v>
      </c>
      <c r="D418" s="8" t="s">
        <v>703</v>
      </c>
      <c r="E418" s="8" t="s">
        <v>715</v>
      </c>
      <c r="F418" s="9" t="n">
        <v>1</v>
      </c>
      <c r="G418" s="20" t="n">
        <v>43.97</v>
      </c>
      <c r="H418" s="20" t="n">
        <v>43.97</v>
      </c>
    </row>
    <row r="419" customFormat="false" ht="15" hidden="false" customHeight="false" outlineLevel="0" collapsed="false">
      <c r="A419" s="8" t="s">
        <v>1141</v>
      </c>
      <c r="B419" s="10" t="n">
        <v>45916</v>
      </c>
      <c r="C419" s="8" t="s">
        <v>394</v>
      </c>
      <c r="D419" s="8" t="s">
        <v>698</v>
      </c>
      <c r="E419" s="8" t="s">
        <v>776</v>
      </c>
      <c r="F419" s="9" t="n">
        <v>3</v>
      </c>
      <c r="G419" s="20" t="n">
        <v>21.76</v>
      </c>
      <c r="H419" s="20" t="n">
        <v>65.28</v>
      </c>
    </row>
    <row r="420" customFormat="false" ht="15" hidden="false" customHeight="false" outlineLevel="0" collapsed="false">
      <c r="A420" s="8" t="s">
        <v>1142</v>
      </c>
      <c r="B420" s="10" t="n">
        <v>46165</v>
      </c>
      <c r="C420" s="8" t="s">
        <v>52</v>
      </c>
      <c r="D420" s="8" t="s">
        <v>698</v>
      </c>
      <c r="E420" s="8" t="s">
        <v>699</v>
      </c>
      <c r="F420" s="9" t="n">
        <v>1</v>
      </c>
      <c r="G420" s="20" t="n">
        <v>13.89</v>
      </c>
      <c r="H420" s="20" t="n">
        <v>13.89</v>
      </c>
    </row>
    <row r="421" customFormat="false" ht="15" hidden="false" customHeight="false" outlineLevel="0" collapsed="false">
      <c r="A421" s="8" t="s">
        <v>1143</v>
      </c>
      <c r="B421" s="10" t="n">
        <v>45973</v>
      </c>
      <c r="C421" s="8" t="s">
        <v>390</v>
      </c>
      <c r="D421" s="8" t="s">
        <v>703</v>
      </c>
      <c r="E421" s="8" t="s">
        <v>785</v>
      </c>
      <c r="F421" s="9" t="n">
        <v>5</v>
      </c>
      <c r="G421" s="20" t="n">
        <v>26.45</v>
      </c>
      <c r="H421" s="20" t="n">
        <v>132.25</v>
      </c>
    </row>
    <row r="422" customFormat="false" ht="15" hidden="false" customHeight="false" outlineLevel="0" collapsed="false">
      <c r="A422" s="8" t="s">
        <v>1144</v>
      </c>
      <c r="B422" s="10" t="n">
        <v>46244</v>
      </c>
      <c r="C422" s="8" t="s">
        <v>115</v>
      </c>
      <c r="D422" s="8" t="s">
        <v>698</v>
      </c>
      <c r="E422" s="8" t="s">
        <v>821</v>
      </c>
      <c r="F422" s="9" t="n">
        <v>3</v>
      </c>
      <c r="G422" s="20" t="n">
        <v>44.73</v>
      </c>
      <c r="H422" s="20" t="n">
        <v>134.19</v>
      </c>
    </row>
    <row r="423" customFormat="false" ht="15" hidden="false" customHeight="false" outlineLevel="0" collapsed="false">
      <c r="A423" s="8" t="s">
        <v>1145</v>
      </c>
      <c r="B423" s="10" t="n">
        <v>46229</v>
      </c>
      <c r="C423" s="8" t="s">
        <v>52</v>
      </c>
      <c r="D423" s="8" t="s">
        <v>703</v>
      </c>
      <c r="E423" s="8" t="s">
        <v>720</v>
      </c>
      <c r="F423" s="9" t="n">
        <v>6</v>
      </c>
      <c r="G423" s="20" t="n">
        <v>36.1</v>
      </c>
      <c r="H423" s="20" t="n">
        <v>216.6</v>
      </c>
    </row>
    <row r="424" customFormat="false" ht="15" hidden="false" customHeight="false" outlineLevel="0" collapsed="false">
      <c r="A424" s="8" t="s">
        <v>1146</v>
      </c>
      <c r="B424" s="10" t="n">
        <v>46014</v>
      </c>
      <c r="C424" s="8" t="s">
        <v>277</v>
      </c>
      <c r="D424" s="8" t="s">
        <v>698</v>
      </c>
      <c r="E424" s="8" t="s">
        <v>710</v>
      </c>
      <c r="F424" s="9" t="n">
        <v>6</v>
      </c>
      <c r="G424" s="20" t="n">
        <v>62.2</v>
      </c>
      <c r="H424" s="20" t="n">
        <v>373.2</v>
      </c>
    </row>
    <row r="425" customFormat="false" ht="15" hidden="false" customHeight="false" outlineLevel="0" collapsed="false">
      <c r="A425" s="8" t="s">
        <v>1147</v>
      </c>
      <c r="B425" s="10" t="n">
        <v>46132</v>
      </c>
      <c r="C425" s="8" t="s">
        <v>394</v>
      </c>
      <c r="D425" s="8" t="s">
        <v>698</v>
      </c>
      <c r="E425" s="8" t="s">
        <v>776</v>
      </c>
      <c r="F425" s="9" t="n">
        <v>1</v>
      </c>
      <c r="G425" s="20" t="n">
        <v>23.36</v>
      </c>
      <c r="H425" s="20" t="n">
        <v>23.36</v>
      </c>
    </row>
    <row r="426" customFormat="false" ht="15" hidden="false" customHeight="false" outlineLevel="0" collapsed="false">
      <c r="A426" s="8" t="s">
        <v>1148</v>
      </c>
      <c r="B426" s="10" t="n">
        <v>46181</v>
      </c>
      <c r="C426" s="8" t="s">
        <v>52</v>
      </c>
      <c r="D426" s="8" t="s">
        <v>698</v>
      </c>
      <c r="E426" s="8" t="s">
        <v>699</v>
      </c>
      <c r="F426" s="9" t="n">
        <v>5</v>
      </c>
      <c r="G426" s="20" t="n">
        <v>15.39</v>
      </c>
      <c r="H426" s="20" t="n">
        <v>76.95</v>
      </c>
    </row>
    <row r="427" customFormat="false" ht="15" hidden="false" customHeight="false" outlineLevel="0" collapsed="false">
      <c r="A427" s="8" t="s">
        <v>1149</v>
      </c>
      <c r="B427" s="10" t="n">
        <v>46255</v>
      </c>
      <c r="C427" s="8" t="s">
        <v>323</v>
      </c>
      <c r="D427" s="8" t="s">
        <v>698</v>
      </c>
      <c r="E427" s="8" t="s">
        <v>804</v>
      </c>
      <c r="F427" s="9" t="n">
        <v>3</v>
      </c>
      <c r="G427" s="20" t="n">
        <v>94.85</v>
      </c>
      <c r="H427" s="20" t="n">
        <v>284.55</v>
      </c>
    </row>
    <row r="428" customFormat="false" ht="15" hidden="false" customHeight="false" outlineLevel="0" collapsed="false">
      <c r="A428" s="8" t="s">
        <v>1150</v>
      </c>
      <c r="B428" s="10" t="n">
        <v>46044</v>
      </c>
      <c r="C428" s="8" t="s">
        <v>145</v>
      </c>
      <c r="D428" s="8" t="s">
        <v>698</v>
      </c>
      <c r="E428" s="8" t="s">
        <v>754</v>
      </c>
      <c r="F428" s="9" t="n">
        <v>1</v>
      </c>
      <c r="G428" s="20" t="n">
        <v>85.87</v>
      </c>
      <c r="H428" s="20" t="n">
        <v>85.87</v>
      </c>
    </row>
    <row r="429" customFormat="false" ht="15" hidden="false" customHeight="false" outlineLevel="0" collapsed="false">
      <c r="A429" s="8" t="s">
        <v>1151</v>
      </c>
      <c r="B429" s="10" t="n">
        <v>46061</v>
      </c>
      <c r="C429" s="8" t="s">
        <v>69</v>
      </c>
      <c r="D429" s="8" t="s">
        <v>698</v>
      </c>
      <c r="E429" s="8" t="s">
        <v>713</v>
      </c>
      <c r="F429" s="9" t="n">
        <v>2</v>
      </c>
      <c r="G429" s="20" t="n">
        <v>18.16</v>
      </c>
      <c r="H429" s="20" t="n">
        <v>36.32</v>
      </c>
    </row>
    <row r="430" customFormat="false" ht="15" hidden="false" customHeight="false" outlineLevel="0" collapsed="false">
      <c r="A430" s="8" t="s">
        <v>1152</v>
      </c>
      <c r="B430" s="10" t="n">
        <v>46043</v>
      </c>
      <c r="C430" s="8" t="s">
        <v>390</v>
      </c>
      <c r="D430" s="8" t="s">
        <v>698</v>
      </c>
      <c r="E430" s="8" t="s">
        <v>708</v>
      </c>
      <c r="F430" s="9" t="n">
        <v>5</v>
      </c>
      <c r="G430" s="20" t="n">
        <v>9.57</v>
      </c>
      <c r="H430" s="20" t="n">
        <v>47.85</v>
      </c>
    </row>
    <row r="431" customFormat="false" ht="15" hidden="false" customHeight="false" outlineLevel="0" collapsed="false">
      <c r="A431" s="8" t="s">
        <v>1153</v>
      </c>
      <c r="B431" s="10" t="n">
        <v>45969</v>
      </c>
      <c r="C431" s="8" t="s">
        <v>154</v>
      </c>
      <c r="D431" s="8" t="s">
        <v>703</v>
      </c>
      <c r="E431" s="8" t="s">
        <v>778</v>
      </c>
      <c r="F431" s="9" t="n">
        <v>3</v>
      </c>
      <c r="G431" s="20" t="n">
        <v>54.9</v>
      </c>
      <c r="H431" s="20" t="n">
        <v>164.7</v>
      </c>
    </row>
    <row r="432" customFormat="false" ht="15" hidden="false" customHeight="false" outlineLevel="0" collapsed="false">
      <c r="A432" s="8" t="s">
        <v>1154</v>
      </c>
      <c r="B432" s="10" t="n">
        <v>46142</v>
      </c>
      <c r="C432" s="8" t="s">
        <v>390</v>
      </c>
      <c r="D432" s="8" t="s">
        <v>698</v>
      </c>
      <c r="E432" s="8" t="s">
        <v>708</v>
      </c>
      <c r="F432" s="9" t="n">
        <v>4</v>
      </c>
      <c r="G432" s="20" t="n">
        <v>10.24</v>
      </c>
      <c r="H432" s="20" t="n">
        <v>40.96</v>
      </c>
    </row>
    <row r="433" customFormat="false" ht="15" hidden="false" customHeight="false" outlineLevel="0" collapsed="false">
      <c r="A433" s="8" t="s">
        <v>1155</v>
      </c>
      <c r="B433" s="10" t="n">
        <v>46262</v>
      </c>
      <c r="C433" s="8" t="s">
        <v>52</v>
      </c>
      <c r="D433" s="8" t="s">
        <v>698</v>
      </c>
      <c r="E433" s="8" t="s">
        <v>699</v>
      </c>
      <c r="F433" s="9" t="n">
        <v>7</v>
      </c>
      <c r="G433" s="20" t="n">
        <v>15.37</v>
      </c>
      <c r="H433" s="20" t="n">
        <v>107.59</v>
      </c>
    </row>
    <row r="434" customFormat="false" ht="15" hidden="false" customHeight="false" outlineLevel="0" collapsed="false">
      <c r="A434" s="8" t="s">
        <v>1156</v>
      </c>
      <c r="B434" s="10" t="n">
        <v>46207</v>
      </c>
      <c r="C434" s="8" t="s">
        <v>166</v>
      </c>
      <c r="D434" s="8" t="s">
        <v>703</v>
      </c>
      <c r="E434" s="8" t="s">
        <v>774</v>
      </c>
      <c r="F434" s="9" t="n">
        <v>7</v>
      </c>
      <c r="G434" s="20" t="n">
        <v>365.35</v>
      </c>
      <c r="H434" s="20" t="n">
        <v>2557.45</v>
      </c>
    </row>
    <row r="435" customFormat="false" ht="15" hidden="false" customHeight="false" outlineLevel="0" collapsed="false">
      <c r="A435" s="8" t="s">
        <v>1157</v>
      </c>
      <c r="B435" s="10" t="n">
        <v>46244</v>
      </c>
      <c r="C435" s="8" t="s">
        <v>650</v>
      </c>
      <c r="D435" s="8" t="s">
        <v>703</v>
      </c>
      <c r="E435" s="8" t="s">
        <v>858</v>
      </c>
      <c r="F435" s="9" t="n">
        <v>1</v>
      </c>
      <c r="G435" s="20" t="n">
        <v>61.55</v>
      </c>
      <c r="H435" s="20" t="n">
        <v>61.55</v>
      </c>
    </row>
    <row r="436" customFormat="false" ht="15" hidden="false" customHeight="false" outlineLevel="0" collapsed="false">
      <c r="A436" s="8" t="s">
        <v>1158</v>
      </c>
      <c r="B436" s="10" t="n">
        <v>46059</v>
      </c>
      <c r="C436" s="8" t="s">
        <v>145</v>
      </c>
      <c r="D436" s="8" t="s">
        <v>698</v>
      </c>
      <c r="E436" s="8" t="s">
        <v>754</v>
      </c>
      <c r="F436" s="9" t="n">
        <v>4</v>
      </c>
      <c r="G436" s="20" t="n">
        <v>83.16</v>
      </c>
      <c r="H436" s="20" t="n">
        <v>332.64</v>
      </c>
    </row>
    <row r="437" customFormat="false" ht="15" hidden="false" customHeight="false" outlineLevel="0" collapsed="false">
      <c r="A437" s="8" t="s">
        <v>1159</v>
      </c>
      <c r="B437" s="10" t="n">
        <v>45987</v>
      </c>
      <c r="C437" s="8" t="s">
        <v>214</v>
      </c>
      <c r="D437" s="8" t="s">
        <v>698</v>
      </c>
      <c r="E437" s="8" t="s">
        <v>701</v>
      </c>
      <c r="F437" s="9" t="n">
        <v>1</v>
      </c>
      <c r="G437" s="20" t="n">
        <v>18.57</v>
      </c>
      <c r="H437" s="20" t="n">
        <v>18.57</v>
      </c>
    </row>
    <row r="438" customFormat="false" ht="15" hidden="false" customHeight="false" outlineLevel="0" collapsed="false">
      <c r="A438" s="8" t="s">
        <v>1160</v>
      </c>
      <c r="B438" s="10" t="n">
        <v>46072</v>
      </c>
      <c r="C438" s="8" t="s">
        <v>145</v>
      </c>
      <c r="D438" s="8" t="s">
        <v>698</v>
      </c>
      <c r="E438" s="8" t="s">
        <v>754</v>
      </c>
      <c r="F438" s="9" t="n">
        <v>1</v>
      </c>
      <c r="G438" s="20" t="n">
        <v>96.52</v>
      </c>
      <c r="H438" s="20" t="n">
        <v>96.52</v>
      </c>
    </row>
    <row r="439" customFormat="false" ht="15" hidden="false" customHeight="false" outlineLevel="0" collapsed="false">
      <c r="A439" s="8" t="s">
        <v>1161</v>
      </c>
      <c r="B439" s="10" t="n">
        <v>46139</v>
      </c>
      <c r="C439" s="8" t="s">
        <v>52</v>
      </c>
      <c r="D439" s="8" t="s">
        <v>698</v>
      </c>
      <c r="E439" s="8" t="s">
        <v>699</v>
      </c>
      <c r="F439" s="9" t="n">
        <v>5</v>
      </c>
      <c r="G439" s="20" t="n">
        <v>14.91</v>
      </c>
      <c r="H439" s="20" t="n">
        <v>74.55</v>
      </c>
    </row>
    <row r="440" customFormat="false" ht="15" hidden="false" customHeight="false" outlineLevel="0" collapsed="false">
      <c r="A440" s="8" t="s">
        <v>1162</v>
      </c>
      <c r="B440" s="10" t="n">
        <v>46103</v>
      </c>
      <c r="C440" s="8" t="s">
        <v>214</v>
      </c>
      <c r="D440" s="8" t="s">
        <v>698</v>
      </c>
      <c r="E440" s="8" t="s">
        <v>701</v>
      </c>
      <c r="F440" s="9" t="n">
        <v>4</v>
      </c>
      <c r="G440" s="20" t="n">
        <v>19.32</v>
      </c>
      <c r="H440" s="20" t="n">
        <v>77.28</v>
      </c>
    </row>
    <row r="441" customFormat="false" ht="15" hidden="false" customHeight="false" outlineLevel="0" collapsed="false">
      <c r="A441" s="8" t="s">
        <v>1163</v>
      </c>
      <c r="B441" s="10" t="n">
        <v>46044</v>
      </c>
      <c r="C441" s="8" t="s">
        <v>52</v>
      </c>
      <c r="D441" s="8" t="s">
        <v>698</v>
      </c>
      <c r="E441" s="8" t="s">
        <v>699</v>
      </c>
      <c r="F441" s="9" t="n">
        <v>5</v>
      </c>
      <c r="G441" s="20" t="n">
        <v>14.42</v>
      </c>
      <c r="H441" s="20" t="n">
        <v>72.1</v>
      </c>
    </row>
    <row r="442" customFormat="false" ht="15" hidden="false" customHeight="false" outlineLevel="0" collapsed="false">
      <c r="A442" s="8" t="s">
        <v>1164</v>
      </c>
      <c r="B442" s="10" t="n">
        <v>46251</v>
      </c>
      <c r="C442" s="8" t="s">
        <v>52</v>
      </c>
      <c r="D442" s="8" t="s">
        <v>703</v>
      </c>
      <c r="E442" s="8" t="s">
        <v>720</v>
      </c>
      <c r="F442" s="9" t="n">
        <v>6</v>
      </c>
      <c r="G442" s="20" t="n">
        <v>34.23</v>
      </c>
      <c r="H442" s="20" t="n">
        <v>205.38</v>
      </c>
    </row>
    <row r="443" customFormat="false" ht="15" hidden="false" customHeight="false" outlineLevel="0" collapsed="false">
      <c r="A443" s="8" t="s">
        <v>1165</v>
      </c>
      <c r="B443" s="10" t="n">
        <v>45956</v>
      </c>
      <c r="C443" s="8" t="s">
        <v>52</v>
      </c>
      <c r="D443" s="8" t="s">
        <v>698</v>
      </c>
      <c r="E443" s="8" t="s">
        <v>699</v>
      </c>
      <c r="F443" s="9" t="n">
        <v>1</v>
      </c>
      <c r="G443" s="20" t="n">
        <v>15.84</v>
      </c>
      <c r="H443" s="20" t="n">
        <v>15.84</v>
      </c>
    </row>
    <row r="444" customFormat="false" ht="15" hidden="false" customHeight="false" outlineLevel="0" collapsed="false">
      <c r="A444" s="8" t="s">
        <v>1166</v>
      </c>
      <c r="B444" s="10" t="n">
        <v>46256</v>
      </c>
      <c r="C444" s="8" t="s">
        <v>214</v>
      </c>
      <c r="D444" s="8" t="s">
        <v>703</v>
      </c>
      <c r="E444" s="8" t="s">
        <v>715</v>
      </c>
      <c r="F444" s="9" t="n">
        <v>1</v>
      </c>
      <c r="G444" s="20" t="n">
        <v>41.94</v>
      </c>
      <c r="H444" s="20" t="n">
        <v>41.94</v>
      </c>
    </row>
    <row r="445" customFormat="false" ht="15" hidden="false" customHeight="false" outlineLevel="0" collapsed="false">
      <c r="A445" s="8" t="s">
        <v>1167</v>
      </c>
      <c r="B445" s="10" t="n">
        <v>45983</v>
      </c>
      <c r="C445" s="8" t="s">
        <v>390</v>
      </c>
      <c r="D445" s="8" t="s">
        <v>703</v>
      </c>
      <c r="E445" s="8" t="s">
        <v>785</v>
      </c>
      <c r="F445" s="9" t="n">
        <v>1</v>
      </c>
      <c r="G445" s="20" t="n">
        <v>26.2</v>
      </c>
      <c r="H445" s="20" t="n">
        <v>26.2</v>
      </c>
    </row>
    <row r="446" customFormat="false" ht="15" hidden="false" customHeight="false" outlineLevel="0" collapsed="false">
      <c r="A446" s="8" t="s">
        <v>1168</v>
      </c>
      <c r="B446" s="10" t="n">
        <v>46114</v>
      </c>
      <c r="C446" s="8" t="s">
        <v>115</v>
      </c>
      <c r="D446" s="8" t="s">
        <v>698</v>
      </c>
      <c r="E446" s="8" t="s">
        <v>821</v>
      </c>
      <c r="F446" s="9" t="n">
        <v>8</v>
      </c>
      <c r="G446" s="20" t="n">
        <v>47.35</v>
      </c>
      <c r="H446" s="20" t="n">
        <v>378.8</v>
      </c>
    </row>
    <row r="447" customFormat="false" ht="15" hidden="false" customHeight="false" outlineLevel="0" collapsed="false">
      <c r="A447" s="8" t="s">
        <v>1169</v>
      </c>
      <c r="B447" s="10" t="n">
        <v>46189</v>
      </c>
      <c r="C447" s="8" t="s">
        <v>154</v>
      </c>
      <c r="D447" s="8" t="s">
        <v>698</v>
      </c>
      <c r="E447" s="8" t="s">
        <v>750</v>
      </c>
      <c r="F447" s="9" t="n">
        <v>1</v>
      </c>
      <c r="G447" s="20" t="n">
        <v>24.16</v>
      </c>
      <c r="H447" s="20" t="n">
        <v>24.16</v>
      </c>
    </row>
    <row r="448" customFormat="false" ht="15" hidden="false" customHeight="false" outlineLevel="0" collapsed="false">
      <c r="A448" s="8" t="s">
        <v>1170</v>
      </c>
      <c r="B448" s="10" t="n">
        <v>45931</v>
      </c>
      <c r="C448" s="8" t="s">
        <v>69</v>
      </c>
      <c r="D448" s="8" t="s">
        <v>703</v>
      </c>
      <c r="E448" s="8" t="s">
        <v>734</v>
      </c>
      <c r="F448" s="9" t="n">
        <v>7</v>
      </c>
      <c r="G448" s="20" t="n">
        <v>41.32</v>
      </c>
      <c r="H448" s="20" t="n">
        <v>289.24</v>
      </c>
    </row>
    <row r="449" customFormat="false" ht="15" hidden="false" customHeight="false" outlineLevel="0" collapsed="false">
      <c r="A449" s="8" t="s">
        <v>1171</v>
      </c>
      <c r="B449" s="10" t="n">
        <v>46078</v>
      </c>
      <c r="C449" s="8" t="s">
        <v>145</v>
      </c>
      <c r="D449" s="8" t="s">
        <v>698</v>
      </c>
      <c r="E449" s="8" t="s">
        <v>754</v>
      </c>
      <c r="F449" s="9" t="n">
        <v>1</v>
      </c>
      <c r="G449" s="20" t="n">
        <v>89.79</v>
      </c>
      <c r="H449" s="20" t="n">
        <v>89.79</v>
      </c>
    </row>
    <row r="450" customFormat="false" ht="15" hidden="false" customHeight="false" outlineLevel="0" collapsed="false">
      <c r="A450" s="8" t="s">
        <v>1172</v>
      </c>
      <c r="B450" s="10" t="n">
        <v>46064</v>
      </c>
      <c r="C450" s="8" t="s">
        <v>52</v>
      </c>
      <c r="D450" s="8" t="s">
        <v>698</v>
      </c>
      <c r="E450" s="8" t="s">
        <v>699</v>
      </c>
      <c r="F450" s="9" t="n">
        <v>1</v>
      </c>
      <c r="G450" s="20" t="n">
        <v>15.52</v>
      </c>
      <c r="H450" s="20" t="n">
        <v>15.52</v>
      </c>
    </row>
    <row r="451" customFormat="false" ht="15" hidden="false" customHeight="false" outlineLevel="0" collapsed="false">
      <c r="A451" s="8" t="s">
        <v>1173</v>
      </c>
      <c r="B451" s="10" t="n">
        <v>46178</v>
      </c>
      <c r="C451" s="8" t="s">
        <v>52</v>
      </c>
      <c r="D451" s="8" t="s">
        <v>698</v>
      </c>
      <c r="E451" s="8" t="s">
        <v>699</v>
      </c>
      <c r="F451" s="9" t="n">
        <v>1</v>
      </c>
      <c r="G451" s="20" t="n">
        <v>15.72</v>
      </c>
      <c r="H451" s="20" t="n">
        <v>15.72</v>
      </c>
    </row>
    <row r="452" customFormat="false" ht="15" hidden="false" customHeight="false" outlineLevel="0" collapsed="false">
      <c r="A452" s="8" t="s">
        <v>1174</v>
      </c>
      <c r="B452" s="10" t="n">
        <v>46124</v>
      </c>
      <c r="C452" s="8" t="s">
        <v>390</v>
      </c>
      <c r="D452" s="8" t="s">
        <v>698</v>
      </c>
      <c r="E452" s="8" t="s">
        <v>708</v>
      </c>
      <c r="F452" s="9" t="n">
        <v>6</v>
      </c>
      <c r="G452" s="20" t="n">
        <v>10.47</v>
      </c>
      <c r="H452" s="20" t="n">
        <v>62.82</v>
      </c>
    </row>
    <row r="453" customFormat="false" ht="15" hidden="false" customHeight="false" outlineLevel="0" collapsed="false">
      <c r="A453" s="8" t="s">
        <v>1175</v>
      </c>
      <c r="B453" s="10" t="n">
        <v>46034</v>
      </c>
      <c r="C453" s="8" t="s">
        <v>646</v>
      </c>
      <c r="D453" s="8" t="s">
        <v>698</v>
      </c>
      <c r="E453" s="8" t="s">
        <v>782</v>
      </c>
      <c r="F453" s="9" t="n">
        <v>8</v>
      </c>
      <c r="G453" s="20" t="n">
        <v>66.2</v>
      </c>
      <c r="H453" s="20" t="n">
        <v>529.6</v>
      </c>
    </row>
    <row r="454" customFormat="false" ht="15" hidden="false" customHeight="false" outlineLevel="0" collapsed="false">
      <c r="A454" s="8" t="s">
        <v>1176</v>
      </c>
      <c r="B454" s="10" t="n">
        <v>46179</v>
      </c>
      <c r="C454" s="8" t="s">
        <v>214</v>
      </c>
      <c r="D454" s="8" t="s">
        <v>703</v>
      </c>
      <c r="E454" s="8" t="s">
        <v>715</v>
      </c>
      <c r="F454" s="9" t="n">
        <v>5</v>
      </c>
      <c r="G454" s="20" t="n">
        <v>47.93</v>
      </c>
      <c r="H454" s="20" t="n">
        <v>239.65</v>
      </c>
    </row>
    <row r="455" customFormat="false" ht="15" hidden="false" customHeight="false" outlineLevel="0" collapsed="false">
      <c r="A455" s="8" t="s">
        <v>1177</v>
      </c>
      <c r="B455" s="10" t="n">
        <v>46069</v>
      </c>
      <c r="C455" s="8" t="s">
        <v>145</v>
      </c>
      <c r="D455" s="8" t="s">
        <v>703</v>
      </c>
      <c r="E455" s="8" t="s">
        <v>706</v>
      </c>
      <c r="F455" s="9" t="n">
        <v>2</v>
      </c>
      <c r="G455" s="20" t="n">
        <v>225.86</v>
      </c>
      <c r="H455" s="20" t="n">
        <v>451.72</v>
      </c>
    </row>
    <row r="456" customFormat="false" ht="15" hidden="false" customHeight="false" outlineLevel="0" collapsed="false">
      <c r="A456" s="8" t="s">
        <v>1178</v>
      </c>
      <c r="B456" s="10" t="n">
        <v>45944</v>
      </c>
      <c r="C456" s="8" t="s">
        <v>154</v>
      </c>
      <c r="D456" s="8" t="s">
        <v>703</v>
      </c>
      <c r="E456" s="8" t="s">
        <v>778</v>
      </c>
      <c r="F456" s="9" t="n">
        <v>2</v>
      </c>
      <c r="G456" s="20" t="n">
        <v>52.41</v>
      </c>
      <c r="H456" s="20" t="n">
        <v>104.82</v>
      </c>
    </row>
    <row r="457" customFormat="false" ht="15" hidden="false" customHeight="false" outlineLevel="0" collapsed="false">
      <c r="A457" s="8" t="s">
        <v>1179</v>
      </c>
      <c r="B457" s="10" t="n">
        <v>46129</v>
      </c>
      <c r="C457" s="8" t="s">
        <v>390</v>
      </c>
      <c r="D457" s="8" t="s">
        <v>698</v>
      </c>
      <c r="E457" s="8" t="s">
        <v>708</v>
      </c>
      <c r="F457" s="9" t="n">
        <v>4</v>
      </c>
      <c r="G457" s="20" t="n">
        <v>10.32</v>
      </c>
      <c r="H457" s="20" t="n">
        <v>41.28</v>
      </c>
    </row>
    <row r="458" customFormat="false" ht="15" hidden="false" customHeight="false" outlineLevel="0" collapsed="false">
      <c r="A458" s="8" t="s">
        <v>1180</v>
      </c>
      <c r="B458" s="10" t="n">
        <v>46075</v>
      </c>
      <c r="C458" s="8" t="s">
        <v>154</v>
      </c>
      <c r="D458" s="8" t="s">
        <v>703</v>
      </c>
      <c r="E458" s="8" t="s">
        <v>778</v>
      </c>
      <c r="F458" s="9" t="n">
        <v>3</v>
      </c>
      <c r="G458" s="20" t="n">
        <v>54.98</v>
      </c>
      <c r="H458" s="20" t="n">
        <v>164.94</v>
      </c>
    </row>
    <row r="459" customFormat="false" ht="15" hidden="false" customHeight="false" outlineLevel="0" collapsed="false">
      <c r="A459" s="8" t="s">
        <v>1181</v>
      </c>
      <c r="B459" s="10" t="n">
        <v>45983</v>
      </c>
      <c r="C459" s="8" t="s">
        <v>214</v>
      </c>
      <c r="D459" s="8" t="s">
        <v>703</v>
      </c>
      <c r="E459" s="8" t="s">
        <v>715</v>
      </c>
      <c r="F459" s="9" t="n">
        <v>5</v>
      </c>
      <c r="G459" s="20" t="n">
        <v>46.04</v>
      </c>
      <c r="H459" s="20" t="n">
        <v>230.2</v>
      </c>
    </row>
    <row r="460" customFormat="false" ht="15" hidden="false" customHeight="false" outlineLevel="0" collapsed="false">
      <c r="A460" s="8" t="s">
        <v>1182</v>
      </c>
      <c r="B460" s="10" t="n">
        <v>46090</v>
      </c>
      <c r="C460" s="8" t="s">
        <v>145</v>
      </c>
      <c r="D460" s="8" t="s">
        <v>703</v>
      </c>
      <c r="E460" s="8" t="s">
        <v>706</v>
      </c>
      <c r="F460" s="9" t="n">
        <v>8</v>
      </c>
      <c r="G460" s="20" t="n">
        <v>208.67</v>
      </c>
      <c r="H460" s="20" t="n">
        <v>1669.36</v>
      </c>
    </row>
    <row r="461" customFormat="false" ht="15" hidden="false" customHeight="false" outlineLevel="0" collapsed="false">
      <c r="A461" s="8" t="s">
        <v>1183</v>
      </c>
      <c r="B461" s="10" t="n">
        <v>45955</v>
      </c>
      <c r="C461" s="8" t="s">
        <v>277</v>
      </c>
      <c r="D461" s="8" t="s">
        <v>698</v>
      </c>
      <c r="E461" s="8" t="s">
        <v>710</v>
      </c>
      <c r="F461" s="9" t="n">
        <v>3</v>
      </c>
      <c r="G461" s="20" t="n">
        <v>55.65</v>
      </c>
      <c r="H461" s="20" t="n">
        <v>166.95</v>
      </c>
    </row>
    <row r="462" customFormat="false" ht="15" hidden="false" customHeight="false" outlineLevel="0" collapsed="false">
      <c r="A462" s="8" t="s">
        <v>1184</v>
      </c>
      <c r="B462" s="10" t="n">
        <v>46225</v>
      </c>
      <c r="C462" s="8" t="s">
        <v>214</v>
      </c>
      <c r="D462" s="8" t="s">
        <v>698</v>
      </c>
      <c r="E462" s="8" t="s">
        <v>701</v>
      </c>
      <c r="F462" s="9" t="n">
        <v>7</v>
      </c>
      <c r="G462" s="20" t="n">
        <v>19.19</v>
      </c>
      <c r="H462" s="20" t="n">
        <v>134.33</v>
      </c>
    </row>
    <row r="463" customFormat="false" ht="15" hidden="false" customHeight="false" outlineLevel="0" collapsed="false">
      <c r="A463" s="8" t="s">
        <v>1185</v>
      </c>
      <c r="B463" s="10" t="n">
        <v>45932</v>
      </c>
      <c r="C463" s="8" t="s">
        <v>390</v>
      </c>
      <c r="D463" s="8" t="s">
        <v>698</v>
      </c>
      <c r="E463" s="8" t="s">
        <v>708</v>
      </c>
      <c r="F463" s="9" t="n">
        <v>2</v>
      </c>
      <c r="G463" s="20" t="n">
        <v>9.78</v>
      </c>
      <c r="H463" s="20" t="n">
        <v>19.56</v>
      </c>
    </row>
    <row r="464" customFormat="false" ht="15" hidden="false" customHeight="false" outlineLevel="0" collapsed="false">
      <c r="A464" s="8" t="s">
        <v>1186</v>
      </c>
      <c r="B464" s="10" t="n">
        <v>46049</v>
      </c>
      <c r="C464" s="8" t="s">
        <v>115</v>
      </c>
      <c r="D464" s="8" t="s">
        <v>698</v>
      </c>
      <c r="E464" s="8" t="s">
        <v>821</v>
      </c>
      <c r="F464" s="9" t="n">
        <v>4</v>
      </c>
      <c r="G464" s="20" t="n">
        <v>42.17</v>
      </c>
      <c r="H464" s="20" t="n">
        <v>168.68</v>
      </c>
    </row>
    <row r="465" customFormat="false" ht="15" hidden="false" customHeight="false" outlineLevel="0" collapsed="false">
      <c r="A465" s="8" t="s">
        <v>1187</v>
      </c>
      <c r="B465" s="10" t="n">
        <v>46089</v>
      </c>
      <c r="C465" s="8" t="s">
        <v>214</v>
      </c>
      <c r="D465" s="8" t="s">
        <v>703</v>
      </c>
      <c r="E465" s="8" t="s">
        <v>715</v>
      </c>
      <c r="F465" s="9" t="n">
        <v>5</v>
      </c>
      <c r="G465" s="20" t="n">
        <v>47.98</v>
      </c>
      <c r="H465" s="20" t="n">
        <v>239.9</v>
      </c>
    </row>
    <row r="466" customFormat="false" ht="15" hidden="false" customHeight="false" outlineLevel="0" collapsed="false">
      <c r="A466" s="8" t="s">
        <v>1188</v>
      </c>
      <c r="B466" s="10" t="n">
        <v>46198</v>
      </c>
      <c r="C466" s="8" t="s">
        <v>145</v>
      </c>
      <c r="D466" s="8" t="s">
        <v>698</v>
      </c>
      <c r="E466" s="8" t="s">
        <v>754</v>
      </c>
      <c r="F466" s="9" t="n">
        <v>2</v>
      </c>
      <c r="G466" s="20" t="n">
        <v>92.09</v>
      </c>
      <c r="H466" s="20" t="n">
        <v>184.18</v>
      </c>
    </row>
    <row r="467" customFormat="false" ht="15" hidden="false" customHeight="false" outlineLevel="0" collapsed="false">
      <c r="A467" s="8" t="s">
        <v>1189</v>
      </c>
      <c r="B467" s="10" t="n">
        <v>46006</v>
      </c>
      <c r="C467" s="8" t="s">
        <v>52</v>
      </c>
      <c r="D467" s="8" t="s">
        <v>703</v>
      </c>
      <c r="E467" s="8" t="s">
        <v>720</v>
      </c>
      <c r="F467" s="9" t="n">
        <v>2</v>
      </c>
      <c r="G467" s="20" t="n">
        <v>33.53</v>
      </c>
      <c r="H467" s="20" t="n">
        <v>67.06</v>
      </c>
    </row>
    <row r="468" customFormat="false" ht="15" hidden="false" customHeight="false" outlineLevel="0" collapsed="false">
      <c r="A468" s="8" t="s">
        <v>1190</v>
      </c>
      <c r="B468" s="10" t="n">
        <v>46129</v>
      </c>
      <c r="C468" s="8" t="s">
        <v>390</v>
      </c>
      <c r="D468" s="8" t="s">
        <v>703</v>
      </c>
      <c r="E468" s="8" t="s">
        <v>785</v>
      </c>
      <c r="F468" s="9" t="n">
        <v>3</v>
      </c>
      <c r="G468" s="20" t="n">
        <v>26.02</v>
      </c>
      <c r="H468" s="20" t="n">
        <v>78.06</v>
      </c>
    </row>
    <row r="469" customFormat="false" ht="15" hidden="false" customHeight="false" outlineLevel="0" collapsed="false">
      <c r="A469" s="8" t="s">
        <v>1191</v>
      </c>
      <c r="B469" s="10" t="n">
        <v>46031</v>
      </c>
      <c r="C469" s="8" t="s">
        <v>214</v>
      </c>
      <c r="D469" s="8" t="s">
        <v>698</v>
      </c>
      <c r="E469" s="8" t="s">
        <v>701</v>
      </c>
      <c r="F469" s="9" t="n">
        <v>8</v>
      </c>
      <c r="G469" s="20" t="n">
        <v>19.57</v>
      </c>
      <c r="H469" s="20" t="n">
        <v>156.56</v>
      </c>
    </row>
    <row r="470" customFormat="false" ht="15" hidden="false" customHeight="false" outlineLevel="0" collapsed="false">
      <c r="A470" s="8" t="s">
        <v>1192</v>
      </c>
      <c r="B470" s="10" t="n">
        <v>46204</v>
      </c>
      <c r="C470" s="8" t="s">
        <v>214</v>
      </c>
      <c r="D470" s="8" t="s">
        <v>698</v>
      </c>
      <c r="E470" s="8" t="s">
        <v>701</v>
      </c>
      <c r="F470" s="9" t="n">
        <v>1</v>
      </c>
      <c r="G470" s="20" t="n">
        <v>19.42</v>
      </c>
      <c r="H470" s="20" t="n">
        <v>19.42</v>
      </c>
    </row>
    <row r="471" customFormat="false" ht="15" hidden="false" customHeight="false" outlineLevel="0" collapsed="false">
      <c r="A471" s="8" t="s">
        <v>1193</v>
      </c>
      <c r="B471" s="10" t="n">
        <v>45918</v>
      </c>
      <c r="C471" s="8" t="s">
        <v>52</v>
      </c>
      <c r="D471" s="8" t="s">
        <v>698</v>
      </c>
      <c r="E471" s="8" t="s">
        <v>699</v>
      </c>
      <c r="F471" s="9" t="n">
        <v>2</v>
      </c>
      <c r="G471" s="20" t="n">
        <v>14.43</v>
      </c>
      <c r="H471" s="20" t="n">
        <v>28.86</v>
      </c>
    </row>
    <row r="472" customFormat="false" ht="15" hidden="false" customHeight="false" outlineLevel="0" collapsed="false">
      <c r="A472" s="8" t="s">
        <v>1194</v>
      </c>
      <c r="B472" s="10" t="n">
        <v>46034</v>
      </c>
      <c r="C472" s="8" t="s">
        <v>277</v>
      </c>
      <c r="D472" s="8" t="s">
        <v>698</v>
      </c>
      <c r="E472" s="8" t="s">
        <v>710</v>
      </c>
      <c r="F472" s="9" t="n">
        <v>2</v>
      </c>
      <c r="G472" s="20" t="n">
        <v>63.37</v>
      </c>
      <c r="H472" s="20" t="n">
        <v>126.74</v>
      </c>
    </row>
    <row r="473" customFormat="false" ht="15" hidden="false" customHeight="false" outlineLevel="0" collapsed="false">
      <c r="A473" s="8" t="s">
        <v>1195</v>
      </c>
      <c r="B473" s="10" t="n">
        <v>46234</v>
      </c>
      <c r="C473" s="8" t="s">
        <v>390</v>
      </c>
      <c r="D473" s="8" t="s">
        <v>698</v>
      </c>
      <c r="E473" s="8" t="s">
        <v>708</v>
      </c>
      <c r="F473" s="9" t="n">
        <v>5</v>
      </c>
      <c r="G473" s="20" t="n">
        <v>10.75</v>
      </c>
      <c r="H473" s="20" t="n">
        <v>53.75</v>
      </c>
    </row>
    <row r="474" customFormat="false" ht="15" hidden="false" customHeight="false" outlineLevel="0" collapsed="false">
      <c r="A474" s="8" t="s">
        <v>1196</v>
      </c>
      <c r="B474" s="10" t="n">
        <v>46261</v>
      </c>
      <c r="C474" s="8" t="s">
        <v>390</v>
      </c>
      <c r="D474" s="8" t="s">
        <v>698</v>
      </c>
      <c r="E474" s="8" t="s">
        <v>708</v>
      </c>
      <c r="F474" s="9" t="n">
        <v>1</v>
      </c>
      <c r="G474" s="20" t="n">
        <v>9.26</v>
      </c>
      <c r="H474" s="20" t="n">
        <v>9.26</v>
      </c>
    </row>
    <row r="475" customFormat="false" ht="15" hidden="false" customHeight="false" outlineLevel="0" collapsed="false">
      <c r="A475" s="8" t="s">
        <v>1197</v>
      </c>
      <c r="B475" s="10" t="n">
        <v>46115</v>
      </c>
      <c r="C475" s="8" t="s">
        <v>145</v>
      </c>
      <c r="D475" s="8" t="s">
        <v>698</v>
      </c>
      <c r="E475" s="8" t="s">
        <v>754</v>
      </c>
      <c r="F475" s="9" t="n">
        <v>5</v>
      </c>
      <c r="G475" s="20" t="n">
        <v>83.06</v>
      </c>
      <c r="H475" s="20" t="n">
        <v>415.3</v>
      </c>
    </row>
    <row r="476" customFormat="false" ht="15" hidden="false" customHeight="false" outlineLevel="0" collapsed="false">
      <c r="A476" s="8" t="s">
        <v>1198</v>
      </c>
      <c r="B476" s="10" t="n">
        <v>46240</v>
      </c>
      <c r="C476" s="8" t="s">
        <v>390</v>
      </c>
      <c r="D476" s="8" t="s">
        <v>698</v>
      </c>
      <c r="E476" s="8" t="s">
        <v>708</v>
      </c>
      <c r="F476" s="9" t="n">
        <v>7</v>
      </c>
      <c r="G476" s="20" t="n">
        <v>10.59</v>
      </c>
      <c r="H476" s="20" t="n">
        <v>74.13</v>
      </c>
    </row>
    <row r="477" customFormat="false" ht="15" hidden="false" customHeight="false" outlineLevel="0" collapsed="false">
      <c r="A477" s="8" t="s">
        <v>1199</v>
      </c>
      <c r="B477" s="10" t="n">
        <v>46147</v>
      </c>
      <c r="C477" s="8" t="s">
        <v>145</v>
      </c>
      <c r="D477" s="8" t="s">
        <v>703</v>
      </c>
      <c r="E477" s="8" t="s">
        <v>706</v>
      </c>
      <c r="F477" s="9" t="n">
        <v>2</v>
      </c>
      <c r="G477" s="20" t="n">
        <v>217.39</v>
      </c>
      <c r="H477" s="20" t="n">
        <v>434.78</v>
      </c>
    </row>
    <row r="478" customFormat="false" ht="15" hidden="false" customHeight="false" outlineLevel="0" collapsed="false">
      <c r="A478" s="8" t="s">
        <v>1200</v>
      </c>
      <c r="B478" s="10" t="n">
        <v>46097</v>
      </c>
      <c r="C478" s="8" t="s">
        <v>262</v>
      </c>
      <c r="D478" s="8" t="s">
        <v>698</v>
      </c>
      <c r="E478" s="8" t="s">
        <v>737</v>
      </c>
      <c r="F478" s="9" t="n">
        <v>3</v>
      </c>
      <c r="G478" s="20" t="n">
        <v>11.39</v>
      </c>
      <c r="H478" s="20" t="n">
        <v>34.17</v>
      </c>
    </row>
    <row r="479" customFormat="false" ht="15" hidden="false" customHeight="false" outlineLevel="0" collapsed="false">
      <c r="A479" s="8" t="s">
        <v>1201</v>
      </c>
      <c r="B479" s="10" t="n">
        <v>45971</v>
      </c>
      <c r="C479" s="8" t="s">
        <v>646</v>
      </c>
      <c r="D479" s="8" t="s">
        <v>698</v>
      </c>
      <c r="E479" s="8" t="s">
        <v>782</v>
      </c>
      <c r="F479" s="9" t="n">
        <v>7</v>
      </c>
      <c r="G479" s="20" t="n">
        <v>65.12</v>
      </c>
      <c r="H479" s="20" t="n">
        <v>455.84</v>
      </c>
    </row>
    <row r="480" customFormat="false" ht="15" hidden="false" customHeight="false" outlineLevel="0" collapsed="false">
      <c r="A480" s="8" t="s">
        <v>1202</v>
      </c>
      <c r="B480" s="10" t="n">
        <v>46189</v>
      </c>
      <c r="C480" s="8" t="s">
        <v>52</v>
      </c>
      <c r="D480" s="8" t="s">
        <v>698</v>
      </c>
      <c r="E480" s="8" t="s">
        <v>699</v>
      </c>
      <c r="F480" s="9" t="n">
        <v>6</v>
      </c>
      <c r="G480" s="20" t="n">
        <v>15</v>
      </c>
      <c r="H480" s="20" t="n">
        <v>90</v>
      </c>
    </row>
    <row r="481" customFormat="false" ht="15" hidden="false" customHeight="false" outlineLevel="0" collapsed="false">
      <c r="A481" s="8" t="s">
        <v>1203</v>
      </c>
      <c r="B481" s="10" t="n">
        <v>46045</v>
      </c>
      <c r="C481" s="8" t="s">
        <v>69</v>
      </c>
      <c r="D481" s="8" t="s">
        <v>698</v>
      </c>
      <c r="E481" s="8" t="s">
        <v>713</v>
      </c>
      <c r="F481" s="9" t="n">
        <v>3</v>
      </c>
      <c r="G481" s="20" t="n">
        <v>18.29</v>
      </c>
      <c r="H481" s="20" t="n">
        <v>54.87</v>
      </c>
    </row>
    <row r="482" customFormat="false" ht="15" hidden="false" customHeight="false" outlineLevel="0" collapsed="false">
      <c r="A482" s="8" t="s">
        <v>1204</v>
      </c>
      <c r="B482" s="10" t="n">
        <v>46163</v>
      </c>
      <c r="C482" s="8" t="s">
        <v>69</v>
      </c>
      <c r="D482" s="8" t="s">
        <v>703</v>
      </c>
      <c r="E482" s="8" t="s">
        <v>734</v>
      </c>
      <c r="F482" s="9" t="n">
        <v>2</v>
      </c>
      <c r="G482" s="20" t="n">
        <v>42.72</v>
      </c>
      <c r="H482" s="20" t="n">
        <v>85.44</v>
      </c>
    </row>
    <row r="483" customFormat="false" ht="15" hidden="false" customHeight="false" outlineLevel="0" collapsed="false">
      <c r="A483" s="8" t="s">
        <v>1205</v>
      </c>
      <c r="B483" s="10" t="n">
        <v>45946</v>
      </c>
      <c r="C483" s="8" t="s">
        <v>390</v>
      </c>
      <c r="D483" s="8" t="s">
        <v>698</v>
      </c>
      <c r="E483" s="8" t="s">
        <v>708</v>
      </c>
      <c r="F483" s="9" t="n">
        <v>8</v>
      </c>
      <c r="G483" s="20" t="n">
        <v>9.82</v>
      </c>
      <c r="H483" s="20" t="n">
        <v>78.56</v>
      </c>
    </row>
    <row r="484" customFormat="false" ht="15" hidden="false" customHeight="false" outlineLevel="0" collapsed="false">
      <c r="A484" s="8" t="s">
        <v>1206</v>
      </c>
      <c r="B484" s="10" t="n">
        <v>46227</v>
      </c>
      <c r="C484" s="8" t="s">
        <v>650</v>
      </c>
      <c r="D484" s="8" t="s">
        <v>698</v>
      </c>
      <c r="E484" s="8" t="s">
        <v>800</v>
      </c>
      <c r="F484" s="9" t="n">
        <v>5</v>
      </c>
      <c r="G484" s="20" t="n">
        <v>26.27</v>
      </c>
      <c r="H484" s="20" t="n">
        <v>131.35</v>
      </c>
    </row>
    <row r="485" customFormat="false" ht="15" hidden="false" customHeight="false" outlineLevel="0" collapsed="false">
      <c r="A485" s="8" t="s">
        <v>1207</v>
      </c>
      <c r="B485" s="10" t="n">
        <v>46166</v>
      </c>
      <c r="C485" s="8" t="s">
        <v>262</v>
      </c>
      <c r="D485" s="8" t="s">
        <v>703</v>
      </c>
      <c r="E485" s="8" t="s">
        <v>769</v>
      </c>
      <c r="F485" s="9" t="n">
        <v>3</v>
      </c>
      <c r="G485" s="20" t="n">
        <v>29.34</v>
      </c>
      <c r="H485" s="20" t="n">
        <v>88.02</v>
      </c>
    </row>
    <row r="486" customFormat="false" ht="15" hidden="false" customHeight="false" outlineLevel="0" collapsed="false">
      <c r="A486" s="8" t="s">
        <v>1208</v>
      </c>
      <c r="B486" s="10" t="n">
        <v>46200</v>
      </c>
      <c r="C486" s="8" t="s">
        <v>650</v>
      </c>
      <c r="D486" s="8" t="s">
        <v>703</v>
      </c>
      <c r="E486" s="8" t="s">
        <v>858</v>
      </c>
      <c r="F486" s="9" t="n">
        <v>1</v>
      </c>
      <c r="G486" s="20" t="n">
        <v>69.77</v>
      </c>
      <c r="H486" s="20" t="n">
        <v>69.77</v>
      </c>
    </row>
    <row r="487" customFormat="false" ht="15" hidden="false" customHeight="false" outlineLevel="0" collapsed="false">
      <c r="A487" s="8" t="s">
        <v>1209</v>
      </c>
      <c r="B487" s="10" t="n">
        <v>46109</v>
      </c>
      <c r="C487" s="8" t="s">
        <v>69</v>
      </c>
      <c r="D487" s="8" t="s">
        <v>698</v>
      </c>
      <c r="E487" s="8" t="s">
        <v>713</v>
      </c>
      <c r="F487" s="9" t="n">
        <v>5</v>
      </c>
      <c r="G487" s="20" t="n">
        <v>17.07</v>
      </c>
      <c r="H487" s="20" t="n">
        <v>85.35</v>
      </c>
    </row>
    <row r="488" customFormat="false" ht="15" hidden="false" customHeight="false" outlineLevel="0" collapsed="false">
      <c r="A488" s="8" t="s">
        <v>1210</v>
      </c>
      <c r="B488" s="10" t="n">
        <v>46164</v>
      </c>
      <c r="C488" s="8" t="s">
        <v>277</v>
      </c>
      <c r="D488" s="8" t="s">
        <v>698</v>
      </c>
      <c r="E488" s="8" t="s">
        <v>710</v>
      </c>
      <c r="F488" s="9" t="n">
        <v>7</v>
      </c>
      <c r="G488" s="20" t="n">
        <v>61.29</v>
      </c>
      <c r="H488" s="20" t="n">
        <v>429.03</v>
      </c>
    </row>
    <row r="489" customFormat="false" ht="15" hidden="false" customHeight="false" outlineLevel="0" collapsed="false">
      <c r="A489" s="8" t="s">
        <v>1211</v>
      </c>
      <c r="B489" s="10" t="n">
        <v>45932</v>
      </c>
      <c r="C489" s="8" t="s">
        <v>52</v>
      </c>
      <c r="D489" s="8" t="s">
        <v>703</v>
      </c>
      <c r="E489" s="8" t="s">
        <v>720</v>
      </c>
      <c r="F489" s="9" t="n">
        <v>3</v>
      </c>
      <c r="G489" s="20" t="n">
        <v>36.31</v>
      </c>
      <c r="H489" s="20" t="n">
        <v>108.93</v>
      </c>
    </row>
    <row r="490" customFormat="false" ht="15" hidden="false" customHeight="false" outlineLevel="0" collapsed="false">
      <c r="A490" s="8" t="s">
        <v>1212</v>
      </c>
      <c r="B490" s="10" t="n">
        <v>46206</v>
      </c>
      <c r="C490" s="8" t="s">
        <v>115</v>
      </c>
      <c r="D490" s="8" t="s">
        <v>703</v>
      </c>
      <c r="E490" s="8" t="s">
        <v>772</v>
      </c>
      <c r="F490" s="9" t="n">
        <v>3</v>
      </c>
      <c r="G490" s="20" t="n">
        <v>104.73</v>
      </c>
      <c r="H490" s="20" t="n">
        <v>314.19</v>
      </c>
    </row>
    <row r="491" customFormat="false" ht="15" hidden="false" customHeight="false" outlineLevel="0" collapsed="false">
      <c r="A491" s="8" t="s">
        <v>1213</v>
      </c>
      <c r="B491" s="10" t="n">
        <v>45959</v>
      </c>
      <c r="C491" s="8" t="s">
        <v>154</v>
      </c>
      <c r="D491" s="8" t="s">
        <v>698</v>
      </c>
      <c r="E491" s="8" t="s">
        <v>750</v>
      </c>
      <c r="F491" s="9" t="n">
        <v>3</v>
      </c>
      <c r="G491" s="20" t="n">
        <v>23.78</v>
      </c>
      <c r="H491" s="20" t="n">
        <v>71.34</v>
      </c>
    </row>
    <row r="492" customFormat="false" ht="15" hidden="false" customHeight="false" outlineLevel="0" collapsed="false">
      <c r="A492" s="8" t="s">
        <v>1214</v>
      </c>
      <c r="B492" s="10" t="n">
        <v>46264</v>
      </c>
      <c r="C492" s="8" t="s">
        <v>390</v>
      </c>
      <c r="D492" s="8" t="s">
        <v>698</v>
      </c>
      <c r="E492" s="8" t="s">
        <v>708</v>
      </c>
      <c r="F492" s="9" t="n">
        <v>2</v>
      </c>
      <c r="G492" s="20" t="n">
        <v>9.27</v>
      </c>
      <c r="H492" s="20" t="n">
        <v>18.54</v>
      </c>
    </row>
    <row r="493" customFormat="false" ht="15" hidden="false" customHeight="false" outlineLevel="0" collapsed="false">
      <c r="A493" s="8" t="s">
        <v>1215</v>
      </c>
      <c r="B493" s="10" t="n">
        <v>46251</v>
      </c>
      <c r="C493" s="8" t="s">
        <v>145</v>
      </c>
      <c r="D493" s="8" t="s">
        <v>703</v>
      </c>
      <c r="E493" s="8" t="s">
        <v>706</v>
      </c>
      <c r="F493" s="9" t="n">
        <v>5</v>
      </c>
      <c r="G493" s="20" t="n">
        <v>223.14</v>
      </c>
      <c r="H493" s="20" t="n">
        <v>1115.7</v>
      </c>
    </row>
    <row r="494" customFormat="false" ht="15" hidden="false" customHeight="false" outlineLevel="0" collapsed="false">
      <c r="A494" s="8" t="s">
        <v>1216</v>
      </c>
      <c r="B494" s="10" t="n">
        <v>46178</v>
      </c>
      <c r="C494" s="8" t="s">
        <v>214</v>
      </c>
      <c r="D494" s="8" t="s">
        <v>698</v>
      </c>
      <c r="E494" s="8" t="s">
        <v>701</v>
      </c>
      <c r="F494" s="9" t="n">
        <v>1</v>
      </c>
      <c r="G494" s="20" t="n">
        <v>18.69</v>
      </c>
      <c r="H494" s="20" t="n">
        <v>18.69</v>
      </c>
    </row>
    <row r="495" customFormat="false" ht="15" hidden="false" customHeight="false" outlineLevel="0" collapsed="false">
      <c r="A495" s="8" t="s">
        <v>1217</v>
      </c>
      <c r="B495" s="10" t="n">
        <v>46026</v>
      </c>
      <c r="C495" s="8" t="s">
        <v>214</v>
      </c>
      <c r="D495" s="8" t="s">
        <v>698</v>
      </c>
      <c r="E495" s="8" t="s">
        <v>701</v>
      </c>
      <c r="F495" s="9" t="n">
        <v>3</v>
      </c>
      <c r="G495" s="20" t="n">
        <v>18.63</v>
      </c>
      <c r="H495" s="20" t="n">
        <v>55.89</v>
      </c>
    </row>
    <row r="496" customFormat="false" ht="15" hidden="false" customHeight="false" outlineLevel="0" collapsed="false">
      <c r="A496" s="8" t="s">
        <v>1218</v>
      </c>
      <c r="B496" s="10" t="n">
        <v>46193</v>
      </c>
      <c r="C496" s="8" t="s">
        <v>394</v>
      </c>
      <c r="D496" s="8" t="s">
        <v>703</v>
      </c>
      <c r="E496" s="8" t="s">
        <v>1123</v>
      </c>
      <c r="F496" s="9" t="n">
        <v>2</v>
      </c>
      <c r="G496" s="20" t="n">
        <v>60.44</v>
      </c>
      <c r="H496" s="20" t="n">
        <v>120.88</v>
      </c>
    </row>
    <row r="497" customFormat="false" ht="15" hidden="false" customHeight="false" outlineLevel="0" collapsed="false">
      <c r="A497" s="8" t="s">
        <v>1219</v>
      </c>
      <c r="B497" s="10" t="n">
        <v>46148</v>
      </c>
      <c r="C497" s="8" t="s">
        <v>115</v>
      </c>
      <c r="D497" s="8" t="s">
        <v>698</v>
      </c>
      <c r="E497" s="8" t="s">
        <v>821</v>
      </c>
      <c r="F497" s="9" t="n">
        <v>5</v>
      </c>
      <c r="G497" s="20" t="n">
        <v>45.88</v>
      </c>
      <c r="H497" s="20" t="n">
        <v>229.4</v>
      </c>
    </row>
    <row r="498" customFormat="false" ht="15" hidden="false" customHeight="false" outlineLevel="0" collapsed="false">
      <c r="A498" s="8" t="s">
        <v>1220</v>
      </c>
      <c r="B498" s="10" t="n">
        <v>45989</v>
      </c>
      <c r="C498" s="8" t="s">
        <v>214</v>
      </c>
      <c r="D498" s="8" t="s">
        <v>698</v>
      </c>
      <c r="E498" s="8" t="s">
        <v>701</v>
      </c>
      <c r="F498" s="9" t="n">
        <v>5</v>
      </c>
      <c r="G498" s="20" t="n">
        <v>19.6</v>
      </c>
      <c r="H498" s="20" t="n">
        <v>98</v>
      </c>
    </row>
    <row r="499" customFormat="false" ht="15" hidden="false" customHeight="false" outlineLevel="0" collapsed="false">
      <c r="A499" s="8" t="s">
        <v>1221</v>
      </c>
      <c r="B499" s="10" t="n">
        <v>45914</v>
      </c>
      <c r="C499" s="8" t="s">
        <v>214</v>
      </c>
      <c r="D499" s="8" t="s">
        <v>698</v>
      </c>
      <c r="E499" s="8" t="s">
        <v>701</v>
      </c>
      <c r="F499" s="9" t="n">
        <v>3</v>
      </c>
      <c r="G499" s="20" t="n">
        <v>19.27</v>
      </c>
      <c r="H499" s="20" t="n">
        <v>57.81</v>
      </c>
    </row>
    <row r="500" customFormat="false" ht="15" hidden="false" customHeight="false" outlineLevel="0" collapsed="false">
      <c r="A500" s="8" t="s">
        <v>1222</v>
      </c>
      <c r="B500" s="10" t="n">
        <v>46240</v>
      </c>
      <c r="C500" s="8" t="s">
        <v>52</v>
      </c>
      <c r="D500" s="8" t="s">
        <v>698</v>
      </c>
      <c r="E500" s="8" t="s">
        <v>699</v>
      </c>
      <c r="F500" s="9" t="n">
        <v>3</v>
      </c>
      <c r="G500" s="20" t="n">
        <v>16.19</v>
      </c>
      <c r="H500" s="20" t="n">
        <v>48.57</v>
      </c>
    </row>
    <row r="501" customFormat="false" ht="15" hidden="false" customHeight="false" outlineLevel="0" collapsed="false">
      <c r="A501" s="8" t="s">
        <v>1223</v>
      </c>
      <c r="B501" s="10" t="n">
        <v>45973</v>
      </c>
      <c r="C501" s="8" t="s">
        <v>115</v>
      </c>
      <c r="D501" s="8" t="s">
        <v>703</v>
      </c>
      <c r="E501" s="8" t="s">
        <v>772</v>
      </c>
      <c r="F501" s="9" t="n">
        <v>5</v>
      </c>
      <c r="G501" s="20" t="n">
        <v>113.04</v>
      </c>
      <c r="H501" s="20" t="n">
        <v>565.2</v>
      </c>
    </row>
    <row r="502" customFormat="false" ht="15" hidden="false" customHeight="false" outlineLevel="0" collapsed="false">
      <c r="A502" s="8" t="s">
        <v>1224</v>
      </c>
      <c r="B502" s="10" t="n">
        <v>46212</v>
      </c>
      <c r="C502" s="8" t="s">
        <v>52</v>
      </c>
      <c r="D502" s="8" t="s">
        <v>703</v>
      </c>
      <c r="E502" s="8" t="s">
        <v>720</v>
      </c>
      <c r="F502" s="9" t="n">
        <v>2</v>
      </c>
      <c r="G502" s="20" t="n">
        <v>34.15</v>
      </c>
      <c r="H502" s="20" t="n">
        <v>68.3</v>
      </c>
    </row>
    <row r="503" customFormat="false" ht="15" hidden="false" customHeight="false" outlineLevel="0" collapsed="false">
      <c r="A503" s="8" t="s">
        <v>1225</v>
      </c>
      <c r="B503" s="10" t="n">
        <v>46208</v>
      </c>
      <c r="C503" s="8" t="s">
        <v>214</v>
      </c>
      <c r="D503" s="8" t="s">
        <v>698</v>
      </c>
      <c r="E503" s="8" t="s">
        <v>701</v>
      </c>
      <c r="F503" s="9" t="n">
        <v>2</v>
      </c>
      <c r="G503" s="20" t="n">
        <v>20.97</v>
      </c>
      <c r="H503" s="20" t="n">
        <v>41.94</v>
      </c>
    </row>
    <row r="504" customFormat="false" ht="15" hidden="false" customHeight="false" outlineLevel="0" collapsed="false">
      <c r="A504" s="8" t="s">
        <v>1226</v>
      </c>
      <c r="B504" s="10" t="n">
        <v>46203</v>
      </c>
      <c r="C504" s="8" t="s">
        <v>166</v>
      </c>
      <c r="D504" s="8" t="s">
        <v>703</v>
      </c>
      <c r="E504" s="8" t="s">
        <v>774</v>
      </c>
      <c r="F504" s="9" t="n">
        <v>3</v>
      </c>
      <c r="G504" s="20" t="n">
        <v>393.89</v>
      </c>
      <c r="H504" s="20" t="n">
        <v>1181.67</v>
      </c>
    </row>
    <row r="505" customFormat="false" ht="15" hidden="false" customHeight="false" outlineLevel="0" collapsed="false">
      <c r="A505" s="8" t="s">
        <v>1227</v>
      </c>
      <c r="B505" s="10" t="n">
        <v>45960</v>
      </c>
      <c r="C505" s="8" t="s">
        <v>646</v>
      </c>
      <c r="D505" s="8" t="s">
        <v>698</v>
      </c>
      <c r="E505" s="8" t="s">
        <v>782</v>
      </c>
      <c r="F505" s="9" t="n">
        <v>2</v>
      </c>
      <c r="G505" s="20" t="n">
        <v>70.66</v>
      </c>
      <c r="H505" s="20" t="n">
        <v>141.32</v>
      </c>
    </row>
    <row r="506" customFormat="false" ht="15" hidden="false" customHeight="false" outlineLevel="0" collapsed="false">
      <c r="A506" s="8" t="s">
        <v>1228</v>
      </c>
      <c r="B506" s="10" t="n">
        <v>46016</v>
      </c>
      <c r="C506" s="8" t="s">
        <v>115</v>
      </c>
      <c r="D506" s="8" t="s">
        <v>703</v>
      </c>
      <c r="E506" s="8" t="s">
        <v>772</v>
      </c>
      <c r="F506" s="9" t="n">
        <v>4</v>
      </c>
      <c r="G506" s="20" t="n">
        <v>110.15</v>
      </c>
      <c r="H506" s="20" t="n">
        <v>440.6</v>
      </c>
    </row>
    <row r="507" customFormat="false" ht="15" hidden="false" customHeight="false" outlineLevel="0" collapsed="false">
      <c r="A507" s="8" t="s">
        <v>1229</v>
      </c>
      <c r="B507" s="10" t="n">
        <v>46162</v>
      </c>
      <c r="C507" s="8" t="s">
        <v>52</v>
      </c>
      <c r="D507" s="8" t="s">
        <v>698</v>
      </c>
      <c r="E507" s="8" t="s">
        <v>699</v>
      </c>
      <c r="F507" s="9" t="n">
        <v>1</v>
      </c>
      <c r="G507" s="20" t="n">
        <v>15.08</v>
      </c>
      <c r="H507" s="20" t="n">
        <v>15.08</v>
      </c>
    </row>
    <row r="508" customFormat="false" ht="15" hidden="false" customHeight="false" outlineLevel="0" collapsed="false">
      <c r="A508" s="8" t="s">
        <v>1230</v>
      </c>
      <c r="B508" s="10" t="n">
        <v>45993</v>
      </c>
      <c r="C508" s="8" t="s">
        <v>390</v>
      </c>
      <c r="D508" s="8" t="s">
        <v>698</v>
      </c>
      <c r="E508" s="8" t="s">
        <v>708</v>
      </c>
      <c r="F508" s="9" t="n">
        <v>1</v>
      </c>
      <c r="G508" s="20" t="n">
        <v>9.31</v>
      </c>
      <c r="H508" s="20" t="n">
        <v>9.31</v>
      </c>
    </row>
    <row r="509" customFormat="false" ht="15" hidden="false" customHeight="false" outlineLevel="0" collapsed="false">
      <c r="A509" s="8" t="s">
        <v>1231</v>
      </c>
      <c r="B509" s="10" t="n">
        <v>46075</v>
      </c>
      <c r="C509" s="8" t="s">
        <v>390</v>
      </c>
      <c r="D509" s="8" t="s">
        <v>703</v>
      </c>
      <c r="E509" s="8" t="s">
        <v>785</v>
      </c>
      <c r="F509" s="9" t="n">
        <v>7</v>
      </c>
      <c r="G509" s="20" t="n">
        <v>25.65</v>
      </c>
      <c r="H509" s="20" t="n">
        <v>179.55</v>
      </c>
    </row>
    <row r="510" customFormat="false" ht="15" hidden="false" customHeight="false" outlineLevel="0" collapsed="false">
      <c r="A510" s="8" t="s">
        <v>1232</v>
      </c>
      <c r="B510" s="10" t="n">
        <v>46244</v>
      </c>
      <c r="C510" s="8" t="s">
        <v>646</v>
      </c>
      <c r="D510" s="8" t="s">
        <v>698</v>
      </c>
      <c r="E510" s="8" t="s">
        <v>782</v>
      </c>
      <c r="F510" s="9" t="n">
        <v>5</v>
      </c>
      <c r="G510" s="20" t="n">
        <v>70.07</v>
      </c>
      <c r="H510" s="20" t="n">
        <v>350.35</v>
      </c>
    </row>
    <row r="511" customFormat="false" ht="15" hidden="false" customHeight="false" outlineLevel="0" collapsed="false">
      <c r="A511" s="8" t="s">
        <v>1233</v>
      </c>
      <c r="B511" s="10" t="n">
        <v>46215</v>
      </c>
      <c r="C511" s="8" t="s">
        <v>214</v>
      </c>
      <c r="D511" s="8" t="s">
        <v>703</v>
      </c>
      <c r="E511" s="8" t="s">
        <v>715</v>
      </c>
      <c r="F511" s="9" t="n">
        <v>8</v>
      </c>
      <c r="G511" s="20" t="n">
        <v>41.6</v>
      </c>
      <c r="H511" s="20" t="n">
        <v>332.8</v>
      </c>
    </row>
    <row r="512" customFormat="false" ht="15" hidden="false" customHeight="false" outlineLevel="0" collapsed="false">
      <c r="A512" s="8" t="s">
        <v>1234</v>
      </c>
      <c r="B512" s="10" t="n">
        <v>46075</v>
      </c>
      <c r="C512" s="8" t="s">
        <v>154</v>
      </c>
      <c r="D512" s="8" t="s">
        <v>703</v>
      </c>
      <c r="E512" s="8" t="s">
        <v>778</v>
      </c>
      <c r="F512" s="9" t="n">
        <v>1</v>
      </c>
      <c r="G512" s="20" t="n">
        <v>53.58</v>
      </c>
      <c r="H512" s="20" t="n">
        <v>53.58</v>
      </c>
    </row>
    <row r="513" customFormat="false" ht="15" hidden="false" customHeight="false" outlineLevel="0" collapsed="false">
      <c r="A513" s="8" t="s">
        <v>1235</v>
      </c>
      <c r="B513" s="10" t="n">
        <v>45987</v>
      </c>
      <c r="C513" s="8" t="s">
        <v>145</v>
      </c>
      <c r="D513" s="8" t="s">
        <v>698</v>
      </c>
      <c r="E513" s="8" t="s">
        <v>754</v>
      </c>
      <c r="F513" s="9" t="n">
        <v>6</v>
      </c>
      <c r="G513" s="20" t="n">
        <v>93.08</v>
      </c>
      <c r="H513" s="20" t="n">
        <v>558.48</v>
      </c>
    </row>
    <row r="514" customFormat="false" ht="15" hidden="false" customHeight="false" outlineLevel="0" collapsed="false">
      <c r="A514" s="8" t="s">
        <v>1236</v>
      </c>
      <c r="B514" s="10" t="n">
        <v>45990</v>
      </c>
      <c r="C514" s="8" t="s">
        <v>214</v>
      </c>
      <c r="D514" s="8" t="s">
        <v>698</v>
      </c>
      <c r="E514" s="8" t="s">
        <v>701</v>
      </c>
      <c r="F514" s="9" t="n">
        <v>2</v>
      </c>
      <c r="G514" s="20" t="n">
        <v>20.89</v>
      </c>
      <c r="H514" s="20" t="n">
        <v>41.78</v>
      </c>
    </row>
    <row r="515" customFormat="false" ht="15" hidden="false" customHeight="false" outlineLevel="0" collapsed="false">
      <c r="A515" s="8" t="s">
        <v>1237</v>
      </c>
      <c r="B515" s="10" t="n">
        <v>45997</v>
      </c>
      <c r="C515" s="8" t="s">
        <v>69</v>
      </c>
      <c r="D515" s="8" t="s">
        <v>703</v>
      </c>
      <c r="E515" s="8" t="s">
        <v>734</v>
      </c>
      <c r="F515" s="9" t="n">
        <v>5</v>
      </c>
      <c r="G515" s="20" t="n">
        <v>37.63</v>
      </c>
      <c r="H515" s="20" t="n">
        <v>188.15</v>
      </c>
    </row>
    <row r="516" customFormat="false" ht="15" hidden="false" customHeight="false" outlineLevel="0" collapsed="false">
      <c r="A516" s="8" t="s">
        <v>1238</v>
      </c>
      <c r="B516" s="10" t="n">
        <v>45941</v>
      </c>
      <c r="C516" s="8" t="s">
        <v>214</v>
      </c>
      <c r="D516" s="8" t="s">
        <v>698</v>
      </c>
      <c r="E516" s="8" t="s">
        <v>701</v>
      </c>
      <c r="F516" s="9" t="n">
        <v>2</v>
      </c>
      <c r="G516" s="20" t="n">
        <v>18.48</v>
      </c>
      <c r="H516" s="20" t="n">
        <v>36.96</v>
      </c>
    </row>
    <row r="517" customFormat="false" ht="15" hidden="false" customHeight="false" outlineLevel="0" collapsed="false">
      <c r="A517" s="8" t="s">
        <v>1239</v>
      </c>
      <c r="B517" s="10" t="n">
        <v>46235</v>
      </c>
      <c r="C517" s="8" t="s">
        <v>145</v>
      </c>
      <c r="D517" s="8" t="s">
        <v>698</v>
      </c>
      <c r="E517" s="8" t="s">
        <v>754</v>
      </c>
      <c r="F517" s="9" t="n">
        <v>3</v>
      </c>
      <c r="G517" s="20" t="n">
        <v>92.62</v>
      </c>
      <c r="H517" s="20" t="n">
        <v>277.86</v>
      </c>
    </row>
    <row r="518" customFormat="false" ht="15" hidden="false" customHeight="false" outlineLevel="0" collapsed="false">
      <c r="A518" s="8" t="s">
        <v>1240</v>
      </c>
      <c r="B518" s="10" t="n">
        <v>46100</v>
      </c>
      <c r="C518" s="8" t="s">
        <v>650</v>
      </c>
      <c r="D518" s="8" t="s">
        <v>698</v>
      </c>
      <c r="E518" s="8" t="s">
        <v>800</v>
      </c>
      <c r="F518" s="9" t="n">
        <v>5</v>
      </c>
      <c r="G518" s="20" t="n">
        <v>28.59</v>
      </c>
      <c r="H518" s="20" t="n">
        <v>142.95</v>
      </c>
    </row>
    <row r="519" customFormat="false" ht="15" hidden="false" customHeight="false" outlineLevel="0" collapsed="false">
      <c r="A519" s="8" t="s">
        <v>1241</v>
      </c>
      <c r="B519" s="10" t="n">
        <v>46172</v>
      </c>
      <c r="C519" s="8" t="s">
        <v>145</v>
      </c>
      <c r="D519" s="8" t="s">
        <v>698</v>
      </c>
      <c r="E519" s="8" t="s">
        <v>754</v>
      </c>
      <c r="F519" s="9" t="n">
        <v>2</v>
      </c>
      <c r="G519" s="20" t="n">
        <v>96.58</v>
      </c>
      <c r="H519" s="20" t="n">
        <v>193.16</v>
      </c>
    </row>
    <row r="520" customFormat="false" ht="15" hidden="false" customHeight="false" outlineLevel="0" collapsed="false">
      <c r="A520" s="8" t="s">
        <v>1242</v>
      </c>
      <c r="B520" s="10" t="n">
        <v>45914</v>
      </c>
      <c r="C520" s="8" t="s">
        <v>646</v>
      </c>
      <c r="D520" s="8" t="s">
        <v>698</v>
      </c>
      <c r="E520" s="8" t="s">
        <v>782</v>
      </c>
      <c r="F520" s="9" t="n">
        <v>3</v>
      </c>
      <c r="G520" s="20" t="n">
        <v>73.74</v>
      </c>
      <c r="H520" s="20" t="n">
        <v>221.22</v>
      </c>
    </row>
    <row r="521" customFormat="false" ht="15" hidden="false" customHeight="false" outlineLevel="0" collapsed="false">
      <c r="A521" s="8" t="s">
        <v>1243</v>
      </c>
      <c r="B521" s="10" t="n">
        <v>45962</v>
      </c>
      <c r="C521" s="8" t="s">
        <v>650</v>
      </c>
      <c r="D521" s="8" t="s">
        <v>703</v>
      </c>
      <c r="E521" s="8" t="s">
        <v>858</v>
      </c>
      <c r="F521" s="9" t="n">
        <v>4</v>
      </c>
      <c r="G521" s="20" t="n">
        <v>63.44</v>
      </c>
      <c r="H521" s="20" t="n">
        <v>253.76</v>
      </c>
    </row>
    <row r="522" customFormat="false" ht="15" hidden="false" customHeight="false" outlineLevel="0" collapsed="false">
      <c r="A522" s="8" t="s">
        <v>1244</v>
      </c>
      <c r="B522" s="10" t="n">
        <v>46105</v>
      </c>
      <c r="C522" s="8" t="s">
        <v>214</v>
      </c>
      <c r="D522" s="8" t="s">
        <v>698</v>
      </c>
      <c r="E522" s="8" t="s">
        <v>701</v>
      </c>
      <c r="F522" s="9" t="n">
        <v>2</v>
      </c>
      <c r="G522" s="20" t="n">
        <v>21.03</v>
      </c>
      <c r="H522" s="20" t="n">
        <v>42.06</v>
      </c>
    </row>
    <row r="523" customFormat="false" ht="15" hidden="false" customHeight="false" outlineLevel="0" collapsed="false">
      <c r="A523" s="8" t="s">
        <v>1245</v>
      </c>
      <c r="B523" s="10" t="n">
        <v>46110</v>
      </c>
      <c r="C523" s="8" t="s">
        <v>214</v>
      </c>
      <c r="D523" s="8" t="s">
        <v>703</v>
      </c>
      <c r="E523" s="8" t="s">
        <v>715</v>
      </c>
      <c r="F523" s="9" t="n">
        <v>7</v>
      </c>
      <c r="G523" s="20" t="n">
        <v>41.8</v>
      </c>
      <c r="H523" s="20" t="n">
        <v>292.6</v>
      </c>
    </row>
    <row r="524" customFormat="false" ht="15" hidden="false" customHeight="false" outlineLevel="0" collapsed="false">
      <c r="A524" s="8" t="s">
        <v>1246</v>
      </c>
      <c r="B524" s="10" t="n">
        <v>46019</v>
      </c>
      <c r="C524" s="8" t="s">
        <v>214</v>
      </c>
      <c r="D524" s="8" t="s">
        <v>703</v>
      </c>
      <c r="E524" s="8" t="s">
        <v>715</v>
      </c>
      <c r="F524" s="9" t="n">
        <v>4</v>
      </c>
      <c r="G524" s="20" t="n">
        <v>43.51</v>
      </c>
      <c r="H524" s="20" t="n">
        <v>174.04</v>
      </c>
    </row>
    <row r="525" customFormat="false" ht="15" hidden="false" customHeight="false" outlineLevel="0" collapsed="false">
      <c r="A525" s="8" t="s">
        <v>1247</v>
      </c>
      <c r="B525" s="10" t="n">
        <v>45975</v>
      </c>
      <c r="C525" s="8" t="s">
        <v>166</v>
      </c>
      <c r="D525" s="8" t="s">
        <v>698</v>
      </c>
      <c r="E525" s="8" t="s">
        <v>729</v>
      </c>
      <c r="F525" s="9" t="n">
        <v>1</v>
      </c>
      <c r="G525" s="20" t="n">
        <v>146.89</v>
      </c>
      <c r="H525" s="20" t="n">
        <v>146.89</v>
      </c>
    </row>
    <row r="526" customFormat="false" ht="15" hidden="false" customHeight="false" outlineLevel="0" collapsed="false">
      <c r="A526" s="8" t="s">
        <v>1248</v>
      </c>
      <c r="B526" s="10" t="n">
        <v>46057</v>
      </c>
      <c r="C526" s="8" t="s">
        <v>650</v>
      </c>
      <c r="D526" s="8" t="s">
        <v>698</v>
      </c>
      <c r="E526" s="8" t="s">
        <v>800</v>
      </c>
      <c r="F526" s="9" t="n">
        <v>5</v>
      </c>
      <c r="G526" s="20" t="n">
        <v>29.04</v>
      </c>
      <c r="H526" s="20" t="n">
        <v>145.2</v>
      </c>
    </row>
    <row r="527" customFormat="false" ht="15" hidden="false" customHeight="false" outlineLevel="0" collapsed="false">
      <c r="A527" s="8" t="s">
        <v>1249</v>
      </c>
      <c r="B527" s="10" t="n">
        <v>46202</v>
      </c>
      <c r="C527" s="8" t="s">
        <v>69</v>
      </c>
      <c r="D527" s="8" t="s">
        <v>698</v>
      </c>
      <c r="E527" s="8" t="s">
        <v>713</v>
      </c>
      <c r="F527" s="9" t="n">
        <v>6</v>
      </c>
      <c r="G527" s="20" t="n">
        <v>18.35</v>
      </c>
      <c r="H527" s="20" t="n">
        <v>110.1</v>
      </c>
    </row>
    <row r="528" customFormat="false" ht="15" hidden="false" customHeight="false" outlineLevel="0" collapsed="false">
      <c r="A528" s="8" t="s">
        <v>1250</v>
      </c>
      <c r="B528" s="10" t="n">
        <v>46155</v>
      </c>
      <c r="C528" s="8" t="s">
        <v>277</v>
      </c>
      <c r="D528" s="8" t="s">
        <v>698</v>
      </c>
      <c r="E528" s="8" t="s">
        <v>710</v>
      </c>
      <c r="F528" s="9" t="n">
        <v>1</v>
      </c>
      <c r="G528" s="20" t="n">
        <v>64.74</v>
      </c>
      <c r="H528" s="20" t="n">
        <v>64.74</v>
      </c>
    </row>
    <row r="529" customFormat="false" ht="15" hidden="false" customHeight="false" outlineLevel="0" collapsed="false">
      <c r="A529" s="8" t="s">
        <v>1251</v>
      </c>
      <c r="B529" s="10" t="n">
        <v>46011</v>
      </c>
      <c r="C529" s="8" t="s">
        <v>154</v>
      </c>
      <c r="D529" s="8" t="s">
        <v>703</v>
      </c>
      <c r="E529" s="8" t="s">
        <v>778</v>
      </c>
      <c r="F529" s="9" t="n">
        <v>4</v>
      </c>
      <c r="G529" s="20" t="n">
        <v>54.51</v>
      </c>
      <c r="H529" s="20" t="n">
        <v>218.04</v>
      </c>
    </row>
    <row r="530" customFormat="false" ht="15" hidden="false" customHeight="false" outlineLevel="0" collapsed="false">
      <c r="A530" s="8" t="s">
        <v>1252</v>
      </c>
      <c r="B530" s="10" t="n">
        <v>46264</v>
      </c>
      <c r="C530" s="8" t="s">
        <v>154</v>
      </c>
      <c r="D530" s="8" t="s">
        <v>698</v>
      </c>
      <c r="E530" s="8" t="s">
        <v>750</v>
      </c>
      <c r="F530" s="9" t="n">
        <v>2</v>
      </c>
      <c r="G530" s="20" t="n">
        <v>23.83</v>
      </c>
      <c r="H530" s="20" t="n">
        <v>47.66</v>
      </c>
    </row>
    <row r="531" customFormat="false" ht="15" hidden="false" customHeight="false" outlineLevel="0" collapsed="false">
      <c r="A531" s="8" t="s">
        <v>1253</v>
      </c>
      <c r="B531" s="10" t="n">
        <v>46076</v>
      </c>
      <c r="C531" s="8" t="s">
        <v>145</v>
      </c>
      <c r="D531" s="8" t="s">
        <v>703</v>
      </c>
      <c r="E531" s="8" t="s">
        <v>706</v>
      </c>
      <c r="F531" s="9" t="n">
        <v>1</v>
      </c>
      <c r="G531" s="20" t="n">
        <v>228.01</v>
      </c>
      <c r="H531" s="20" t="n">
        <v>228.01</v>
      </c>
    </row>
    <row r="532" customFormat="false" ht="15" hidden="false" customHeight="false" outlineLevel="0" collapsed="false">
      <c r="A532" s="8" t="s">
        <v>1254</v>
      </c>
      <c r="B532" s="10" t="n">
        <v>46098</v>
      </c>
      <c r="C532" s="8" t="s">
        <v>390</v>
      </c>
      <c r="D532" s="8" t="s">
        <v>698</v>
      </c>
      <c r="E532" s="8" t="s">
        <v>708</v>
      </c>
      <c r="F532" s="9" t="n">
        <v>1</v>
      </c>
      <c r="G532" s="20" t="n">
        <v>9.5</v>
      </c>
      <c r="H532" s="20" t="n">
        <v>9.5</v>
      </c>
    </row>
    <row r="533" customFormat="false" ht="15" hidden="false" customHeight="false" outlineLevel="0" collapsed="false">
      <c r="A533" s="8" t="s">
        <v>1255</v>
      </c>
      <c r="B533" s="10" t="n">
        <v>45996</v>
      </c>
      <c r="C533" s="8" t="s">
        <v>277</v>
      </c>
      <c r="D533" s="8" t="s">
        <v>703</v>
      </c>
      <c r="E533" s="8" t="s">
        <v>724</v>
      </c>
      <c r="F533" s="9" t="n">
        <v>1</v>
      </c>
      <c r="G533" s="20" t="n">
        <v>137.07</v>
      </c>
      <c r="H533" s="20" t="n">
        <v>137.07</v>
      </c>
    </row>
    <row r="534" customFormat="false" ht="15" hidden="false" customHeight="false" outlineLevel="0" collapsed="false">
      <c r="A534" s="8" t="s">
        <v>1256</v>
      </c>
      <c r="B534" s="10" t="n">
        <v>46106</v>
      </c>
      <c r="C534" s="8" t="s">
        <v>277</v>
      </c>
      <c r="D534" s="8" t="s">
        <v>703</v>
      </c>
      <c r="E534" s="8" t="s">
        <v>724</v>
      </c>
      <c r="F534" s="9" t="n">
        <v>5</v>
      </c>
      <c r="G534" s="20" t="n">
        <v>137.95</v>
      </c>
      <c r="H534" s="20" t="n">
        <v>689.75</v>
      </c>
    </row>
    <row r="535" customFormat="false" ht="15" hidden="false" customHeight="false" outlineLevel="0" collapsed="false">
      <c r="A535" s="8" t="s">
        <v>1257</v>
      </c>
      <c r="B535" s="10" t="n">
        <v>46153</v>
      </c>
      <c r="C535" s="8" t="s">
        <v>277</v>
      </c>
      <c r="D535" s="8" t="s">
        <v>698</v>
      </c>
      <c r="E535" s="8" t="s">
        <v>710</v>
      </c>
      <c r="F535" s="9" t="n">
        <v>6</v>
      </c>
      <c r="G535" s="20" t="n">
        <v>62.63</v>
      </c>
      <c r="H535" s="20" t="n">
        <v>375.78</v>
      </c>
    </row>
    <row r="536" customFormat="false" ht="15" hidden="false" customHeight="false" outlineLevel="0" collapsed="false">
      <c r="A536" s="8" t="s">
        <v>1258</v>
      </c>
      <c r="B536" s="10" t="n">
        <v>46019</v>
      </c>
      <c r="C536" s="8" t="s">
        <v>262</v>
      </c>
      <c r="D536" s="8" t="s">
        <v>698</v>
      </c>
      <c r="E536" s="8" t="s">
        <v>737</v>
      </c>
      <c r="F536" s="9" t="n">
        <v>4</v>
      </c>
      <c r="G536" s="20" t="n">
        <v>11.65</v>
      </c>
      <c r="H536" s="20" t="n">
        <v>46.6</v>
      </c>
    </row>
    <row r="537" customFormat="false" ht="15" hidden="false" customHeight="false" outlineLevel="0" collapsed="false">
      <c r="A537" s="8" t="s">
        <v>1259</v>
      </c>
      <c r="B537" s="10" t="n">
        <v>46038</v>
      </c>
      <c r="C537" s="8" t="s">
        <v>52</v>
      </c>
      <c r="D537" s="8" t="s">
        <v>698</v>
      </c>
      <c r="E537" s="8" t="s">
        <v>699</v>
      </c>
      <c r="F537" s="9" t="n">
        <v>3</v>
      </c>
      <c r="G537" s="20" t="n">
        <v>15.01</v>
      </c>
      <c r="H537" s="20" t="n">
        <v>45.03</v>
      </c>
    </row>
    <row r="538" customFormat="false" ht="15" hidden="false" customHeight="false" outlineLevel="0" collapsed="false">
      <c r="A538" s="8" t="s">
        <v>1260</v>
      </c>
      <c r="B538" s="10" t="n">
        <v>46015</v>
      </c>
      <c r="C538" s="8" t="s">
        <v>166</v>
      </c>
      <c r="D538" s="8" t="s">
        <v>698</v>
      </c>
      <c r="E538" s="8" t="s">
        <v>729</v>
      </c>
      <c r="F538" s="9" t="n">
        <v>1</v>
      </c>
      <c r="G538" s="20" t="n">
        <v>148.53</v>
      </c>
      <c r="H538" s="20" t="n">
        <v>148.53</v>
      </c>
    </row>
    <row r="539" customFormat="false" ht="15" hidden="false" customHeight="false" outlineLevel="0" collapsed="false">
      <c r="A539" s="8" t="s">
        <v>1261</v>
      </c>
      <c r="B539" s="10" t="n">
        <v>45906</v>
      </c>
      <c r="C539" s="8" t="s">
        <v>115</v>
      </c>
      <c r="D539" s="8" t="s">
        <v>698</v>
      </c>
      <c r="E539" s="8" t="s">
        <v>821</v>
      </c>
      <c r="F539" s="9" t="n">
        <v>4</v>
      </c>
      <c r="G539" s="20" t="n">
        <v>43.91</v>
      </c>
      <c r="H539" s="20" t="n">
        <v>175.64</v>
      </c>
    </row>
    <row r="540" customFormat="false" ht="15" hidden="false" customHeight="false" outlineLevel="0" collapsed="false">
      <c r="A540" s="8" t="s">
        <v>1262</v>
      </c>
      <c r="B540" s="10" t="n">
        <v>45999</v>
      </c>
      <c r="C540" s="8" t="s">
        <v>390</v>
      </c>
      <c r="D540" s="8" t="s">
        <v>703</v>
      </c>
      <c r="E540" s="8" t="s">
        <v>785</v>
      </c>
      <c r="F540" s="9" t="n">
        <v>1</v>
      </c>
      <c r="G540" s="20" t="n">
        <v>23.65</v>
      </c>
      <c r="H540" s="20" t="n">
        <v>23.65</v>
      </c>
    </row>
    <row r="541" customFormat="false" ht="15" hidden="false" customHeight="false" outlineLevel="0" collapsed="false">
      <c r="A541" s="8" t="s">
        <v>1263</v>
      </c>
      <c r="B541" s="10" t="n">
        <v>46003</v>
      </c>
      <c r="C541" s="8" t="s">
        <v>390</v>
      </c>
      <c r="D541" s="8" t="s">
        <v>703</v>
      </c>
      <c r="E541" s="8" t="s">
        <v>785</v>
      </c>
      <c r="F541" s="9" t="n">
        <v>8</v>
      </c>
      <c r="G541" s="20" t="n">
        <v>26.75</v>
      </c>
      <c r="H541" s="20" t="n">
        <v>214</v>
      </c>
    </row>
    <row r="542" customFormat="false" ht="15" hidden="false" customHeight="false" outlineLevel="0" collapsed="false">
      <c r="A542" s="8" t="s">
        <v>1264</v>
      </c>
      <c r="B542" s="10" t="n">
        <v>46112</v>
      </c>
      <c r="C542" s="8" t="s">
        <v>166</v>
      </c>
      <c r="D542" s="8" t="s">
        <v>698</v>
      </c>
      <c r="E542" s="8" t="s">
        <v>729</v>
      </c>
      <c r="F542" s="9" t="n">
        <v>5</v>
      </c>
      <c r="G542" s="20" t="n">
        <v>161.15</v>
      </c>
      <c r="H542" s="20" t="n">
        <v>805.75</v>
      </c>
    </row>
    <row r="543" customFormat="false" ht="15" hidden="false" customHeight="false" outlineLevel="0" collapsed="false">
      <c r="A543" s="8" t="s">
        <v>1265</v>
      </c>
      <c r="B543" s="10" t="n">
        <v>46072</v>
      </c>
      <c r="C543" s="8" t="s">
        <v>390</v>
      </c>
      <c r="D543" s="8" t="s">
        <v>698</v>
      </c>
      <c r="E543" s="8" t="s">
        <v>708</v>
      </c>
      <c r="F543" s="9" t="n">
        <v>5</v>
      </c>
      <c r="G543" s="20" t="n">
        <v>9.77</v>
      </c>
      <c r="H543" s="20" t="n">
        <v>48.85</v>
      </c>
    </row>
    <row r="544" customFormat="false" ht="15" hidden="false" customHeight="false" outlineLevel="0" collapsed="false">
      <c r="A544" s="8" t="s">
        <v>1266</v>
      </c>
      <c r="B544" s="10" t="n">
        <v>46091</v>
      </c>
      <c r="C544" s="8" t="s">
        <v>262</v>
      </c>
      <c r="D544" s="8" t="s">
        <v>698</v>
      </c>
      <c r="E544" s="8" t="s">
        <v>737</v>
      </c>
      <c r="F544" s="9" t="n">
        <v>6</v>
      </c>
      <c r="G544" s="20" t="n">
        <v>11.88</v>
      </c>
      <c r="H544" s="20" t="n">
        <v>71.28</v>
      </c>
    </row>
    <row r="545" customFormat="false" ht="15" hidden="false" customHeight="false" outlineLevel="0" collapsed="false">
      <c r="A545" s="8" t="s">
        <v>1267</v>
      </c>
      <c r="B545" s="10" t="n">
        <v>46168</v>
      </c>
      <c r="C545" s="8" t="s">
        <v>115</v>
      </c>
      <c r="D545" s="8" t="s">
        <v>698</v>
      </c>
      <c r="E545" s="8" t="s">
        <v>821</v>
      </c>
      <c r="F545" s="9" t="n">
        <v>2</v>
      </c>
      <c r="G545" s="20" t="n">
        <v>47.02</v>
      </c>
      <c r="H545" s="20" t="n">
        <v>94.04</v>
      </c>
    </row>
    <row r="546" customFormat="false" ht="15" hidden="false" customHeight="false" outlineLevel="0" collapsed="false">
      <c r="A546" s="8" t="s">
        <v>1268</v>
      </c>
      <c r="B546" s="10" t="n">
        <v>46129</v>
      </c>
      <c r="C546" s="8" t="s">
        <v>52</v>
      </c>
      <c r="D546" s="8" t="s">
        <v>698</v>
      </c>
      <c r="E546" s="8" t="s">
        <v>699</v>
      </c>
      <c r="F546" s="9" t="n">
        <v>6</v>
      </c>
      <c r="G546" s="20" t="n">
        <v>14.66</v>
      </c>
      <c r="H546" s="20" t="n">
        <v>87.96</v>
      </c>
    </row>
    <row r="547" customFormat="false" ht="15" hidden="false" customHeight="false" outlineLevel="0" collapsed="false">
      <c r="A547" s="8" t="s">
        <v>1269</v>
      </c>
      <c r="B547" s="10" t="n">
        <v>46246</v>
      </c>
      <c r="C547" s="8" t="s">
        <v>277</v>
      </c>
      <c r="D547" s="8" t="s">
        <v>698</v>
      </c>
      <c r="E547" s="8" t="s">
        <v>710</v>
      </c>
      <c r="F547" s="9" t="n">
        <v>2</v>
      </c>
      <c r="G547" s="20" t="n">
        <v>56.87</v>
      </c>
      <c r="H547" s="20" t="n">
        <v>113.74</v>
      </c>
    </row>
    <row r="548" customFormat="false" ht="15" hidden="false" customHeight="false" outlineLevel="0" collapsed="false">
      <c r="A548" s="8" t="s">
        <v>1270</v>
      </c>
      <c r="B548" s="10" t="n">
        <v>45949</v>
      </c>
      <c r="C548" s="8" t="s">
        <v>323</v>
      </c>
      <c r="D548" s="8" t="s">
        <v>698</v>
      </c>
      <c r="E548" s="8" t="s">
        <v>804</v>
      </c>
      <c r="F548" s="9" t="n">
        <v>1</v>
      </c>
      <c r="G548" s="20" t="n">
        <v>99.43</v>
      </c>
      <c r="H548" s="20" t="n">
        <v>99.43</v>
      </c>
    </row>
    <row r="549" customFormat="false" ht="15" hidden="false" customHeight="false" outlineLevel="0" collapsed="false">
      <c r="A549" s="8" t="s">
        <v>1271</v>
      </c>
      <c r="B549" s="10" t="n">
        <v>46120</v>
      </c>
      <c r="C549" s="8" t="s">
        <v>69</v>
      </c>
      <c r="D549" s="8" t="s">
        <v>698</v>
      </c>
      <c r="E549" s="8" t="s">
        <v>713</v>
      </c>
      <c r="F549" s="9" t="n">
        <v>2</v>
      </c>
      <c r="G549" s="20" t="n">
        <v>17.65</v>
      </c>
      <c r="H549" s="20" t="n">
        <v>35.3</v>
      </c>
    </row>
    <row r="550" customFormat="false" ht="15" hidden="false" customHeight="false" outlineLevel="0" collapsed="false">
      <c r="A550" s="8" t="s">
        <v>1272</v>
      </c>
      <c r="B550" s="10" t="n">
        <v>46081</v>
      </c>
      <c r="C550" s="8" t="s">
        <v>277</v>
      </c>
      <c r="D550" s="8" t="s">
        <v>698</v>
      </c>
      <c r="E550" s="8" t="s">
        <v>710</v>
      </c>
      <c r="F550" s="9" t="n">
        <v>7</v>
      </c>
      <c r="G550" s="20" t="n">
        <v>63.37</v>
      </c>
      <c r="H550" s="20" t="n">
        <v>443.59</v>
      </c>
    </row>
    <row r="551" customFormat="false" ht="15" hidden="false" customHeight="false" outlineLevel="0" collapsed="false">
      <c r="A551" s="8" t="s">
        <v>1273</v>
      </c>
      <c r="B551" s="10" t="n">
        <v>45957</v>
      </c>
      <c r="C551" s="8" t="s">
        <v>115</v>
      </c>
      <c r="D551" s="8" t="s">
        <v>703</v>
      </c>
      <c r="E551" s="8" t="s">
        <v>772</v>
      </c>
      <c r="F551" s="9" t="n">
        <v>3</v>
      </c>
      <c r="G551" s="20" t="n">
        <v>105.47</v>
      </c>
      <c r="H551" s="20" t="n">
        <v>316.41</v>
      </c>
    </row>
    <row r="552" customFormat="false" ht="15" hidden="false" customHeight="false" outlineLevel="0" collapsed="false">
      <c r="A552" s="8" t="s">
        <v>1274</v>
      </c>
      <c r="B552" s="10" t="n">
        <v>46201</v>
      </c>
      <c r="C552" s="8" t="s">
        <v>52</v>
      </c>
      <c r="D552" s="8" t="s">
        <v>703</v>
      </c>
      <c r="E552" s="8" t="s">
        <v>720</v>
      </c>
      <c r="F552" s="9" t="n">
        <v>5</v>
      </c>
      <c r="G552" s="20" t="n">
        <v>37.05</v>
      </c>
      <c r="H552" s="20" t="n">
        <v>185.25</v>
      </c>
    </row>
    <row r="553" customFormat="false" ht="15" hidden="false" customHeight="false" outlineLevel="0" collapsed="false">
      <c r="A553" s="8" t="s">
        <v>1275</v>
      </c>
      <c r="B553" s="10" t="n">
        <v>46152</v>
      </c>
      <c r="C553" s="8" t="s">
        <v>166</v>
      </c>
      <c r="D553" s="8" t="s">
        <v>698</v>
      </c>
      <c r="E553" s="8" t="s">
        <v>729</v>
      </c>
      <c r="F553" s="9" t="n">
        <v>6</v>
      </c>
      <c r="G553" s="20" t="n">
        <v>139.75</v>
      </c>
      <c r="H553" s="20" t="n">
        <v>838.5</v>
      </c>
    </row>
    <row r="554" customFormat="false" ht="15" hidden="false" customHeight="false" outlineLevel="0" collapsed="false">
      <c r="A554" s="8" t="s">
        <v>1276</v>
      </c>
      <c r="B554" s="10" t="n">
        <v>46168</v>
      </c>
      <c r="C554" s="8" t="s">
        <v>390</v>
      </c>
      <c r="D554" s="8" t="s">
        <v>703</v>
      </c>
      <c r="E554" s="8" t="s">
        <v>785</v>
      </c>
      <c r="F554" s="9" t="n">
        <v>1</v>
      </c>
      <c r="G554" s="20" t="n">
        <v>25.78</v>
      </c>
      <c r="H554" s="20" t="n">
        <v>25.78</v>
      </c>
    </row>
    <row r="555" customFormat="false" ht="15" hidden="false" customHeight="false" outlineLevel="0" collapsed="false">
      <c r="A555" s="8" t="s">
        <v>1277</v>
      </c>
      <c r="B555" s="10" t="n">
        <v>46137</v>
      </c>
      <c r="C555" s="8" t="s">
        <v>262</v>
      </c>
      <c r="D555" s="8" t="s">
        <v>698</v>
      </c>
      <c r="E555" s="8" t="s">
        <v>737</v>
      </c>
      <c r="F555" s="9" t="n">
        <v>6</v>
      </c>
      <c r="G555" s="20" t="n">
        <v>11.56</v>
      </c>
      <c r="H555" s="20" t="n">
        <v>69.36</v>
      </c>
    </row>
    <row r="556" customFormat="false" ht="15" hidden="false" customHeight="false" outlineLevel="0" collapsed="false">
      <c r="A556" s="8" t="s">
        <v>1278</v>
      </c>
      <c r="B556" s="10" t="n">
        <v>45950</v>
      </c>
      <c r="C556" s="8" t="s">
        <v>52</v>
      </c>
      <c r="D556" s="8" t="s">
        <v>703</v>
      </c>
      <c r="E556" s="8" t="s">
        <v>720</v>
      </c>
      <c r="F556" s="9" t="n">
        <v>5</v>
      </c>
      <c r="G556" s="20" t="n">
        <v>37.23</v>
      </c>
      <c r="H556" s="20" t="n">
        <v>186.15</v>
      </c>
    </row>
    <row r="557" customFormat="false" ht="15" hidden="false" customHeight="false" outlineLevel="0" collapsed="false">
      <c r="A557" s="8" t="s">
        <v>1279</v>
      </c>
      <c r="B557" s="10" t="n">
        <v>45974</v>
      </c>
      <c r="C557" s="8" t="s">
        <v>646</v>
      </c>
      <c r="D557" s="8" t="s">
        <v>698</v>
      </c>
      <c r="E557" s="8" t="s">
        <v>782</v>
      </c>
      <c r="F557" s="9" t="n">
        <v>2</v>
      </c>
      <c r="G557" s="20" t="n">
        <v>64.43</v>
      </c>
      <c r="H557" s="20" t="n">
        <v>128.86</v>
      </c>
    </row>
    <row r="558" customFormat="false" ht="15" hidden="false" customHeight="false" outlineLevel="0" collapsed="false">
      <c r="A558" s="8" t="s">
        <v>1280</v>
      </c>
      <c r="B558" s="10" t="n">
        <v>46177</v>
      </c>
      <c r="C558" s="8" t="s">
        <v>650</v>
      </c>
      <c r="D558" s="8" t="s">
        <v>698</v>
      </c>
      <c r="E558" s="8" t="s">
        <v>800</v>
      </c>
      <c r="F558" s="9" t="n">
        <v>1</v>
      </c>
      <c r="G558" s="20" t="n">
        <v>29.38</v>
      </c>
      <c r="H558" s="20" t="n">
        <v>29.38</v>
      </c>
    </row>
    <row r="559" customFormat="false" ht="15" hidden="false" customHeight="false" outlineLevel="0" collapsed="false">
      <c r="A559" s="8" t="s">
        <v>1281</v>
      </c>
      <c r="B559" s="10" t="n">
        <v>46151</v>
      </c>
      <c r="C559" s="8" t="s">
        <v>214</v>
      </c>
      <c r="D559" s="8" t="s">
        <v>698</v>
      </c>
      <c r="E559" s="8" t="s">
        <v>701</v>
      </c>
      <c r="F559" s="9" t="n">
        <v>8</v>
      </c>
      <c r="G559" s="20" t="n">
        <v>19.59</v>
      </c>
      <c r="H559" s="20" t="n">
        <v>156.72</v>
      </c>
    </row>
    <row r="560" customFormat="false" ht="15" hidden="false" customHeight="false" outlineLevel="0" collapsed="false">
      <c r="A560" s="8" t="s">
        <v>1282</v>
      </c>
      <c r="B560" s="10" t="n">
        <v>45929</v>
      </c>
      <c r="C560" s="8" t="s">
        <v>52</v>
      </c>
      <c r="D560" s="8" t="s">
        <v>698</v>
      </c>
      <c r="E560" s="8" t="s">
        <v>699</v>
      </c>
      <c r="F560" s="9" t="n">
        <v>2</v>
      </c>
      <c r="G560" s="20" t="n">
        <v>15.8</v>
      </c>
      <c r="H560" s="20" t="n">
        <v>31.6</v>
      </c>
    </row>
    <row r="561" customFormat="false" ht="15" hidden="false" customHeight="false" outlineLevel="0" collapsed="false">
      <c r="A561" s="8" t="s">
        <v>1283</v>
      </c>
      <c r="B561" s="10" t="n">
        <v>46175</v>
      </c>
      <c r="C561" s="8" t="s">
        <v>52</v>
      </c>
      <c r="D561" s="8" t="s">
        <v>703</v>
      </c>
      <c r="E561" s="8" t="s">
        <v>720</v>
      </c>
      <c r="F561" s="9" t="n">
        <v>1</v>
      </c>
      <c r="G561" s="20" t="n">
        <v>36.33</v>
      </c>
      <c r="H561" s="20" t="n">
        <v>36.33</v>
      </c>
    </row>
    <row r="562" customFormat="false" ht="15" hidden="false" customHeight="false" outlineLevel="0" collapsed="false">
      <c r="A562" s="8" t="s">
        <v>1284</v>
      </c>
      <c r="B562" s="10" t="n">
        <v>46098</v>
      </c>
      <c r="C562" s="8" t="s">
        <v>69</v>
      </c>
      <c r="D562" s="8" t="s">
        <v>698</v>
      </c>
      <c r="E562" s="8" t="s">
        <v>713</v>
      </c>
      <c r="F562" s="9" t="n">
        <v>3</v>
      </c>
      <c r="G562" s="20" t="n">
        <v>17.03</v>
      </c>
      <c r="H562" s="20" t="n">
        <v>51.09</v>
      </c>
    </row>
    <row r="563" customFormat="false" ht="15" hidden="false" customHeight="false" outlineLevel="0" collapsed="false">
      <c r="A563" s="8" t="s">
        <v>1285</v>
      </c>
      <c r="B563" s="10" t="n">
        <v>46219</v>
      </c>
      <c r="C563" s="8" t="s">
        <v>214</v>
      </c>
      <c r="D563" s="8" t="s">
        <v>703</v>
      </c>
      <c r="E563" s="8" t="s">
        <v>715</v>
      </c>
      <c r="F563" s="9" t="n">
        <v>1</v>
      </c>
      <c r="G563" s="20" t="n">
        <v>47.04</v>
      </c>
      <c r="H563" s="20" t="n">
        <v>47.04</v>
      </c>
    </row>
    <row r="564" customFormat="false" ht="15" hidden="false" customHeight="false" outlineLevel="0" collapsed="false">
      <c r="A564" s="8" t="s">
        <v>1286</v>
      </c>
      <c r="B564" s="10" t="n">
        <v>46060</v>
      </c>
      <c r="C564" s="8" t="s">
        <v>214</v>
      </c>
      <c r="D564" s="8" t="s">
        <v>698</v>
      </c>
      <c r="E564" s="8" t="s">
        <v>701</v>
      </c>
      <c r="F564" s="9" t="n">
        <v>3</v>
      </c>
      <c r="G564" s="20" t="n">
        <v>20.13</v>
      </c>
      <c r="H564" s="20" t="n">
        <v>60.39</v>
      </c>
    </row>
    <row r="565" customFormat="false" ht="15" hidden="false" customHeight="false" outlineLevel="0" collapsed="false">
      <c r="A565" s="8" t="s">
        <v>1287</v>
      </c>
      <c r="B565" s="10" t="n">
        <v>46162</v>
      </c>
      <c r="C565" s="8" t="s">
        <v>277</v>
      </c>
      <c r="D565" s="8" t="s">
        <v>698</v>
      </c>
      <c r="E565" s="8" t="s">
        <v>710</v>
      </c>
      <c r="F565" s="9" t="n">
        <v>3</v>
      </c>
      <c r="G565" s="20" t="n">
        <v>63.76</v>
      </c>
      <c r="H565" s="20" t="n">
        <v>191.28</v>
      </c>
    </row>
    <row r="566" customFormat="false" ht="15" hidden="false" customHeight="false" outlineLevel="0" collapsed="false">
      <c r="A566" s="8" t="s">
        <v>1288</v>
      </c>
      <c r="B566" s="10" t="n">
        <v>46196</v>
      </c>
      <c r="C566" s="8" t="s">
        <v>390</v>
      </c>
      <c r="D566" s="8" t="s">
        <v>698</v>
      </c>
      <c r="E566" s="8" t="s">
        <v>708</v>
      </c>
      <c r="F566" s="9" t="n">
        <v>1</v>
      </c>
      <c r="G566" s="20" t="n">
        <v>10.3</v>
      </c>
      <c r="H566" s="20" t="n">
        <v>10.3</v>
      </c>
    </row>
    <row r="567" customFormat="false" ht="15" hidden="false" customHeight="false" outlineLevel="0" collapsed="false">
      <c r="A567" s="8" t="s">
        <v>1289</v>
      </c>
      <c r="B567" s="10" t="n">
        <v>46114</v>
      </c>
      <c r="C567" s="8" t="s">
        <v>323</v>
      </c>
      <c r="D567" s="8" t="s">
        <v>703</v>
      </c>
      <c r="E567" s="8" t="s">
        <v>704</v>
      </c>
      <c r="F567" s="9" t="n">
        <v>3</v>
      </c>
      <c r="G567" s="20" t="n">
        <v>228.8</v>
      </c>
      <c r="H567" s="20" t="n">
        <v>686.4</v>
      </c>
    </row>
    <row r="568" customFormat="false" ht="15" hidden="false" customHeight="false" outlineLevel="0" collapsed="false">
      <c r="A568" s="8" t="s">
        <v>1290</v>
      </c>
      <c r="B568" s="10" t="n">
        <v>46063</v>
      </c>
      <c r="C568" s="8" t="s">
        <v>390</v>
      </c>
      <c r="D568" s="8" t="s">
        <v>698</v>
      </c>
      <c r="E568" s="8" t="s">
        <v>708</v>
      </c>
      <c r="F568" s="9" t="n">
        <v>3</v>
      </c>
      <c r="G568" s="20" t="n">
        <v>10.65</v>
      </c>
      <c r="H568" s="20" t="n">
        <v>31.95</v>
      </c>
    </row>
    <row r="569" customFormat="false" ht="15" hidden="false" customHeight="false" outlineLevel="0" collapsed="false">
      <c r="A569" s="8" t="s">
        <v>1291</v>
      </c>
      <c r="B569" s="10" t="n">
        <v>46076</v>
      </c>
      <c r="C569" s="8" t="s">
        <v>262</v>
      </c>
      <c r="D569" s="8" t="s">
        <v>698</v>
      </c>
      <c r="E569" s="8" t="s">
        <v>737</v>
      </c>
      <c r="F569" s="9" t="n">
        <v>3</v>
      </c>
      <c r="G569" s="20" t="n">
        <v>12.24</v>
      </c>
      <c r="H569" s="20" t="n">
        <v>36.72</v>
      </c>
    </row>
    <row r="570" customFormat="false" ht="15" hidden="false" customHeight="false" outlineLevel="0" collapsed="false">
      <c r="A570" s="8" t="s">
        <v>1292</v>
      </c>
      <c r="B570" s="10" t="n">
        <v>46054</v>
      </c>
      <c r="C570" s="8" t="s">
        <v>214</v>
      </c>
      <c r="D570" s="8" t="s">
        <v>698</v>
      </c>
      <c r="E570" s="8" t="s">
        <v>701</v>
      </c>
      <c r="F570" s="9" t="n">
        <v>6</v>
      </c>
      <c r="G570" s="20" t="n">
        <v>21.38</v>
      </c>
      <c r="H570" s="20" t="n">
        <v>128.28</v>
      </c>
    </row>
    <row r="571" customFormat="false" ht="15" hidden="false" customHeight="false" outlineLevel="0" collapsed="false">
      <c r="A571" s="8" t="s">
        <v>1293</v>
      </c>
      <c r="B571" s="10" t="n">
        <v>46209</v>
      </c>
      <c r="C571" s="8" t="s">
        <v>52</v>
      </c>
      <c r="D571" s="8" t="s">
        <v>703</v>
      </c>
      <c r="E571" s="8" t="s">
        <v>720</v>
      </c>
      <c r="F571" s="9" t="n">
        <v>2</v>
      </c>
      <c r="G571" s="20" t="n">
        <v>34.21</v>
      </c>
      <c r="H571" s="20" t="n">
        <v>68.42</v>
      </c>
    </row>
    <row r="572" customFormat="false" ht="15" hidden="false" customHeight="false" outlineLevel="0" collapsed="false">
      <c r="A572" s="8" t="s">
        <v>1294</v>
      </c>
      <c r="B572" s="10" t="n">
        <v>46252</v>
      </c>
      <c r="C572" s="8" t="s">
        <v>166</v>
      </c>
      <c r="D572" s="8" t="s">
        <v>698</v>
      </c>
      <c r="E572" s="8" t="s">
        <v>729</v>
      </c>
      <c r="F572" s="9" t="n">
        <v>2</v>
      </c>
      <c r="G572" s="20" t="n">
        <v>146.12</v>
      </c>
      <c r="H572" s="20" t="n">
        <v>292.24</v>
      </c>
    </row>
    <row r="573" customFormat="false" ht="15" hidden="false" customHeight="false" outlineLevel="0" collapsed="false">
      <c r="A573" s="8" t="s">
        <v>1295</v>
      </c>
      <c r="B573" s="10" t="n">
        <v>46086</v>
      </c>
      <c r="C573" s="8" t="s">
        <v>166</v>
      </c>
      <c r="D573" s="8" t="s">
        <v>698</v>
      </c>
      <c r="E573" s="8" t="s">
        <v>729</v>
      </c>
      <c r="F573" s="9" t="n">
        <v>1</v>
      </c>
      <c r="G573" s="20" t="n">
        <v>155.19</v>
      </c>
      <c r="H573" s="20" t="n">
        <v>155.19</v>
      </c>
    </row>
    <row r="574" customFormat="false" ht="15" hidden="false" customHeight="false" outlineLevel="0" collapsed="false">
      <c r="A574" s="8" t="s">
        <v>1296</v>
      </c>
      <c r="B574" s="10" t="n">
        <v>45939</v>
      </c>
      <c r="C574" s="8" t="s">
        <v>390</v>
      </c>
      <c r="D574" s="8" t="s">
        <v>698</v>
      </c>
      <c r="E574" s="8" t="s">
        <v>708</v>
      </c>
      <c r="F574" s="9" t="n">
        <v>1</v>
      </c>
      <c r="G574" s="20" t="n">
        <v>10.3</v>
      </c>
      <c r="H574" s="20" t="n">
        <v>10.3</v>
      </c>
    </row>
    <row r="575" customFormat="false" ht="15" hidden="false" customHeight="false" outlineLevel="0" collapsed="false">
      <c r="A575" s="8" t="s">
        <v>1297</v>
      </c>
      <c r="B575" s="10" t="n">
        <v>45967</v>
      </c>
      <c r="C575" s="8" t="s">
        <v>394</v>
      </c>
      <c r="D575" s="8" t="s">
        <v>703</v>
      </c>
      <c r="E575" s="8" t="s">
        <v>1123</v>
      </c>
      <c r="F575" s="9" t="n">
        <v>6</v>
      </c>
      <c r="G575" s="20" t="n">
        <v>54.56</v>
      </c>
      <c r="H575" s="20" t="n">
        <v>327.36</v>
      </c>
    </row>
    <row r="576" customFormat="false" ht="15" hidden="false" customHeight="false" outlineLevel="0" collapsed="false">
      <c r="A576" s="8" t="s">
        <v>1298</v>
      </c>
      <c r="B576" s="10" t="n">
        <v>46232</v>
      </c>
      <c r="C576" s="8" t="s">
        <v>214</v>
      </c>
      <c r="D576" s="8" t="s">
        <v>698</v>
      </c>
      <c r="E576" s="8" t="s">
        <v>701</v>
      </c>
      <c r="F576" s="9" t="n">
        <v>5</v>
      </c>
      <c r="G576" s="20" t="n">
        <v>19.22</v>
      </c>
      <c r="H576" s="20" t="n">
        <v>96.1</v>
      </c>
    </row>
    <row r="577" customFormat="false" ht="15" hidden="false" customHeight="false" outlineLevel="0" collapsed="false">
      <c r="A577" s="8" t="s">
        <v>1299</v>
      </c>
      <c r="B577" s="10" t="n">
        <v>46188</v>
      </c>
      <c r="C577" s="8" t="s">
        <v>214</v>
      </c>
      <c r="D577" s="8" t="s">
        <v>703</v>
      </c>
      <c r="E577" s="8" t="s">
        <v>715</v>
      </c>
      <c r="F577" s="9" t="n">
        <v>6</v>
      </c>
      <c r="G577" s="20" t="n">
        <v>45.58</v>
      </c>
      <c r="H577" s="20" t="n">
        <v>273.48</v>
      </c>
    </row>
    <row r="578" customFormat="false" ht="15" hidden="false" customHeight="false" outlineLevel="0" collapsed="false">
      <c r="A578" s="8" t="s">
        <v>1300</v>
      </c>
      <c r="B578" s="10" t="n">
        <v>46207</v>
      </c>
      <c r="C578" s="8" t="s">
        <v>52</v>
      </c>
      <c r="D578" s="8" t="s">
        <v>698</v>
      </c>
      <c r="E578" s="8" t="s">
        <v>699</v>
      </c>
      <c r="F578" s="9" t="n">
        <v>2</v>
      </c>
      <c r="G578" s="20" t="n">
        <v>14.32</v>
      </c>
      <c r="H578" s="20" t="n">
        <v>28.64</v>
      </c>
    </row>
    <row r="579" customFormat="false" ht="15" hidden="false" customHeight="false" outlineLevel="0" collapsed="false">
      <c r="A579" s="8" t="s">
        <v>1301</v>
      </c>
      <c r="B579" s="10" t="n">
        <v>46252</v>
      </c>
      <c r="C579" s="8" t="s">
        <v>52</v>
      </c>
      <c r="D579" s="8" t="s">
        <v>698</v>
      </c>
      <c r="E579" s="8" t="s">
        <v>699</v>
      </c>
      <c r="F579" s="9" t="n">
        <v>7</v>
      </c>
      <c r="G579" s="20" t="n">
        <v>15.44</v>
      </c>
      <c r="H579" s="20" t="n">
        <v>108.08</v>
      </c>
    </row>
    <row r="580" customFormat="false" ht="15" hidden="false" customHeight="false" outlineLevel="0" collapsed="false">
      <c r="A580" s="8" t="s">
        <v>1302</v>
      </c>
      <c r="B580" s="10" t="n">
        <v>46197</v>
      </c>
      <c r="C580" s="8" t="s">
        <v>115</v>
      </c>
      <c r="D580" s="8" t="s">
        <v>703</v>
      </c>
      <c r="E580" s="8" t="s">
        <v>772</v>
      </c>
      <c r="F580" s="9" t="n">
        <v>7</v>
      </c>
      <c r="G580" s="20" t="n">
        <v>114.9</v>
      </c>
      <c r="H580" s="20" t="n">
        <v>804.3</v>
      </c>
    </row>
    <row r="581" customFormat="false" ht="15" hidden="false" customHeight="false" outlineLevel="0" collapsed="false">
      <c r="A581" s="8" t="s">
        <v>1303</v>
      </c>
      <c r="B581" s="10" t="n">
        <v>46175</v>
      </c>
      <c r="C581" s="8" t="s">
        <v>52</v>
      </c>
      <c r="D581" s="8" t="s">
        <v>698</v>
      </c>
      <c r="E581" s="8" t="s">
        <v>699</v>
      </c>
      <c r="F581" s="9" t="n">
        <v>1</v>
      </c>
      <c r="G581" s="20" t="n">
        <v>15.33</v>
      </c>
      <c r="H581" s="20" t="n">
        <v>15.33</v>
      </c>
    </row>
    <row r="582" customFormat="false" ht="15" hidden="false" customHeight="false" outlineLevel="0" collapsed="false">
      <c r="A582" s="8" t="s">
        <v>1304</v>
      </c>
      <c r="B582" s="10" t="n">
        <v>46194</v>
      </c>
      <c r="C582" s="8" t="s">
        <v>154</v>
      </c>
      <c r="D582" s="8" t="s">
        <v>698</v>
      </c>
      <c r="E582" s="8" t="s">
        <v>750</v>
      </c>
      <c r="F582" s="9" t="n">
        <v>1</v>
      </c>
      <c r="G582" s="20" t="n">
        <v>26.08</v>
      </c>
      <c r="H582" s="20" t="n">
        <v>26.08</v>
      </c>
    </row>
    <row r="583" customFormat="false" ht="15" hidden="false" customHeight="false" outlineLevel="0" collapsed="false">
      <c r="A583" s="8" t="s">
        <v>1305</v>
      </c>
      <c r="B583" s="10" t="n">
        <v>46171</v>
      </c>
      <c r="C583" s="8" t="s">
        <v>394</v>
      </c>
      <c r="D583" s="8" t="s">
        <v>698</v>
      </c>
      <c r="E583" s="8" t="s">
        <v>776</v>
      </c>
      <c r="F583" s="9" t="n">
        <v>1</v>
      </c>
      <c r="G583" s="20" t="n">
        <v>20.85</v>
      </c>
      <c r="H583" s="20" t="n">
        <v>20.85</v>
      </c>
    </row>
    <row r="584" customFormat="false" ht="15" hidden="false" customHeight="false" outlineLevel="0" collapsed="false">
      <c r="A584" s="8" t="s">
        <v>1306</v>
      </c>
      <c r="B584" s="10" t="n">
        <v>45994</v>
      </c>
      <c r="C584" s="8" t="s">
        <v>390</v>
      </c>
      <c r="D584" s="8" t="s">
        <v>703</v>
      </c>
      <c r="E584" s="8" t="s">
        <v>785</v>
      </c>
      <c r="F584" s="9" t="n">
        <v>2</v>
      </c>
      <c r="G584" s="20" t="n">
        <v>23.33</v>
      </c>
      <c r="H584" s="20" t="n">
        <v>46.66</v>
      </c>
    </row>
    <row r="585" customFormat="false" ht="15" hidden="false" customHeight="false" outlineLevel="0" collapsed="false">
      <c r="A585" s="8" t="s">
        <v>1307</v>
      </c>
      <c r="B585" s="10" t="n">
        <v>46006</v>
      </c>
      <c r="C585" s="8" t="s">
        <v>145</v>
      </c>
      <c r="D585" s="8" t="s">
        <v>703</v>
      </c>
      <c r="E585" s="8" t="s">
        <v>706</v>
      </c>
      <c r="F585" s="9" t="n">
        <v>3</v>
      </c>
      <c r="G585" s="20" t="n">
        <v>235.1</v>
      </c>
      <c r="H585" s="20" t="n">
        <v>705.3</v>
      </c>
    </row>
    <row r="586" customFormat="false" ht="15" hidden="false" customHeight="false" outlineLevel="0" collapsed="false">
      <c r="A586" s="8" t="s">
        <v>1308</v>
      </c>
      <c r="B586" s="10" t="n">
        <v>45989</v>
      </c>
      <c r="C586" s="8" t="s">
        <v>323</v>
      </c>
      <c r="D586" s="8" t="s">
        <v>703</v>
      </c>
      <c r="E586" s="8" t="s">
        <v>704</v>
      </c>
      <c r="F586" s="9" t="n">
        <v>1</v>
      </c>
      <c r="G586" s="20" t="n">
        <v>228.8</v>
      </c>
      <c r="H586" s="20" t="n">
        <v>228.8</v>
      </c>
    </row>
    <row r="587" customFormat="false" ht="15" hidden="false" customHeight="false" outlineLevel="0" collapsed="false">
      <c r="A587" s="8" t="s">
        <v>1309</v>
      </c>
      <c r="B587" s="10" t="n">
        <v>45997</v>
      </c>
      <c r="C587" s="8" t="s">
        <v>646</v>
      </c>
      <c r="D587" s="8" t="s">
        <v>698</v>
      </c>
      <c r="E587" s="8" t="s">
        <v>782</v>
      </c>
      <c r="F587" s="9" t="n">
        <v>5</v>
      </c>
      <c r="G587" s="20" t="n">
        <v>72.08</v>
      </c>
      <c r="H587" s="20" t="n">
        <v>360.4</v>
      </c>
    </row>
    <row r="588" customFormat="false" ht="15" hidden="false" customHeight="false" outlineLevel="0" collapsed="false">
      <c r="A588" s="8" t="s">
        <v>1310</v>
      </c>
      <c r="B588" s="10" t="n">
        <v>46212</v>
      </c>
      <c r="C588" s="8" t="s">
        <v>154</v>
      </c>
      <c r="D588" s="8" t="s">
        <v>703</v>
      </c>
      <c r="E588" s="8" t="s">
        <v>778</v>
      </c>
      <c r="F588" s="9" t="n">
        <v>2</v>
      </c>
      <c r="G588" s="20" t="n">
        <v>53.92</v>
      </c>
      <c r="H588" s="20" t="n">
        <v>107.84</v>
      </c>
    </row>
    <row r="589" customFormat="false" ht="15" hidden="false" customHeight="false" outlineLevel="0" collapsed="false">
      <c r="A589" s="8" t="s">
        <v>1311</v>
      </c>
      <c r="B589" s="10" t="n">
        <v>46215</v>
      </c>
      <c r="C589" s="8" t="s">
        <v>52</v>
      </c>
      <c r="D589" s="8" t="s">
        <v>703</v>
      </c>
      <c r="E589" s="8" t="s">
        <v>720</v>
      </c>
      <c r="F589" s="9" t="n">
        <v>4</v>
      </c>
      <c r="G589" s="20" t="n">
        <v>33.35</v>
      </c>
      <c r="H589" s="20" t="n">
        <v>133.4</v>
      </c>
    </row>
    <row r="590" customFormat="false" ht="15" hidden="false" customHeight="false" outlineLevel="0" collapsed="false">
      <c r="A590" s="8" t="s">
        <v>1312</v>
      </c>
      <c r="B590" s="10" t="n">
        <v>45930</v>
      </c>
      <c r="C590" s="8" t="s">
        <v>277</v>
      </c>
      <c r="D590" s="8" t="s">
        <v>698</v>
      </c>
      <c r="E590" s="8" t="s">
        <v>710</v>
      </c>
      <c r="F590" s="9" t="n">
        <v>4</v>
      </c>
      <c r="G590" s="20" t="n">
        <v>56.6</v>
      </c>
      <c r="H590" s="20" t="n">
        <v>226.4</v>
      </c>
    </row>
    <row r="591" customFormat="false" ht="15" hidden="false" customHeight="false" outlineLevel="0" collapsed="false">
      <c r="A591" s="8" t="s">
        <v>1313</v>
      </c>
      <c r="B591" s="10" t="n">
        <v>46159</v>
      </c>
      <c r="C591" s="8" t="s">
        <v>390</v>
      </c>
      <c r="D591" s="8" t="s">
        <v>698</v>
      </c>
      <c r="E591" s="8" t="s">
        <v>708</v>
      </c>
      <c r="F591" s="9" t="n">
        <v>3</v>
      </c>
      <c r="G591" s="20" t="n">
        <v>9.4</v>
      </c>
      <c r="H591" s="20" t="n">
        <v>28.2</v>
      </c>
    </row>
    <row r="592" customFormat="false" ht="15" hidden="false" customHeight="false" outlineLevel="0" collapsed="false">
      <c r="A592" s="8" t="s">
        <v>1314</v>
      </c>
      <c r="B592" s="10" t="n">
        <v>46145</v>
      </c>
      <c r="C592" s="8" t="s">
        <v>52</v>
      </c>
      <c r="D592" s="8" t="s">
        <v>698</v>
      </c>
      <c r="E592" s="8" t="s">
        <v>699</v>
      </c>
      <c r="F592" s="9" t="n">
        <v>1</v>
      </c>
      <c r="G592" s="20" t="n">
        <v>14.41</v>
      </c>
      <c r="H592" s="20" t="n">
        <v>14.41</v>
      </c>
    </row>
    <row r="593" customFormat="false" ht="15" hidden="false" customHeight="false" outlineLevel="0" collapsed="false">
      <c r="A593" s="8" t="s">
        <v>1315</v>
      </c>
      <c r="B593" s="10" t="n">
        <v>46151</v>
      </c>
      <c r="C593" s="8" t="s">
        <v>214</v>
      </c>
      <c r="D593" s="8" t="s">
        <v>698</v>
      </c>
      <c r="E593" s="8" t="s">
        <v>701</v>
      </c>
      <c r="F593" s="9" t="n">
        <v>3</v>
      </c>
      <c r="G593" s="20" t="n">
        <v>20.29</v>
      </c>
      <c r="H593" s="20" t="n">
        <v>60.87</v>
      </c>
    </row>
    <row r="594" customFormat="false" ht="15" hidden="false" customHeight="false" outlineLevel="0" collapsed="false">
      <c r="A594" s="8" t="s">
        <v>1316</v>
      </c>
      <c r="B594" s="10" t="n">
        <v>46196</v>
      </c>
      <c r="C594" s="8" t="s">
        <v>52</v>
      </c>
      <c r="D594" s="8" t="s">
        <v>698</v>
      </c>
      <c r="E594" s="8" t="s">
        <v>699</v>
      </c>
      <c r="F594" s="9" t="n">
        <v>2</v>
      </c>
      <c r="G594" s="20" t="n">
        <v>15.7</v>
      </c>
      <c r="H594" s="20" t="n">
        <v>31.4</v>
      </c>
    </row>
    <row r="595" customFormat="false" ht="15" hidden="false" customHeight="false" outlineLevel="0" collapsed="false">
      <c r="A595" s="8" t="s">
        <v>1317</v>
      </c>
      <c r="B595" s="10" t="n">
        <v>46238</v>
      </c>
      <c r="C595" s="8" t="s">
        <v>52</v>
      </c>
      <c r="D595" s="8" t="s">
        <v>698</v>
      </c>
      <c r="E595" s="8" t="s">
        <v>699</v>
      </c>
      <c r="F595" s="9" t="n">
        <v>3</v>
      </c>
      <c r="G595" s="20" t="n">
        <v>15.59</v>
      </c>
      <c r="H595" s="20" t="n">
        <v>46.77</v>
      </c>
    </row>
    <row r="596" customFormat="false" ht="15" hidden="false" customHeight="false" outlineLevel="0" collapsed="false">
      <c r="A596" s="8" t="s">
        <v>1318</v>
      </c>
      <c r="B596" s="10" t="n">
        <v>46030</v>
      </c>
      <c r="C596" s="8" t="s">
        <v>214</v>
      </c>
      <c r="D596" s="8" t="s">
        <v>698</v>
      </c>
      <c r="E596" s="8" t="s">
        <v>701</v>
      </c>
      <c r="F596" s="9" t="n">
        <v>7</v>
      </c>
      <c r="G596" s="20" t="n">
        <v>20.86</v>
      </c>
      <c r="H596" s="20" t="n">
        <v>146.02</v>
      </c>
    </row>
    <row r="597" customFormat="false" ht="15" hidden="false" customHeight="false" outlineLevel="0" collapsed="false">
      <c r="A597" s="8" t="s">
        <v>1319</v>
      </c>
      <c r="B597" s="10" t="n">
        <v>45932</v>
      </c>
      <c r="C597" s="8" t="s">
        <v>214</v>
      </c>
      <c r="D597" s="8" t="s">
        <v>703</v>
      </c>
      <c r="E597" s="8" t="s">
        <v>715</v>
      </c>
      <c r="F597" s="9" t="n">
        <v>4</v>
      </c>
      <c r="G597" s="20" t="n">
        <v>45.02</v>
      </c>
      <c r="H597" s="20" t="n">
        <v>180.08</v>
      </c>
    </row>
    <row r="598" customFormat="false" ht="15" hidden="false" customHeight="false" outlineLevel="0" collapsed="false">
      <c r="A598" s="8" t="s">
        <v>1320</v>
      </c>
      <c r="B598" s="10" t="n">
        <v>46124</v>
      </c>
      <c r="C598" s="8" t="s">
        <v>154</v>
      </c>
      <c r="D598" s="8" t="s">
        <v>698</v>
      </c>
      <c r="E598" s="8" t="s">
        <v>750</v>
      </c>
      <c r="F598" s="9" t="n">
        <v>2</v>
      </c>
      <c r="G598" s="20" t="n">
        <v>23.96</v>
      </c>
      <c r="H598" s="20" t="n">
        <v>47.92</v>
      </c>
    </row>
    <row r="599" customFormat="false" ht="15" hidden="false" customHeight="false" outlineLevel="0" collapsed="false">
      <c r="A599" s="8" t="s">
        <v>1321</v>
      </c>
      <c r="B599" s="10" t="n">
        <v>45941</v>
      </c>
      <c r="C599" s="8" t="s">
        <v>52</v>
      </c>
      <c r="D599" s="8" t="s">
        <v>703</v>
      </c>
      <c r="E599" s="8" t="s">
        <v>720</v>
      </c>
      <c r="F599" s="9" t="n">
        <v>4</v>
      </c>
      <c r="G599" s="20" t="n">
        <v>36.42</v>
      </c>
      <c r="H599" s="20" t="n">
        <v>145.68</v>
      </c>
    </row>
    <row r="600" customFormat="false" ht="15" hidden="false" customHeight="false" outlineLevel="0" collapsed="false">
      <c r="A600" s="8" t="s">
        <v>1322</v>
      </c>
      <c r="B600" s="10" t="n">
        <v>46244</v>
      </c>
      <c r="C600" s="8" t="s">
        <v>154</v>
      </c>
      <c r="D600" s="8" t="s">
        <v>698</v>
      </c>
      <c r="E600" s="8" t="s">
        <v>750</v>
      </c>
      <c r="F600" s="9" t="n">
        <v>2</v>
      </c>
      <c r="G600" s="20" t="n">
        <v>26.1</v>
      </c>
      <c r="H600" s="20" t="n">
        <v>52.2</v>
      </c>
    </row>
    <row r="601" customFormat="false" ht="15" hidden="false" customHeight="false" outlineLevel="0" collapsed="false">
      <c r="A601" s="8" t="s">
        <v>1323</v>
      </c>
      <c r="B601" s="10" t="n">
        <v>46151</v>
      </c>
      <c r="C601" s="8" t="s">
        <v>154</v>
      </c>
      <c r="D601" s="8" t="s">
        <v>703</v>
      </c>
      <c r="E601" s="8" t="s">
        <v>778</v>
      </c>
      <c r="F601" s="9" t="n">
        <v>5</v>
      </c>
      <c r="G601" s="20" t="n">
        <v>57.13</v>
      </c>
      <c r="H601" s="20" t="n">
        <v>285.65</v>
      </c>
    </row>
    <row r="602" customFormat="false" ht="15" hidden="false" customHeight="false" outlineLevel="0" collapsed="false">
      <c r="A602" s="8" t="s">
        <v>1324</v>
      </c>
      <c r="B602" s="10" t="n">
        <v>46174</v>
      </c>
      <c r="C602" s="8" t="s">
        <v>154</v>
      </c>
      <c r="D602" s="8" t="s">
        <v>703</v>
      </c>
      <c r="E602" s="8" t="s">
        <v>778</v>
      </c>
      <c r="F602" s="9" t="n">
        <v>2</v>
      </c>
      <c r="G602" s="20" t="n">
        <v>51.59</v>
      </c>
      <c r="H602" s="20" t="n">
        <v>103.18</v>
      </c>
    </row>
    <row r="603" customFormat="false" ht="15" hidden="false" customHeight="false" outlineLevel="0" collapsed="false">
      <c r="A603" s="8" t="s">
        <v>1325</v>
      </c>
      <c r="B603" s="10" t="n">
        <v>46109</v>
      </c>
      <c r="C603" s="8" t="s">
        <v>262</v>
      </c>
      <c r="D603" s="8" t="s">
        <v>698</v>
      </c>
      <c r="E603" s="8" t="s">
        <v>737</v>
      </c>
      <c r="F603" s="9" t="n">
        <v>3</v>
      </c>
      <c r="G603" s="20" t="n">
        <v>11.72</v>
      </c>
      <c r="H603" s="20" t="n">
        <v>35.16</v>
      </c>
    </row>
    <row r="604" customFormat="false" ht="15" hidden="false" customHeight="false" outlineLevel="0" collapsed="false">
      <c r="A604" s="8" t="s">
        <v>1326</v>
      </c>
      <c r="B604" s="10" t="n">
        <v>46037</v>
      </c>
      <c r="C604" s="8" t="s">
        <v>115</v>
      </c>
      <c r="D604" s="8" t="s">
        <v>703</v>
      </c>
      <c r="E604" s="8" t="s">
        <v>772</v>
      </c>
      <c r="F604" s="9" t="n">
        <v>2</v>
      </c>
      <c r="G604" s="20" t="n">
        <v>103.69</v>
      </c>
      <c r="H604" s="20" t="n">
        <v>207.38</v>
      </c>
    </row>
    <row r="605" customFormat="false" ht="15" hidden="false" customHeight="false" outlineLevel="0" collapsed="false">
      <c r="A605" s="8" t="s">
        <v>1327</v>
      </c>
      <c r="B605" s="10" t="n">
        <v>45912</v>
      </c>
      <c r="C605" s="8" t="s">
        <v>650</v>
      </c>
      <c r="D605" s="8" t="s">
        <v>698</v>
      </c>
      <c r="E605" s="8" t="s">
        <v>800</v>
      </c>
      <c r="F605" s="9" t="n">
        <v>4</v>
      </c>
      <c r="G605" s="20" t="n">
        <v>28.98</v>
      </c>
      <c r="H605" s="20" t="n">
        <v>115.92</v>
      </c>
    </row>
    <row r="606" customFormat="false" ht="15" hidden="false" customHeight="false" outlineLevel="0" collapsed="false">
      <c r="A606" s="8" t="s">
        <v>1328</v>
      </c>
      <c r="B606" s="10" t="n">
        <v>46113</v>
      </c>
      <c r="C606" s="8" t="s">
        <v>277</v>
      </c>
      <c r="D606" s="8" t="s">
        <v>698</v>
      </c>
      <c r="E606" s="8" t="s">
        <v>710</v>
      </c>
      <c r="F606" s="9" t="n">
        <v>2</v>
      </c>
      <c r="G606" s="20" t="n">
        <v>62.67</v>
      </c>
      <c r="H606" s="20" t="n">
        <v>125.34</v>
      </c>
    </row>
    <row r="607" customFormat="false" ht="15" hidden="false" customHeight="false" outlineLevel="0" collapsed="false">
      <c r="A607" s="8" t="s">
        <v>1329</v>
      </c>
      <c r="B607" s="10" t="n">
        <v>46264</v>
      </c>
      <c r="C607" s="8" t="s">
        <v>154</v>
      </c>
      <c r="D607" s="8" t="s">
        <v>698</v>
      </c>
      <c r="E607" s="8" t="s">
        <v>750</v>
      </c>
      <c r="F607" s="9" t="n">
        <v>1</v>
      </c>
      <c r="G607" s="20" t="n">
        <v>25.1</v>
      </c>
      <c r="H607" s="20" t="n">
        <v>25.1</v>
      </c>
    </row>
    <row r="608" customFormat="false" ht="15" hidden="false" customHeight="false" outlineLevel="0" collapsed="false">
      <c r="A608" s="8" t="s">
        <v>1330</v>
      </c>
      <c r="B608" s="10" t="n">
        <v>46189</v>
      </c>
      <c r="C608" s="8" t="s">
        <v>145</v>
      </c>
      <c r="D608" s="8" t="s">
        <v>698</v>
      </c>
      <c r="E608" s="8" t="s">
        <v>754</v>
      </c>
      <c r="F608" s="9" t="n">
        <v>6</v>
      </c>
      <c r="G608" s="20" t="n">
        <v>96.59</v>
      </c>
      <c r="H608" s="20" t="n">
        <v>579.54</v>
      </c>
    </row>
    <row r="609" customFormat="false" ht="15" hidden="false" customHeight="false" outlineLevel="0" collapsed="false">
      <c r="A609" s="8" t="s">
        <v>1331</v>
      </c>
      <c r="B609" s="10" t="n">
        <v>45964</v>
      </c>
      <c r="C609" s="8" t="s">
        <v>646</v>
      </c>
      <c r="D609" s="8" t="s">
        <v>698</v>
      </c>
      <c r="E609" s="8" t="s">
        <v>782</v>
      </c>
      <c r="F609" s="9" t="n">
        <v>4</v>
      </c>
      <c r="G609" s="20" t="n">
        <v>69.23</v>
      </c>
      <c r="H609" s="20" t="n">
        <v>276.92</v>
      </c>
    </row>
    <row r="610" customFormat="false" ht="15" hidden="false" customHeight="false" outlineLevel="0" collapsed="false">
      <c r="A610" s="8" t="s">
        <v>1332</v>
      </c>
      <c r="B610" s="10" t="n">
        <v>46150</v>
      </c>
      <c r="C610" s="8" t="s">
        <v>154</v>
      </c>
      <c r="D610" s="8" t="s">
        <v>698</v>
      </c>
      <c r="E610" s="8" t="s">
        <v>750</v>
      </c>
      <c r="F610" s="9" t="n">
        <v>2</v>
      </c>
      <c r="G610" s="20" t="n">
        <v>23.2</v>
      </c>
      <c r="H610" s="20" t="n">
        <v>46.4</v>
      </c>
    </row>
    <row r="611" customFormat="false" ht="15" hidden="false" customHeight="false" outlineLevel="0" collapsed="false">
      <c r="A611" s="8" t="s">
        <v>1333</v>
      </c>
      <c r="B611" s="10" t="n">
        <v>46116</v>
      </c>
      <c r="C611" s="8" t="s">
        <v>390</v>
      </c>
      <c r="D611" s="8" t="s">
        <v>698</v>
      </c>
      <c r="E611" s="8" t="s">
        <v>708</v>
      </c>
      <c r="F611" s="9" t="n">
        <v>1</v>
      </c>
      <c r="G611" s="20" t="n">
        <v>9.72</v>
      </c>
      <c r="H611" s="20" t="n">
        <v>9.72</v>
      </c>
    </row>
    <row r="612" customFormat="false" ht="15" hidden="false" customHeight="false" outlineLevel="0" collapsed="false">
      <c r="A612" s="8" t="s">
        <v>1334</v>
      </c>
      <c r="B612" s="10" t="n">
        <v>46125</v>
      </c>
      <c r="C612" s="8" t="s">
        <v>650</v>
      </c>
      <c r="D612" s="8" t="s">
        <v>703</v>
      </c>
      <c r="E612" s="8" t="s">
        <v>858</v>
      </c>
      <c r="F612" s="9" t="n">
        <v>2</v>
      </c>
      <c r="G612" s="20" t="n">
        <v>68.07</v>
      </c>
      <c r="H612" s="20" t="n">
        <v>136.14</v>
      </c>
    </row>
    <row r="613" customFormat="false" ht="15" hidden="false" customHeight="false" outlineLevel="0" collapsed="false">
      <c r="A613" s="8" t="s">
        <v>1335</v>
      </c>
      <c r="B613" s="10" t="n">
        <v>46107</v>
      </c>
      <c r="C613" s="8" t="s">
        <v>277</v>
      </c>
      <c r="D613" s="8" t="s">
        <v>698</v>
      </c>
      <c r="E613" s="8" t="s">
        <v>710</v>
      </c>
      <c r="F613" s="9" t="n">
        <v>4</v>
      </c>
      <c r="G613" s="20" t="n">
        <v>56.54</v>
      </c>
      <c r="H613" s="20" t="n">
        <v>226.16</v>
      </c>
    </row>
    <row r="614" customFormat="false" ht="15" hidden="false" customHeight="false" outlineLevel="0" collapsed="false">
      <c r="A614" s="8" t="s">
        <v>1336</v>
      </c>
      <c r="B614" s="10" t="n">
        <v>46102</v>
      </c>
      <c r="C614" s="8" t="s">
        <v>166</v>
      </c>
      <c r="D614" s="8" t="s">
        <v>703</v>
      </c>
      <c r="E614" s="8" t="s">
        <v>774</v>
      </c>
      <c r="F614" s="9" t="n">
        <v>1</v>
      </c>
      <c r="G614" s="20" t="n">
        <v>408.64</v>
      </c>
      <c r="H614" s="20" t="n">
        <v>408.64</v>
      </c>
    </row>
    <row r="615" customFormat="false" ht="15" hidden="false" customHeight="false" outlineLevel="0" collapsed="false">
      <c r="A615" s="8" t="s">
        <v>1337</v>
      </c>
      <c r="B615" s="10" t="n">
        <v>46232</v>
      </c>
      <c r="C615" s="8" t="s">
        <v>145</v>
      </c>
      <c r="D615" s="8" t="s">
        <v>703</v>
      </c>
      <c r="E615" s="8" t="s">
        <v>706</v>
      </c>
      <c r="F615" s="9" t="n">
        <v>4</v>
      </c>
      <c r="G615" s="20" t="n">
        <v>234.17</v>
      </c>
      <c r="H615" s="20" t="n">
        <v>936.68</v>
      </c>
    </row>
    <row r="616" customFormat="false" ht="15" hidden="false" customHeight="false" outlineLevel="0" collapsed="false">
      <c r="A616" s="8" t="s">
        <v>1338</v>
      </c>
      <c r="B616" s="10" t="n">
        <v>46212</v>
      </c>
      <c r="C616" s="8" t="s">
        <v>277</v>
      </c>
      <c r="D616" s="8" t="s">
        <v>698</v>
      </c>
      <c r="E616" s="8" t="s">
        <v>710</v>
      </c>
      <c r="F616" s="9" t="n">
        <v>2</v>
      </c>
      <c r="G616" s="20" t="n">
        <v>60.95</v>
      </c>
      <c r="H616" s="20" t="n">
        <v>121.9</v>
      </c>
    </row>
    <row r="617" customFormat="false" ht="15" hidden="false" customHeight="false" outlineLevel="0" collapsed="false">
      <c r="A617" s="8" t="s">
        <v>1339</v>
      </c>
      <c r="B617" s="10" t="n">
        <v>45971</v>
      </c>
      <c r="C617" s="8" t="s">
        <v>52</v>
      </c>
      <c r="D617" s="8" t="s">
        <v>703</v>
      </c>
      <c r="E617" s="8" t="s">
        <v>720</v>
      </c>
      <c r="F617" s="9" t="n">
        <v>6</v>
      </c>
      <c r="G617" s="20" t="n">
        <v>36.2</v>
      </c>
      <c r="H617" s="20" t="n">
        <v>217.2</v>
      </c>
    </row>
    <row r="618" customFormat="false" ht="15" hidden="false" customHeight="false" outlineLevel="0" collapsed="false">
      <c r="A618" s="8" t="s">
        <v>1340</v>
      </c>
      <c r="B618" s="10" t="n">
        <v>46018</v>
      </c>
      <c r="C618" s="8" t="s">
        <v>52</v>
      </c>
      <c r="D618" s="8" t="s">
        <v>698</v>
      </c>
      <c r="E618" s="8" t="s">
        <v>699</v>
      </c>
      <c r="F618" s="9" t="n">
        <v>1</v>
      </c>
      <c r="G618" s="20" t="n">
        <v>14</v>
      </c>
      <c r="H618" s="20" t="n">
        <v>14</v>
      </c>
    </row>
    <row r="619" customFormat="false" ht="15" hidden="false" customHeight="false" outlineLevel="0" collapsed="false">
      <c r="A619" s="8" t="s">
        <v>1341</v>
      </c>
      <c r="B619" s="10" t="n">
        <v>46206</v>
      </c>
      <c r="C619" s="8" t="s">
        <v>277</v>
      </c>
      <c r="D619" s="8" t="s">
        <v>703</v>
      </c>
      <c r="E619" s="8" t="s">
        <v>724</v>
      </c>
      <c r="F619" s="9" t="n">
        <v>2</v>
      </c>
      <c r="G619" s="20" t="n">
        <v>151.13</v>
      </c>
      <c r="H619" s="20" t="n">
        <v>302.26</v>
      </c>
    </row>
    <row r="620" customFormat="false" ht="15" hidden="false" customHeight="false" outlineLevel="0" collapsed="false">
      <c r="A620" s="8" t="s">
        <v>1342</v>
      </c>
      <c r="B620" s="10" t="n">
        <v>46026</v>
      </c>
      <c r="C620" s="8" t="s">
        <v>166</v>
      </c>
      <c r="D620" s="8" t="s">
        <v>703</v>
      </c>
      <c r="E620" s="8" t="s">
        <v>774</v>
      </c>
      <c r="F620" s="9" t="n">
        <v>3</v>
      </c>
      <c r="G620" s="20" t="n">
        <v>365.86</v>
      </c>
      <c r="H620" s="20" t="n">
        <v>1097.58</v>
      </c>
    </row>
  </sheetData>
  <mergeCells count="1">
    <mergeCell ref="A2:H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3"/>
    <col collapsed="false" customWidth="true" hidden="false" outlineLevel="0" max="4" min="4" style="0" width="16"/>
    <col collapsed="false" customWidth="true" hidden="false" outlineLevel="0" max="5" min="5" style="0" width="25"/>
    <col collapsed="false" customWidth="true" hidden="false" outlineLevel="0" max="6" min="6" style="0" width="16"/>
  </cols>
  <sheetData>
    <row r="2" customFormat="false" ht="19.7" hidden="false" customHeight="false" outlineLevel="0" collapsed="false">
      <c r="B2" s="1" t="s">
        <v>1343</v>
      </c>
    </row>
    <row r="3" customFormat="false" ht="15" hidden="false" customHeight="false" outlineLevel="0" collapsed="false">
      <c r="B3" s="2" t="s">
        <v>1344</v>
      </c>
    </row>
    <row r="5" customFormat="false" ht="15" hidden="false" customHeight="false" outlineLevel="0" collapsed="false">
      <c r="B5" s="11" t="s">
        <v>1345</v>
      </c>
      <c r="C5" s="11"/>
      <c r="D5" s="11"/>
      <c r="E5" s="11"/>
    </row>
    <row r="6" customFormat="false" ht="15" hidden="false" customHeight="false" outlineLevel="0" collapsed="false">
      <c r="B6" s="5" t="s">
        <v>691</v>
      </c>
      <c r="C6" s="5" t="s">
        <v>1346</v>
      </c>
      <c r="D6" s="5" t="s">
        <v>1347</v>
      </c>
      <c r="E6" s="5" t="s">
        <v>1348</v>
      </c>
    </row>
    <row r="7" customFormat="false" ht="15" hidden="false" customHeight="false" outlineLevel="0" collapsed="false">
      <c r="B7" s="13" t="s">
        <v>145</v>
      </c>
      <c r="C7" s="13" t="n">
        <f aca="false">SUMIF('Pharmacy Sales Data'!$C$5:$C$620,B7,'Pharmacy Sales Data'!$F$5:$F$620)</f>
        <v>149</v>
      </c>
      <c r="D7" s="21" t="n">
        <f aca="false">SUMIF('Pharmacy Sales Data'!$C$5:$C$620,B7,'Pharmacy Sales Data'!$H$5:$H$620)</f>
        <v>22266.14</v>
      </c>
      <c r="E7" s="14" t="n">
        <f aca="false">D7/$D$22</f>
        <v>0.188883256189099</v>
      </c>
    </row>
    <row r="8" customFormat="false" ht="15" hidden="false" customHeight="false" outlineLevel="0" collapsed="false">
      <c r="B8" s="13" t="s">
        <v>166</v>
      </c>
      <c r="C8" s="13" t="n">
        <f aca="false">SUMIF('Pharmacy Sales Data'!$C$5:$C$620,B8,'Pharmacy Sales Data'!$F$5:$F$620)</f>
        <v>95</v>
      </c>
      <c r="D8" s="21" t="n">
        <f aca="false">SUMIF('Pharmacy Sales Data'!$C$5:$C$620,B8,'Pharmacy Sales Data'!$H$5:$H$620)</f>
        <v>20085.71</v>
      </c>
      <c r="E8" s="14" t="n">
        <f aca="false">D8/$D$22</f>
        <v>0.170386708592955</v>
      </c>
    </row>
    <row r="9" customFormat="false" ht="15" hidden="false" customHeight="false" outlineLevel="0" collapsed="false">
      <c r="B9" s="13" t="s">
        <v>277</v>
      </c>
      <c r="C9" s="13" t="n">
        <f aca="false">SUMIF('Pharmacy Sales Data'!$C$5:$C$620,B9,'Pharmacy Sales Data'!$F$5:$F$620)</f>
        <v>195</v>
      </c>
      <c r="D9" s="21" t="n">
        <f aca="false">SUMIF('Pharmacy Sales Data'!$C$5:$C$620,B9,'Pharmacy Sales Data'!$H$5:$H$620)</f>
        <v>15120.41</v>
      </c>
      <c r="E9" s="14" t="n">
        <f aca="false">D9/$D$22</f>
        <v>0.128266159995141</v>
      </c>
    </row>
    <row r="10" customFormat="false" ht="15" hidden="false" customHeight="false" outlineLevel="0" collapsed="false">
      <c r="B10" s="13" t="s">
        <v>115</v>
      </c>
      <c r="C10" s="13" t="n">
        <f aca="false">SUMIF('Pharmacy Sales Data'!$C$5:$C$620,B10,'Pharmacy Sales Data'!$F$5:$F$620)</f>
        <v>124</v>
      </c>
      <c r="D10" s="21" t="n">
        <f aca="false">SUMIF('Pharmacy Sales Data'!$C$5:$C$620,B10,'Pharmacy Sales Data'!$H$5:$H$620)</f>
        <v>9182.09</v>
      </c>
      <c r="E10" s="14" t="n">
        <f aca="false">D10/$D$22</f>
        <v>0.0778915006292676</v>
      </c>
    </row>
    <row r="11" customFormat="false" ht="15" hidden="false" customHeight="false" outlineLevel="0" collapsed="false">
      <c r="B11" s="13" t="s">
        <v>52</v>
      </c>
      <c r="C11" s="13" t="n">
        <f aca="false">SUMIF('Pharmacy Sales Data'!$C$5:$C$620,B11,'Pharmacy Sales Data'!$F$5:$F$620)</f>
        <v>372</v>
      </c>
      <c r="D11" s="21" t="n">
        <f aca="false">SUMIF('Pharmacy Sales Data'!$C$5:$C$620,B11,'Pharmacy Sales Data'!$H$5:$H$620)</f>
        <v>8832.63</v>
      </c>
      <c r="E11" s="14" t="n">
        <f aca="false">D11/$D$22</f>
        <v>0.0749270378751556</v>
      </c>
    </row>
    <row r="12" customFormat="false" ht="15" hidden="false" customHeight="false" outlineLevel="0" collapsed="false">
      <c r="B12" s="13" t="s">
        <v>214</v>
      </c>
      <c r="C12" s="13" t="n">
        <f aca="false">SUMIF('Pharmacy Sales Data'!$C$5:$C$620,B12,'Pharmacy Sales Data'!$F$5:$F$620)</f>
        <v>290</v>
      </c>
      <c r="D12" s="21" t="n">
        <f aca="false">SUMIF('Pharmacy Sales Data'!$C$5:$C$620,B12,'Pharmacy Sales Data'!$H$5:$H$620)</f>
        <v>8424.16</v>
      </c>
      <c r="E12" s="14" t="n">
        <f aca="false">D12/$D$22</f>
        <v>0.0714619943761225</v>
      </c>
    </row>
    <row r="13" customFormat="false" ht="15" hidden="false" customHeight="false" outlineLevel="0" collapsed="false">
      <c r="B13" s="13" t="s">
        <v>646</v>
      </c>
      <c r="C13" s="13" t="n">
        <f aca="false">SUMIF('Pharmacy Sales Data'!$C$5:$C$620,B13,'Pharmacy Sales Data'!$F$5:$F$620)</f>
        <v>80</v>
      </c>
      <c r="D13" s="21" t="n">
        <f aca="false">SUMIF('Pharmacy Sales Data'!$C$5:$C$620,B13,'Pharmacy Sales Data'!$H$5:$H$620)</f>
        <v>8102.92</v>
      </c>
      <c r="E13" s="14" t="n">
        <f aca="false">D13/$D$22</f>
        <v>0.0687369213630998</v>
      </c>
    </row>
    <row r="14" customFormat="false" ht="15" hidden="false" customHeight="false" outlineLevel="0" collapsed="false">
      <c r="B14" s="13" t="s">
        <v>323</v>
      </c>
      <c r="C14" s="13" t="n">
        <f aca="false">SUMIF('Pharmacy Sales Data'!$C$5:$C$620,B14,'Pharmacy Sales Data'!$F$5:$F$620)</f>
        <v>43</v>
      </c>
      <c r="D14" s="21" t="n">
        <f aca="false">SUMIF('Pharmacy Sales Data'!$C$5:$C$620,B14,'Pharmacy Sales Data'!$H$5:$H$620)</f>
        <v>6788.02</v>
      </c>
      <c r="E14" s="14" t="n">
        <f aca="false">D14/$D$22</f>
        <v>0.0575826488415471</v>
      </c>
    </row>
    <row r="15" customFormat="false" ht="15" hidden="false" customHeight="false" outlineLevel="0" collapsed="false">
      <c r="B15" s="13" t="s">
        <v>154</v>
      </c>
      <c r="C15" s="13" t="n">
        <f aca="false">SUMIF('Pharmacy Sales Data'!$C$5:$C$620,B15,'Pharmacy Sales Data'!$F$5:$F$620)</f>
        <v>121</v>
      </c>
      <c r="D15" s="21" t="n">
        <f aca="false">SUMIF('Pharmacy Sales Data'!$C$5:$C$620,B15,'Pharmacy Sales Data'!$H$5:$H$620)</f>
        <v>4834.08</v>
      </c>
      <c r="E15" s="14" t="n">
        <f aca="false">D15/$D$22</f>
        <v>0.041007411750694</v>
      </c>
    </row>
    <row r="16" customFormat="false" ht="15" hidden="false" customHeight="false" outlineLevel="0" collapsed="false">
      <c r="B16" s="13" t="s">
        <v>69</v>
      </c>
      <c r="C16" s="13" t="n">
        <f aca="false">SUMIF('Pharmacy Sales Data'!$C$5:$C$620,B16,'Pharmacy Sales Data'!$F$5:$F$620)</f>
        <v>140</v>
      </c>
      <c r="D16" s="21" t="n">
        <f aca="false">SUMIF('Pharmacy Sales Data'!$C$5:$C$620,B16,'Pharmacy Sales Data'!$H$5:$H$620)</f>
        <v>4332.04</v>
      </c>
      <c r="E16" s="14" t="n">
        <f aca="false">D16/$D$22</f>
        <v>0.0367486156622308</v>
      </c>
    </row>
    <row r="17" customFormat="false" ht="15" hidden="false" customHeight="false" outlineLevel="0" collapsed="false">
      <c r="B17" s="13" t="s">
        <v>390</v>
      </c>
      <c r="C17" s="13" t="n">
        <f aca="false">SUMIF('Pharmacy Sales Data'!$C$5:$C$620,B17,'Pharmacy Sales Data'!$F$5:$F$620)</f>
        <v>253</v>
      </c>
      <c r="D17" s="21" t="n">
        <f aca="false">SUMIF('Pharmacy Sales Data'!$C$5:$C$620,B17,'Pharmacy Sales Data'!$H$5:$H$620)</f>
        <v>3934.25</v>
      </c>
      <c r="E17" s="14" t="n">
        <f aca="false">D17/$D$22</f>
        <v>0.0333741704068133</v>
      </c>
    </row>
    <row r="18" customFormat="false" ht="15" hidden="false" customHeight="false" outlineLevel="0" collapsed="false">
      <c r="B18" s="13" t="s">
        <v>650</v>
      </c>
      <c r="C18" s="13" t="n">
        <f aca="false">SUMIF('Pharmacy Sales Data'!$C$5:$C$620,B18,'Pharmacy Sales Data'!$F$5:$F$620)</f>
        <v>71</v>
      </c>
      <c r="D18" s="21" t="n">
        <f aca="false">SUMIF('Pharmacy Sales Data'!$C$5:$C$620,B18,'Pharmacy Sales Data'!$H$5:$H$620)</f>
        <v>3059.99</v>
      </c>
      <c r="E18" s="14" t="n">
        <f aca="false">D18/$D$22</f>
        <v>0.0259578389027501</v>
      </c>
    </row>
    <row r="19" customFormat="false" ht="15" hidden="false" customHeight="false" outlineLevel="0" collapsed="false">
      <c r="B19" s="13" t="s">
        <v>262</v>
      </c>
      <c r="C19" s="13" t="n">
        <f aca="false">SUMIF('Pharmacy Sales Data'!$C$5:$C$620,B19,'Pharmacy Sales Data'!$F$5:$F$620)</f>
        <v>109</v>
      </c>
      <c r="D19" s="21" t="n">
        <f aca="false">SUMIF('Pharmacy Sales Data'!$C$5:$C$620,B19,'Pharmacy Sales Data'!$H$5:$H$620)</f>
        <v>1709.93</v>
      </c>
      <c r="E19" s="14" t="n">
        <f aca="false">D19/$D$22</f>
        <v>0.0145053047477212</v>
      </c>
    </row>
    <row r="20" customFormat="false" ht="15" hidden="false" customHeight="false" outlineLevel="0" collapsed="false">
      <c r="B20" s="13" t="s">
        <v>394</v>
      </c>
      <c r="C20" s="13" t="n">
        <f aca="false">SUMIF('Pharmacy Sales Data'!$C$5:$C$620,B20,'Pharmacy Sales Data'!$F$5:$F$620)</f>
        <v>32</v>
      </c>
      <c r="D20" s="21" t="n">
        <f aca="false">SUMIF('Pharmacy Sales Data'!$C$5:$C$620,B20,'Pharmacy Sales Data'!$H$5:$H$620)</f>
        <v>1210.71</v>
      </c>
      <c r="E20" s="14" t="n">
        <f aca="false">D20/$D$22</f>
        <v>0.0102704306674037</v>
      </c>
    </row>
    <row r="22" customFormat="false" ht="15" hidden="false" customHeight="false" outlineLevel="0" collapsed="false">
      <c r="B22" s="22" t="s">
        <v>1349</v>
      </c>
      <c r="D22" s="23" t="n">
        <f aca="false">SUM(D7:D20)</f>
        <v>117883.08</v>
      </c>
    </row>
    <row r="24" customFormat="false" ht="15" hidden="false" customHeight="false" outlineLevel="0" collapsed="false">
      <c r="B24" s="11" t="s">
        <v>1350</v>
      </c>
      <c r="C24" s="11"/>
      <c r="D24" s="11"/>
      <c r="E24" s="11"/>
    </row>
    <row r="25" customFormat="false" ht="15" hidden="false" customHeight="false" outlineLevel="0" collapsed="false">
      <c r="B25" s="5" t="s">
        <v>1351</v>
      </c>
      <c r="C25" s="5" t="s">
        <v>696</v>
      </c>
      <c r="D25" s="5" t="s">
        <v>1346</v>
      </c>
      <c r="E25" s="5" t="s">
        <v>1352</v>
      </c>
    </row>
    <row r="26" customFormat="false" ht="15" hidden="false" customHeight="false" outlineLevel="0" collapsed="false">
      <c r="B26" s="13" t="s">
        <v>1353</v>
      </c>
      <c r="C26" s="21" t="n">
        <f aca="false">SUMIFS('Pharmacy Sales Data'!$H$5:$H$620,'Pharmacy Sales Data'!$B$5:$B$620,"&gt;="&amp;DATE(2025,9,1),'Pharmacy Sales Data'!$B$5:$B$620,"&lt;="&amp;DATE(2025,9,30))</f>
        <v>6151.24</v>
      </c>
      <c r="D26" s="13" t="n">
        <f aca="false">SUMIFS('Pharmacy Sales Data'!$F$5:$F$620,'Pharmacy Sales Data'!$B$5:$B$620,"&gt;="&amp;DATE(2025,9,1),'Pharmacy Sales Data'!$B$5:$B$620,"&lt;="&amp;DATE(2025,9,30))</f>
        <v>114</v>
      </c>
      <c r="E26" s="13" t="s">
        <v>1354</v>
      </c>
    </row>
    <row r="27" customFormat="false" ht="15" hidden="false" customHeight="false" outlineLevel="0" collapsed="false">
      <c r="B27" s="13" t="s">
        <v>1355</v>
      </c>
      <c r="C27" s="21" t="n">
        <f aca="false">SUMIFS('Pharmacy Sales Data'!$H$5:$H$620,'Pharmacy Sales Data'!$B$5:$B$620,"&gt;="&amp;DATE(2025,10,1),'Pharmacy Sales Data'!$B$5:$B$620,"&lt;="&amp;DATE(2025,10,31))</f>
        <v>5640.03</v>
      </c>
      <c r="D27" s="13" t="n">
        <f aca="false">SUMIFS('Pharmacy Sales Data'!$F$5:$F$620,'Pharmacy Sales Data'!$B$5:$B$620,"&gt;="&amp;DATE(2025,10,1),'Pharmacy Sales Data'!$B$5:$B$620,"&lt;="&amp;DATE(2025,10,31))</f>
        <v>135</v>
      </c>
      <c r="E27" s="24" t="n">
        <f aca="false">(C27-C26)/C26</f>
        <v>-0.0831068207385828</v>
      </c>
    </row>
    <row r="28" customFormat="false" ht="15" hidden="false" customHeight="false" outlineLevel="0" collapsed="false">
      <c r="B28" s="13" t="s">
        <v>1356</v>
      </c>
      <c r="C28" s="21" t="n">
        <f aca="false">SUMIFS('Pharmacy Sales Data'!$H$5:$H$620,'Pharmacy Sales Data'!$B$5:$B$620,"&gt;="&amp;DATE(2025,11,1),'Pharmacy Sales Data'!$B$5:$B$620,"&lt;="&amp;DATE(2025,11,30))</f>
        <v>10409.97</v>
      </c>
      <c r="D28" s="13" t="n">
        <f aca="false">SUMIFS('Pharmacy Sales Data'!$F$5:$F$620,'Pharmacy Sales Data'!$B$5:$B$620,"&gt;="&amp;DATE(2025,11,1),'Pharmacy Sales Data'!$B$5:$B$620,"&lt;="&amp;DATE(2025,11,30))</f>
        <v>152</v>
      </c>
      <c r="E28" s="24" t="n">
        <f aca="false">(C28-C27)/C27</f>
        <v>0.845729543991787</v>
      </c>
    </row>
    <row r="29" customFormat="false" ht="15" hidden="false" customHeight="false" outlineLevel="0" collapsed="false">
      <c r="B29" s="13" t="s">
        <v>1357</v>
      </c>
      <c r="C29" s="21" t="n">
        <f aca="false">SUMIFS('Pharmacy Sales Data'!$H$5:$H$620,'Pharmacy Sales Data'!$B$5:$B$620,"&gt;="&amp;DATE(2025,12,1),'Pharmacy Sales Data'!$B$5:$B$620,"&lt;="&amp;DATE(2025,12,31))</f>
        <v>6230.9</v>
      </c>
      <c r="D29" s="13" t="n">
        <f aca="false">SUMIFS('Pharmacy Sales Data'!$F$5:$F$620,'Pharmacy Sales Data'!$B$5:$B$620,"&gt;="&amp;DATE(2025,12,1),'Pharmacy Sales Data'!$B$5:$B$620,"&lt;="&amp;DATE(2025,12,31))</f>
        <v>141</v>
      </c>
      <c r="E29" s="24" t="n">
        <f aca="false">(C29-C28)/C28</f>
        <v>-0.401448803406734</v>
      </c>
    </row>
    <row r="30" customFormat="false" ht="15" hidden="false" customHeight="false" outlineLevel="0" collapsed="false">
      <c r="B30" s="13" t="s">
        <v>1358</v>
      </c>
      <c r="C30" s="21" t="n">
        <f aca="false">SUMIFS('Pharmacy Sales Data'!$H$5:$H$620,'Pharmacy Sales Data'!$B$5:$B$620,"&gt;="&amp;DATE(2026,1,1),'Pharmacy Sales Data'!$B$5:$B$620,"&lt;="&amp;DATE(2026,1,31))</f>
        <v>8785.45</v>
      </c>
      <c r="D30" s="13" t="n">
        <f aca="false">SUMIFS('Pharmacy Sales Data'!$F$5:$F$620,'Pharmacy Sales Data'!$B$5:$B$620,"&gt;="&amp;DATE(2026,1,1),'Pharmacy Sales Data'!$B$5:$B$620,"&lt;="&amp;DATE(2026,1,31))</f>
        <v>146</v>
      </c>
      <c r="E30" s="24" t="n">
        <f aca="false">(C30-C29)/C29</f>
        <v>0.409980901635398</v>
      </c>
    </row>
    <row r="31" customFormat="false" ht="15" hidden="false" customHeight="false" outlineLevel="0" collapsed="false">
      <c r="B31" s="13" t="s">
        <v>1359</v>
      </c>
      <c r="C31" s="21" t="n">
        <f aca="false">SUMIFS('Pharmacy Sales Data'!$H$5:$H$620,'Pharmacy Sales Data'!$B$5:$B$620,"&gt;="&amp;DATE(2026,2,1),'Pharmacy Sales Data'!$B$5:$B$620,"&lt;="&amp;DATE(2026,2,28))</f>
        <v>9982.32</v>
      </c>
      <c r="D31" s="13" t="n">
        <f aca="false">SUMIFS('Pharmacy Sales Data'!$F$5:$F$620,'Pharmacy Sales Data'!$B$5:$B$620,"&gt;="&amp;DATE(2026,2,1),'Pharmacy Sales Data'!$B$5:$B$620,"&lt;="&amp;DATE(2026,2,28))</f>
        <v>141</v>
      </c>
      <c r="E31" s="24" t="n">
        <f aca="false">(C31-C30)/C30</f>
        <v>0.13623320376304</v>
      </c>
    </row>
    <row r="32" customFormat="false" ht="15" hidden="false" customHeight="false" outlineLevel="0" collapsed="false">
      <c r="B32" s="13" t="s">
        <v>1360</v>
      </c>
      <c r="C32" s="21" t="n">
        <f aca="false">SUMIFS('Pharmacy Sales Data'!$H$5:$H$620,'Pharmacy Sales Data'!$B$5:$B$620,"&gt;="&amp;DATE(2026,3,1),'Pharmacy Sales Data'!$B$5:$B$620,"&lt;="&amp;DATE(2026,3,31))</f>
        <v>12241.83</v>
      </c>
      <c r="D32" s="13" t="n">
        <f aca="false">SUMIFS('Pharmacy Sales Data'!$F$5:$F$620,'Pharmacy Sales Data'!$B$5:$B$620,"&gt;="&amp;DATE(2026,3,1),'Pharmacy Sales Data'!$B$5:$B$620,"&lt;="&amp;DATE(2026,3,31))</f>
        <v>174</v>
      </c>
      <c r="E32" s="24" t="n">
        <f aca="false">(C32-C31)/C31</f>
        <v>0.226351188901979</v>
      </c>
    </row>
    <row r="33" customFormat="false" ht="15" hidden="false" customHeight="false" outlineLevel="0" collapsed="false">
      <c r="B33" s="13" t="s">
        <v>1361</v>
      </c>
      <c r="C33" s="21" t="n">
        <f aca="false">SUMIFS('Pharmacy Sales Data'!$H$5:$H$620,'Pharmacy Sales Data'!$B$5:$B$620,"&gt;="&amp;DATE(2026,4,1),'Pharmacy Sales Data'!$B$5:$B$620,"&lt;="&amp;DATE(2026,4,30))</f>
        <v>10492.72</v>
      </c>
      <c r="D33" s="13" t="n">
        <f aca="false">SUMIFS('Pharmacy Sales Data'!$F$5:$F$620,'Pharmacy Sales Data'!$B$5:$B$620,"&gt;="&amp;DATE(2026,4,1),'Pharmacy Sales Data'!$B$5:$B$620,"&lt;="&amp;DATE(2026,4,30))</f>
        <v>213</v>
      </c>
      <c r="E33" s="24" t="n">
        <f aca="false">(C33-C32)/C32</f>
        <v>-0.142879781862679</v>
      </c>
    </row>
    <row r="34" customFormat="false" ht="15" hidden="false" customHeight="false" outlineLevel="0" collapsed="false">
      <c r="B34" s="13" t="s">
        <v>1362</v>
      </c>
      <c r="C34" s="21" t="n">
        <f aca="false">SUMIFS('Pharmacy Sales Data'!$H$5:$H$620,'Pharmacy Sales Data'!$B$5:$B$620,"&gt;="&amp;DATE(2026,5,1),'Pharmacy Sales Data'!$B$5:$B$620,"&lt;="&amp;DATE(2026,5,31))</f>
        <v>12543.01</v>
      </c>
      <c r="D34" s="13" t="n">
        <f aca="false">SUMIFS('Pharmacy Sales Data'!$F$5:$F$620,'Pharmacy Sales Data'!$B$5:$B$620,"&gt;="&amp;DATE(2026,5,1),'Pharmacy Sales Data'!$B$5:$B$620,"&lt;="&amp;DATE(2026,5,31))</f>
        <v>229</v>
      </c>
      <c r="E34" s="24" t="n">
        <f aca="false">(C34-C33)/C33</f>
        <v>0.19540119244581</v>
      </c>
    </row>
    <row r="35" customFormat="false" ht="15" hidden="false" customHeight="false" outlineLevel="0" collapsed="false">
      <c r="B35" s="13" t="s">
        <v>1363</v>
      </c>
      <c r="C35" s="21" t="n">
        <f aca="false">SUMIFS('Pharmacy Sales Data'!$H$5:$H$620,'Pharmacy Sales Data'!$B$5:$B$620,"&gt;="&amp;DATE(2026,6,1),'Pharmacy Sales Data'!$B$5:$B$620,"&lt;="&amp;DATE(2026,6,30))</f>
        <v>11142.52</v>
      </c>
      <c r="D35" s="13" t="n">
        <f aca="false">SUMIFS('Pharmacy Sales Data'!$F$5:$F$620,'Pharmacy Sales Data'!$B$5:$B$620,"&gt;="&amp;DATE(2026,6,1),'Pharmacy Sales Data'!$B$5:$B$620,"&lt;="&amp;DATE(2026,6,30))</f>
        <v>216</v>
      </c>
      <c r="E35" s="24" t="n">
        <f aca="false">(C35-C34)/C34</f>
        <v>-0.111655017416075</v>
      </c>
    </row>
    <row r="36" customFormat="false" ht="15" hidden="false" customHeight="false" outlineLevel="0" collapsed="false">
      <c r="B36" s="13" t="s">
        <v>1364</v>
      </c>
      <c r="C36" s="21" t="n">
        <f aca="false">SUMIFS('Pharmacy Sales Data'!$H$5:$H$620,'Pharmacy Sales Data'!$B$5:$B$620,"&gt;="&amp;DATE(2026,7,1),'Pharmacy Sales Data'!$B$5:$B$620,"&lt;="&amp;DATE(2026,7,31))</f>
        <v>14877.2</v>
      </c>
      <c r="D36" s="13" t="n">
        <f aca="false">SUMIFS('Pharmacy Sales Data'!$F$5:$F$620,'Pharmacy Sales Data'!$B$5:$B$620,"&gt;="&amp;DATE(2026,7,1),'Pharmacy Sales Data'!$B$5:$B$620,"&lt;="&amp;DATE(2026,7,31))</f>
        <v>231</v>
      </c>
      <c r="E36" s="24" t="n">
        <f aca="false">(C36-C35)/C35</f>
        <v>0.335173730897499</v>
      </c>
    </row>
    <row r="37" customFormat="false" ht="15" hidden="false" customHeight="false" outlineLevel="0" collapsed="false">
      <c r="B37" s="13" t="s">
        <v>1365</v>
      </c>
      <c r="C37" s="21" t="n">
        <f aca="false">SUMIFS('Pharmacy Sales Data'!$H$5:$H$620,'Pharmacy Sales Data'!$B$5:$B$620,"&gt;="&amp;DATE(2026,8,1),'Pharmacy Sales Data'!$B$5:$B$620,"&lt;="&amp;DATE(2026,8,31))</f>
        <v>9385.89</v>
      </c>
      <c r="D37" s="13" t="n">
        <f aca="false">SUMIFS('Pharmacy Sales Data'!$F$5:$F$620,'Pharmacy Sales Data'!$B$5:$B$620,"&gt;="&amp;DATE(2026,8,1),'Pharmacy Sales Data'!$B$5:$B$620,"&lt;="&amp;DATE(2026,8,31))</f>
        <v>182</v>
      </c>
      <c r="E37" s="24" t="n">
        <f aca="false">(C37-C36)/C36</f>
        <v>-0.369109106552308</v>
      </c>
    </row>
    <row r="39" customFormat="false" ht="15" hidden="false" customHeight="false" outlineLevel="0" collapsed="false">
      <c r="B39" s="11" t="s">
        <v>1366</v>
      </c>
      <c r="C39" s="11"/>
      <c r="D39" s="11"/>
      <c r="E39" s="11"/>
      <c r="F39" s="11"/>
    </row>
    <row r="40" customFormat="false" ht="15" hidden="false" customHeight="false" outlineLevel="0" collapsed="false">
      <c r="B40" s="5" t="s">
        <v>1367</v>
      </c>
      <c r="C40" s="5" t="s">
        <v>1346</v>
      </c>
      <c r="D40" s="5" t="s">
        <v>1347</v>
      </c>
      <c r="E40" s="5" t="s">
        <v>1348</v>
      </c>
      <c r="F40" s="5" t="s">
        <v>1368</v>
      </c>
    </row>
    <row r="41" customFormat="false" ht="15" hidden="false" customHeight="false" outlineLevel="0" collapsed="false">
      <c r="B41" s="13" t="s">
        <v>703</v>
      </c>
      <c r="C41" s="13" t="n">
        <f aca="false">SUMIF('Pharmacy Sales Data'!$D$5:$D$620,B41,'Pharmacy Sales Data'!$F$5:$F$620)</f>
        <v>800</v>
      </c>
      <c r="D41" s="21" t="n">
        <f aca="false">SUMIF('Pharmacy Sales Data'!$D$5:$D$620,B41,'Pharmacy Sales Data'!$H$5:$H$620)</f>
        <v>68008.99</v>
      </c>
      <c r="E41" s="14" t="n">
        <f aca="false">D41/$D$22</f>
        <v>0.576919011617274</v>
      </c>
      <c r="F41" s="25" t="n">
        <f aca="false">AVERAGEIF('Pharmacy Sales Data'!$D$5:$D$620,B41,'Pharmacy Sales Data'!$G$5:$G$620)</f>
        <v>88.4380701754386</v>
      </c>
    </row>
    <row r="42" customFormat="false" ht="15" hidden="false" customHeight="false" outlineLevel="0" collapsed="false">
      <c r="B42" s="13" t="s">
        <v>698</v>
      </c>
      <c r="C42" s="13" t="n">
        <f aca="false">SUMIF('Pharmacy Sales Data'!$D$5:$D$620,B42,'Pharmacy Sales Data'!$F$5:$F$620)</f>
        <v>1274</v>
      </c>
      <c r="D42" s="21" t="n">
        <f aca="false">SUMIF('Pharmacy Sales Data'!$D$5:$D$620,B42,'Pharmacy Sales Data'!$H$5:$H$620)</f>
        <v>49874.09</v>
      </c>
      <c r="E42" s="14" t="n">
        <f aca="false">D42/$D$22</f>
        <v>0.423080988382726</v>
      </c>
      <c r="F42" s="25" t="n">
        <f aca="false">AVERAGEIF('Pharmacy Sales Data'!$D$5:$D$620,B42,'Pharmacy Sales Data'!$G$5:$G$620)</f>
        <v>39.1247422680412</v>
      </c>
    </row>
  </sheetData>
  <mergeCells count="3">
    <mergeCell ref="B5:E5"/>
    <mergeCell ref="B24:E24"/>
    <mergeCell ref="B39:F39"/>
  </mergeCells>
  <conditionalFormatting sqref="E27:E37">
    <cfRule type="cellIs" priority="2" operator="greaterThan" aboveAverage="0" equalAverage="0" bottom="0" percent="0" rank="0" text="" dxfId="4">
      <formula>0</formula>
    </cfRule>
    <cfRule type="cellIs" priority="3" operator="lessThan" aboveAverage="0" equalAverage="0" bottom="0" percent="0" rank="0" text="" dxfId="5">
      <formula>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5"/>
    <col collapsed="false" customWidth="true" hidden="false" outlineLevel="0" max="3" min="3" style="0" width="18"/>
    <col collapsed="false" customWidth="true" hidden="false" outlineLevel="0" max="4" min="4" style="0" width="12"/>
    <col collapsed="false" customWidth="true" hidden="false" outlineLevel="0" max="5" min="5" style="0" width="17"/>
    <col collapsed="false" customWidth="true" hidden="false" outlineLevel="0" max="6" min="6" style="0" width="13"/>
    <col collapsed="false" customWidth="true" hidden="false" outlineLevel="0" max="7" min="7" style="0" width="11"/>
  </cols>
  <sheetData>
    <row r="1" customFormat="false" ht="17.35" hidden="false" customHeight="false" outlineLevel="0" collapsed="false">
      <c r="A1" s="18" t="s">
        <v>1369</v>
      </c>
    </row>
    <row r="2" customFormat="false" ht="27.75" hidden="false" customHeight="true" outlineLevel="0" collapsed="false">
      <c r="A2" s="19" t="s">
        <v>1370</v>
      </c>
      <c r="B2" s="19"/>
      <c r="C2" s="19"/>
      <c r="D2" s="19"/>
      <c r="E2" s="19"/>
      <c r="F2" s="19"/>
      <c r="G2" s="19"/>
    </row>
    <row r="4" customFormat="false" ht="15" hidden="false" customHeight="false" outlineLevel="0" collapsed="false">
      <c r="A4" s="5" t="s">
        <v>29</v>
      </c>
      <c r="B4" s="5" t="s">
        <v>50</v>
      </c>
      <c r="C4" s="5" t="s">
        <v>1371</v>
      </c>
      <c r="D4" s="5" t="s">
        <v>1372</v>
      </c>
      <c r="E4" s="5" t="s">
        <v>1373</v>
      </c>
      <c r="F4" s="5" t="s">
        <v>1374</v>
      </c>
      <c r="G4" s="5" t="s">
        <v>1375</v>
      </c>
    </row>
    <row r="5" customFormat="false" ht="15" hidden="false" customHeight="false" outlineLevel="0" collapsed="false">
      <c r="A5" s="8" t="s">
        <v>1376</v>
      </c>
      <c r="B5" s="8" t="s">
        <v>394</v>
      </c>
      <c r="C5" s="10" t="n">
        <v>45916</v>
      </c>
      <c r="D5" s="8" t="s">
        <v>1377</v>
      </c>
      <c r="E5" s="8"/>
      <c r="F5" s="9"/>
      <c r="G5" s="8"/>
    </row>
    <row r="6" customFormat="false" ht="15" hidden="false" customHeight="false" outlineLevel="0" collapsed="false">
      <c r="A6" s="8" t="s">
        <v>1378</v>
      </c>
      <c r="B6" s="8" t="s">
        <v>277</v>
      </c>
      <c r="C6" s="10" t="n">
        <v>45855</v>
      </c>
      <c r="D6" s="8" t="s">
        <v>1377</v>
      </c>
      <c r="E6" s="8"/>
      <c r="F6" s="9"/>
      <c r="G6" s="8"/>
    </row>
    <row r="7" customFormat="false" ht="15" hidden="false" customHeight="false" outlineLevel="0" collapsed="false">
      <c r="A7" s="8" t="s">
        <v>1379</v>
      </c>
      <c r="B7" s="8" t="s">
        <v>214</v>
      </c>
      <c r="C7" s="10" t="n">
        <v>45957</v>
      </c>
      <c r="D7" s="8" t="s">
        <v>1377</v>
      </c>
      <c r="E7" s="8"/>
      <c r="F7" s="9"/>
      <c r="G7" s="8"/>
    </row>
    <row r="8" customFormat="false" ht="15" hidden="false" customHeight="false" outlineLevel="0" collapsed="false">
      <c r="A8" s="8" t="s">
        <v>1380</v>
      </c>
      <c r="B8" s="8" t="s">
        <v>166</v>
      </c>
      <c r="C8" s="10" t="n">
        <v>45901</v>
      </c>
      <c r="D8" s="8" t="s">
        <v>1381</v>
      </c>
      <c r="E8" s="10" t="n">
        <v>45909</v>
      </c>
      <c r="F8" s="9" t="n">
        <v>8</v>
      </c>
      <c r="G8" s="8" t="s">
        <v>1382</v>
      </c>
    </row>
    <row r="9" customFormat="false" ht="15" hidden="false" customHeight="false" outlineLevel="0" collapsed="false">
      <c r="A9" s="8" t="s">
        <v>1383</v>
      </c>
      <c r="B9" s="8" t="s">
        <v>390</v>
      </c>
      <c r="C9" s="10" t="n">
        <v>45853</v>
      </c>
      <c r="D9" s="8" t="s">
        <v>1377</v>
      </c>
      <c r="E9" s="8"/>
      <c r="F9" s="9"/>
      <c r="G9" s="8"/>
    </row>
    <row r="10" customFormat="false" ht="15" hidden="false" customHeight="false" outlineLevel="0" collapsed="false">
      <c r="A10" s="8" t="s">
        <v>1384</v>
      </c>
      <c r="B10" s="8" t="s">
        <v>323</v>
      </c>
      <c r="C10" s="10" t="n">
        <v>46055</v>
      </c>
      <c r="D10" s="8" t="s">
        <v>1385</v>
      </c>
      <c r="E10" s="10" t="n">
        <v>46061</v>
      </c>
      <c r="F10" s="9" t="n">
        <v>6</v>
      </c>
      <c r="G10" s="8" t="s">
        <v>1386</v>
      </c>
    </row>
    <row r="11" customFormat="false" ht="15" hidden="false" customHeight="false" outlineLevel="0" collapsed="false">
      <c r="A11" s="8" t="s">
        <v>1387</v>
      </c>
      <c r="B11" s="8" t="s">
        <v>69</v>
      </c>
      <c r="C11" s="10" t="n">
        <v>46138</v>
      </c>
      <c r="D11" s="8" t="s">
        <v>1377</v>
      </c>
      <c r="E11" s="8"/>
      <c r="F11" s="9"/>
      <c r="G11" s="8"/>
    </row>
    <row r="12" customFormat="false" ht="15" hidden="false" customHeight="false" outlineLevel="0" collapsed="false">
      <c r="A12" s="8" t="s">
        <v>1388</v>
      </c>
      <c r="B12" s="8" t="s">
        <v>277</v>
      </c>
      <c r="C12" s="10" t="n">
        <v>45731</v>
      </c>
      <c r="D12" s="8" t="s">
        <v>1389</v>
      </c>
      <c r="E12" s="10" t="n">
        <v>45734</v>
      </c>
      <c r="F12" s="9" t="n">
        <v>3</v>
      </c>
      <c r="G12" s="8" t="s">
        <v>1386</v>
      </c>
    </row>
    <row r="13" customFormat="false" ht="15" hidden="false" customHeight="false" outlineLevel="0" collapsed="false">
      <c r="A13" s="8" t="s">
        <v>1390</v>
      </c>
      <c r="B13" s="8" t="s">
        <v>394</v>
      </c>
      <c r="C13" s="10" t="n">
        <v>45875</v>
      </c>
      <c r="D13" s="8" t="s">
        <v>1377</v>
      </c>
      <c r="E13" s="8"/>
      <c r="F13" s="9"/>
      <c r="G13" s="8"/>
    </row>
    <row r="14" customFormat="false" ht="15" hidden="false" customHeight="false" outlineLevel="0" collapsed="false">
      <c r="A14" s="8" t="s">
        <v>1391</v>
      </c>
      <c r="B14" s="8" t="s">
        <v>323</v>
      </c>
      <c r="C14" s="10" t="n">
        <v>45747</v>
      </c>
      <c r="D14" s="8" t="s">
        <v>1385</v>
      </c>
      <c r="E14" s="10" t="n">
        <v>45751</v>
      </c>
      <c r="F14" s="9" t="n">
        <v>4</v>
      </c>
      <c r="G14" s="8" t="s">
        <v>1382</v>
      </c>
    </row>
    <row r="15" customFormat="false" ht="15" hidden="false" customHeight="false" outlineLevel="0" collapsed="false">
      <c r="A15" s="8" t="s">
        <v>1392</v>
      </c>
      <c r="B15" s="8" t="s">
        <v>394</v>
      </c>
      <c r="C15" s="10" t="n">
        <v>45767</v>
      </c>
      <c r="D15" s="8" t="s">
        <v>1377</v>
      </c>
      <c r="E15" s="8"/>
      <c r="F15" s="9"/>
      <c r="G15" s="8"/>
    </row>
    <row r="16" customFormat="false" ht="15" hidden="false" customHeight="false" outlineLevel="0" collapsed="false">
      <c r="A16" s="8" t="s">
        <v>1393</v>
      </c>
      <c r="B16" s="8" t="s">
        <v>262</v>
      </c>
      <c r="C16" s="10" t="n">
        <v>45782</v>
      </c>
      <c r="D16" s="8" t="s">
        <v>1377</v>
      </c>
      <c r="E16" s="8"/>
      <c r="F16" s="9"/>
      <c r="G16" s="8"/>
    </row>
    <row r="17" customFormat="false" ht="15" hidden="false" customHeight="false" outlineLevel="0" collapsed="false">
      <c r="A17" s="8" t="s">
        <v>1394</v>
      </c>
      <c r="B17" s="8" t="s">
        <v>166</v>
      </c>
      <c r="C17" s="10" t="n">
        <v>45715</v>
      </c>
      <c r="D17" s="8" t="s">
        <v>1377</v>
      </c>
      <c r="E17" s="8"/>
      <c r="F17" s="9"/>
      <c r="G17" s="8"/>
    </row>
    <row r="18" customFormat="false" ht="15" hidden="false" customHeight="false" outlineLevel="0" collapsed="false">
      <c r="A18" s="8" t="s">
        <v>1395</v>
      </c>
      <c r="B18" s="8" t="s">
        <v>394</v>
      </c>
      <c r="C18" s="10" t="n">
        <v>46071</v>
      </c>
      <c r="D18" s="8" t="s">
        <v>1377</v>
      </c>
      <c r="E18" s="8"/>
      <c r="F18" s="9"/>
      <c r="G18" s="8"/>
    </row>
    <row r="19" customFormat="false" ht="15" hidden="false" customHeight="false" outlineLevel="0" collapsed="false">
      <c r="A19" s="8" t="s">
        <v>1396</v>
      </c>
      <c r="B19" s="8" t="s">
        <v>646</v>
      </c>
      <c r="C19" s="10" t="n">
        <v>45911</v>
      </c>
      <c r="D19" s="8" t="s">
        <v>1397</v>
      </c>
      <c r="E19" s="10" t="n">
        <v>45918</v>
      </c>
      <c r="F19" s="9" t="n">
        <v>7</v>
      </c>
      <c r="G19" s="8" t="s">
        <v>1382</v>
      </c>
    </row>
    <row r="20" customFormat="false" ht="15" hidden="false" customHeight="false" outlineLevel="0" collapsed="false">
      <c r="A20" s="8" t="s">
        <v>1398</v>
      </c>
      <c r="B20" s="8" t="s">
        <v>52</v>
      </c>
      <c r="C20" s="10" t="n">
        <v>45711</v>
      </c>
      <c r="D20" s="8" t="s">
        <v>1377</v>
      </c>
      <c r="E20" s="8"/>
      <c r="F20" s="9"/>
      <c r="G20" s="8"/>
    </row>
    <row r="21" customFormat="false" ht="15" hidden="false" customHeight="false" outlineLevel="0" collapsed="false">
      <c r="A21" s="8" t="s">
        <v>1399</v>
      </c>
      <c r="B21" s="8" t="s">
        <v>52</v>
      </c>
      <c r="C21" s="10" t="n">
        <v>46024</v>
      </c>
      <c r="D21" s="8" t="s">
        <v>1377</v>
      </c>
      <c r="E21" s="8"/>
      <c r="F21" s="9"/>
      <c r="G21" s="8"/>
    </row>
    <row r="22" customFormat="false" ht="15" hidden="false" customHeight="false" outlineLevel="0" collapsed="false">
      <c r="A22" s="8" t="s">
        <v>1400</v>
      </c>
      <c r="B22" s="8" t="s">
        <v>154</v>
      </c>
      <c r="C22" s="10" t="n">
        <v>45778</v>
      </c>
      <c r="D22" s="8" t="s">
        <v>1385</v>
      </c>
      <c r="E22" s="10" t="n">
        <v>45781</v>
      </c>
      <c r="F22" s="9" t="n">
        <v>3</v>
      </c>
      <c r="G22" s="8" t="s">
        <v>1386</v>
      </c>
    </row>
    <row r="23" customFormat="false" ht="15" hidden="false" customHeight="false" outlineLevel="0" collapsed="false">
      <c r="A23" s="8" t="s">
        <v>1401</v>
      </c>
      <c r="B23" s="8" t="s">
        <v>115</v>
      </c>
      <c r="C23" s="10" t="n">
        <v>45755</v>
      </c>
      <c r="D23" s="8" t="s">
        <v>1381</v>
      </c>
      <c r="E23" s="10" t="n">
        <v>45767</v>
      </c>
      <c r="F23" s="9" t="n">
        <v>12</v>
      </c>
      <c r="G23" s="8" t="s">
        <v>1382</v>
      </c>
    </row>
    <row r="24" customFormat="false" ht="15" hidden="false" customHeight="false" outlineLevel="0" collapsed="false">
      <c r="A24" s="8" t="s">
        <v>1402</v>
      </c>
      <c r="B24" s="8" t="s">
        <v>394</v>
      </c>
      <c r="C24" s="10" t="n">
        <v>46083</v>
      </c>
      <c r="D24" s="8" t="s">
        <v>1377</v>
      </c>
      <c r="E24" s="8"/>
      <c r="F24" s="9"/>
      <c r="G24" s="8"/>
    </row>
    <row r="25" customFormat="false" ht="15" hidden="false" customHeight="false" outlineLevel="0" collapsed="false">
      <c r="A25" s="8" t="s">
        <v>1403</v>
      </c>
      <c r="B25" s="8" t="s">
        <v>52</v>
      </c>
      <c r="C25" s="10" t="n">
        <v>46150</v>
      </c>
      <c r="D25" s="8" t="s">
        <v>1404</v>
      </c>
      <c r="E25" s="10" t="n">
        <v>46154</v>
      </c>
      <c r="F25" s="9" t="n">
        <v>4</v>
      </c>
      <c r="G25" s="8" t="s">
        <v>1405</v>
      </c>
    </row>
    <row r="26" customFormat="false" ht="15" hidden="false" customHeight="false" outlineLevel="0" collapsed="false">
      <c r="A26" s="8" t="s">
        <v>1406</v>
      </c>
      <c r="B26" s="8" t="s">
        <v>277</v>
      </c>
      <c r="C26" s="10" t="n">
        <v>45748</v>
      </c>
      <c r="D26" s="8" t="s">
        <v>1377</v>
      </c>
      <c r="E26" s="8"/>
      <c r="F26" s="9"/>
      <c r="G26" s="8"/>
    </row>
    <row r="27" customFormat="false" ht="15" hidden="false" customHeight="false" outlineLevel="0" collapsed="false">
      <c r="A27" s="8" t="s">
        <v>1407</v>
      </c>
      <c r="B27" s="8" t="s">
        <v>115</v>
      </c>
      <c r="C27" s="10" t="n">
        <v>45774</v>
      </c>
      <c r="D27" s="8" t="s">
        <v>1377</v>
      </c>
      <c r="E27" s="8"/>
      <c r="F27" s="9"/>
      <c r="G27" s="8"/>
    </row>
    <row r="28" customFormat="false" ht="15" hidden="false" customHeight="false" outlineLevel="0" collapsed="false">
      <c r="A28" s="8" t="s">
        <v>1408</v>
      </c>
      <c r="B28" s="8" t="s">
        <v>115</v>
      </c>
      <c r="C28" s="10" t="n">
        <v>45763</v>
      </c>
      <c r="D28" s="8" t="s">
        <v>1377</v>
      </c>
      <c r="E28" s="8"/>
      <c r="F28" s="9"/>
      <c r="G28" s="8"/>
    </row>
    <row r="29" customFormat="false" ht="15" hidden="false" customHeight="false" outlineLevel="0" collapsed="false">
      <c r="A29" s="8" t="s">
        <v>1409</v>
      </c>
      <c r="B29" s="8" t="s">
        <v>390</v>
      </c>
      <c r="C29" s="10" t="n">
        <v>45903</v>
      </c>
      <c r="D29" s="8" t="s">
        <v>1377</v>
      </c>
      <c r="E29" s="8"/>
      <c r="F29" s="9"/>
      <c r="G29" s="8"/>
    </row>
    <row r="30" customFormat="false" ht="15" hidden="false" customHeight="false" outlineLevel="0" collapsed="false">
      <c r="A30" s="8" t="s">
        <v>1410</v>
      </c>
      <c r="B30" s="8" t="s">
        <v>394</v>
      </c>
      <c r="C30" s="10" t="n">
        <v>45746</v>
      </c>
      <c r="D30" s="8" t="s">
        <v>1377</v>
      </c>
      <c r="E30" s="8"/>
      <c r="F30" s="9"/>
      <c r="G30" s="8"/>
    </row>
    <row r="31" customFormat="false" ht="15" hidden="false" customHeight="false" outlineLevel="0" collapsed="false">
      <c r="A31" s="8" t="s">
        <v>1411</v>
      </c>
      <c r="B31" s="8" t="s">
        <v>390</v>
      </c>
      <c r="C31" s="10" t="n">
        <v>45683</v>
      </c>
      <c r="D31" s="8" t="s">
        <v>1412</v>
      </c>
      <c r="E31" s="10" t="n">
        <v>45748</v>
      </c>
      <c r="F31" s="9" t="n">
        <v>65</v>
      </c>
      <c r="G31" s="8" t="s">
        <v>1405</v>
      </c>
    </row>
    <row r="32" customFormat="false" ht="15" hidden="false" customHeight="false" outlineLevel="0" collapsed="false">
      <c r="A32" s="8" t="s">
        <v>1413</v>
      </c>
      <c r="B32" s="8" t="s">
        <v>646</v>
      </c>
      <c r="C32" s="10" t="n">
        <v>46085</v>
      </c>
      <c r="D32" s="8" t="s">
        <v>1377</v>
      </c>
      <c r="E32" s="8"/>
      <c r="F32" s="9"/>
      <c r="G32" s="8"/>
    </row>
    <row r="33" customFormat="false" ht="15" hidden="false" customHeight="false" outlineLevel="0" collapsed="false">
      <c r="A33" s="8" t="s">
        <v>1414</v>
      </c>
      <c r="B33" s="8" t="s">
        <v>69</v>
      </c>
      <c r="C33" s="10" t="n">
        <v>45763</v>
      </c>
      <c r="D33" s="8" t="s">
        <v>1377</v>
      </c>
      <c r="E33" s="8"/>
      <c r="F33" s="9"/>
      <c r="G33" s="8"/>
    </row>
    <row r="34" customFormat="false" ht="15" hidden="false" customHeight="false" outlineLevel="0" collapsed="false">
      <c r="A34" s="8" t="s">
        <v>1415</v>
      </c>
      <c r="B34" s="8" t="s">
        <v>154</v>
      </c>
      <c r="C34" s="10" t="n">
        <v>45960</v>
      </c>
      <c r="D34" s="8" t="s">
        <v>1377</v>
      </c>
      <c r="E34" s="8"/>
      <c r="F34" s="9"/>
      <c r="G34" s="8"/>
    </row>
    <row r="35" customFormat="false" ht="15" hidden="false" customHeight="false" outlineLevel="0" collapsed="false">
      <c r="A35" s="8" t="s">
        <v>1416</v>
      </c>
      <c r="B35" s="8" t="s">
        <v>69</v>
      </c>
      <c r="C35" s="10" t="n">
        <v>46122</v>
      </c>
      <c r="D35" s="8" t="s">
        <v>1377</v>
      </c>
      <c r="E35" s="8"/>
      <c r="F35" s="9"/>
      <c r="G35" s="8"/>
    </row>
    <row r="36" customFormat="false" ht="15" hidden="false" customHeight="false" outlineLevel="0" collapsed="false">
      <c r="A36" s="8" t="s">
        <v>1417</v>
      </c>
      <c r="B36" s="8" t="s">
        <v>52</v>
      </c>
      <c r="C36" s="10" t="n">
        <v>46156</v>
      </c>
      <c r="D36" s="8" t="s">
        <v>1412</v>
      </c>
      <c r="E36" s="10" t="n">
        <v>46157</v>
      </c>
      <c r="F36" s="9" t="n">
        <v>1</v>
      </c>
      <c r="G36" s="8" t="s">
        <v>1386</v>
      </c>
    </row>
    <row r="37" customFormat="false" ht="15" hidden="false" customHeight="false" outlineLevel="0" collapsed="false">
      <c r="A37" s="8" t="s">
        <v>1418</v>
      </c>
      <c r="B37" s="8" t="s">
        <v>262</v>
      </c>
      <c r="C37" s="10" t="n">
        <v>45769</v>
      </c>
      <c r="D37" s="8" t="s">
        <v>1377</v>
      </c>
      <c r="E37" s="8"/>
      <c r="F37" s="9"/>
      <c r="G37" s="8"/>
    </row>
    <row r="38" customFormat="false" ht="15" hidden="false" customHeight="false" outlineLevel="0" collapsed="false">
      <c r="A38" s="8" t="s">
        <v>1419</v>
      </c>
      <c r="B38" s="8" t="s">
        <v>262</v>
      </c>
      <c r="C38" s="10" t="n">
        <v>45743</v>
      </c>
      <c r="D38" s="8" t="s">
        <v>1377</v>
      </c>
      <c r="E38" s="8"/>
      <c r="F38" s="9"/>
      <c r="G38" s="8"/>
    </row>
    <row r="39" customFormat="false" ht="15" hidden="false" customHeight="false" outlineLevel="0" collapsed="false">
      <c r="A39" s="8" t="s">
        <v>1420</v>
      </c>
      <c r="B39" s="8" t="s">
        <v>390</v>
      </c>
      <c r="C39" s="10" t="n">
        <v>45769</v>
      </c>
      <c r="D39" s="8" t="s">
        <v>1377</v>
      </c>
      <c r="E39" s="8"/>
      <c r="F39" s="9"/>
      <c r="G39" s="8"/>
    </row>
    <row r="40" customFormat="false" ht="15" hidden="false" customHeight="false" outlineLevel="0" collapsed="false">
      <c r="A40" s="8" t="s">
        <v>1421</v>
      </c>
      <c r="B40" s="8" t="s">
        <v>154</v>
      </c>
      <c r="C40" s="10" t="n">
        <v>45948</v>
      </c>
      <c r="D40" s="8" t="s">
        <v>1377</v>
      </c>
      <c r="E40" s="8"/>
      <c r="F40" s="9"/>
      <c r="G40" s="8"/>
    </row>
    <row r="41" customFormat="false" ht="15" hidden="false" customHeight="false" outlineLevel="0" collapsed="false">
      <c r="A41" s="8" t="s">
        <v>1422</v>
      </c>
      <c r="B41" s="8" t="s">
        <v>115</v>
      </c>
      <c r="C41" s="10" t="n">
        <v>46069</v>
      </c>
      <c r="D41" s="8" t="s">
        <v>1381</v>
      </c>
      <c r="E41" s="10" t="n">
        <v>46102</v>
      </c>
      <c r="F41" s="9" t="n">
        <v>33</v>
      </c>
      <c r="G41" s="8" t="s">
        <v>1386</v>
      </c>
    </row>
    <row r="42" customFormat="false" ht="15" hidden="false" customHeight="false" outlineLevel="0" collapsed="false">
      <c r="A42" s="8" t="s">
        <v>1423</v>
      </c>
      <c r="B42" s="8" t="s">
        <v>323</v>
      </c>
      <c r="C42" s="10" t="n">
        <v>45746</v>
      </c>
      <c r="D42" s="8" t="s">
        <v>1377</v>
      </c>
      <c r="E42" s="8"/>
      <c r="F42" s="9"/>
      <c r="G42" s="8"/>
    </row>
    <row r="43" customFormat="false" ht="15" hidden="false" customHeight="false" outlineLevel="0" collapsed="false">
      <c r="A43" s="8" t="s">
        <v>1424</v>
      </c>
      <c r="B43" s="8" t="s">
        <v>145</v>
      </c>
      <c r="C43" s="10" t="n">
        <v>45980</v>
      </c>
      <c r="D43" s="8" t="s">
        <v>1377</v>
      </c>
      <c r="E43" s="8"/>
      <c r="F43" s="9"/>
      <c r="G43" s="8"/>
    </row>
    <row r="44" customFormat="false" ht="15" hidden="false" customHeight="false" outlineLevel="0" collapsed="false">
      <c r="A44" s="8" t="s">
        <v>1425</v>
      </c>
      <c r="B44" s="8" t="s">
        <v>394</v>
      </c>
      <c r="C44" s="10" t="n">
        <v>45945</v>
      </c>
      <c r="D44" s="8" t="s">
        <v>1377</v>
      </c>
      <c r="E44" s="8"/>
      <c r="F44" s="9"/>
      <c r="G44" s="8"/>
    </row>
    <row r="45" customFormat="false" ht="15" hidden="false" customHeight="false" outlineLevel="0" collapsed="false">
      <c r="A45" s="8" t="s">
        <v>1426</v>
      </c>
      <c r="B45" s="8" t="s">
        <v>394</v>
      </c>
      <c r="C45" s="10" t="n">
        <v>46147</v>
      </c>
      <c r="D45" s="8" t="s">
        <v>1377</v>
      </c>
      <c r="E45" s="8"/>
      <c r="F45" s="9"/>
      <c r="G45" s="8"/>
    </row>
    <row r="46" customFormat="false" ht="15" hidden="false" customHeight="false" outlineLevel="0" collapsed="false">
      <c r="A46" s="8" t="s">
        <v>1427</v>
      </c>
      <c r="B46" s="8" t="s">
        <v>394</v>
      </c>
      <c r="C46" s="10" t="n">
        <v>46061</v>
      </c>
      <c r="D46" s="8" t="s">
        <v>1377</v>
      </c>
      <c r="E46" s="8"/>
      <c r="F46" s="9"/>
      <c r="G46" s="8"/>
    </row>
    <row r="47" customFormat="false" ht="15" hidden="false" customHeight="false" outlineLevel="0" collapsed="false">
      <c r="A47" s="8" t="s">
        <v>1428</v>
      </c>
      <c r="B47" s="8" t="s">
        <v>154</v>
      </c>
      <c r="C47" s="10" t="n">
        <v>45919</v>
      </c>
      <c r="D47" s="8" t="s">
        <v>1377</v>
      </c>
      <c r="E47" s="8"/>
      <c r="F47" s="9"/>
      <c r="G47" s="8"/>
    </row>
    <row r="48" customFormat="false" ht="15" hidden="false" customHeight="false" outlineLevel="0" collapsed="false">
      <c r="A48" s="8" t="s">
        <v>1429</v>
      </c>
      <c r="B48" s="8" t="s">
        <v>650</v>
      </c>
      <c r="C48" s="10" t="n">
        <v>45974</v>
      </c>
      <c r="D48" s="8" t="s">
        <v>1377</v>
      </c>
      <c r="E48" s="8"/>
      <c r="F48" s="9"/>
      <c r="G48" s="8"/>
    </row>
    <row r="49" customFormat="false" ht="15" hidden="false" customHeight="false" outlineLevel="0" collapsed="false">
      <c r="A49" s="8" t="s">
        <v>1430</v>
      </c>
      <c r="B49" s="8" t="s">
        <v>69</v>
      </c>
      <c r="C49" s="10" t="n">
        <v>45763</v>
      </c>
      <c r="D49" s="8" t="s">
        <v>1385</v>
      </c>
      <c r="E49" s="10" t="n">
        <v>45772</v>
      </c>
      <c r="F49" s="9" t="n">
        <v>9</v>
      </c>
      <c r="G49" s="8" t="s">
        <v>1405</v>
      </c>
    </row>
    <row r="50" customFormat="false" ht="15" hidden="false" customHeight="false" outlineLevel="0" collapsed="false">
      <c r="A50" s="8" t="s">
        <v>1431</v>
      </c>
      <c r="B50" s="8" t="s">
        <v>646</v>
      </c>
      <c r="C50" s="10" t="n">
        <v>45716</v>
      </c>
      <c r="D50" s="8" t="s">
        <v>1377</v>
      </c>
      <c r="E50" s="8"/>
      <c r="F50" s="9"/>
      <c r="G50" s="8"/>
    </row>
    <row r="51" customFormat="false" ht="15" hidden="false" customHeight="false" outlineLevel="0" collapsed="false">
      <c r="A51" s="8" t="s">
        <v>1432</v>
      </c>
      <c r="B51" s="8" t="s">
        <v>323</v>
      </c>
      <c r="C51" s="10" t="n">
        <v>45780</v>
      </c>
      <c r="D51" s="8" t="s">
        <v>1377</v>
      </c>
      <c r="E51" s="8"/>
      <c r="F51" s="9"/>
      <c r="G51" s="8"/>
    </row>
    <row r="52" customFormat="false" ht="15" hidden="false" customHeight="false" outlineLevel="0" collapsed="false">
      <c r="A52" s="8" t="s">
        <v>1433</v>
      </c>
      <c r="B52" s="8" t="s">
        <v>323</v>
      </c>
      <c r="C52" s="10" t="n">
        <v>45788</v>
      </c>
      <c r="D52" s="8" t="s">
        <v>1434</v>
      </c>
      <c r="E52" s="10" t="n">
        <v>45802</v>
      </c>
      <c r="F52" s="9" t="n">
        <v>14</v>
      </c>
      <c r="G52" s="8" t="s">
        <v>1386</v>
      </c>
    </row>
    <row r="53" customFormat="false" ht="15" hidden="false" customHeight="false" outlineLevel="0" collapsed="false">
      <c r="A53" s="8" t="s">
        <v>1435</v>
      </c>
      <c r="B53" s="8" t="s">
        <v>166</v>
      </c>
      <c r="C53" s="10" t="n">
        <v>46043</v>
      </c>
      <c r="D53" s="8" t="s">
        <v>1381</v>
      </c>
      <c r="E53" s="10" t="n">
        <v>46046</v>
      </c>
      <c r="F53" s="9" t="n">
        <v>3</v>
      </c>
      <c r="G53" s="8" t="s">
        <v>1405</v>
      </c>
    </row>
    <row r="54" customFormat="false" ht="15" hidden="false" customHeight="false" outlineLevel="0" collapsed="false">
      <c r="A54" s="8" t="s">
        <v>1436</v>
      </c>
      <c r="B54" s="8" t="s">
        <v>52</v>
      </c>
      <c r="C54" s="10" t="n">
        <v>45706</v>
      </c>
      <c r="D54" s="8" t="s">
        <v>1377</v>
      </c>
      <c r="E54" s="8"/>
      <c r="F54" s="9"/>
      <c r="G54" s="8"/>
    </row>
    <row r="55" customFormat="false" ht="15" hidden="false" customHeight="false" outlineLevel="0" collapsed="false">
      <c r="A55" s="8" t="s">
        <v>1437</v>
      </c>
      <c r="B55" s="8" t="s">
        <v>323</v>
      </c>
      <c r="C55" s="10" t="n">
        <v>45810</v>
      </c>
      <c r="D55" s="8" t="s">
        <v>1377</v>
      </c>
      <c r="E55" s="8"/>
      <c r="F55" s="9"/>
      <c r="G55" s="8"/>
    </row>
    <row r="56" customFormat="false" ht="15" hidden="false" customHeight="false" outlineLevel="0" collapsed="false">
      <c r="A56" s="8" t="s">
        <v>1438</v>
      </c>
      <c r="B56" s="8" t="s">
        <v>394</v>
      </c>
      <c r="C56" s="10" t="n">
        <v>45736</v>
      </c>
      <c r="D56" s="8" t="s">
        <v>1377</v>
      </c>
      <c r="E56" s="8"/>
      <c r="F56" s="9"/>
      <c r="G56" s="8"/>
    </row>
    <row r="57" customFormat="false" ht="15" hidden="false" customHeight="false" outlineLevel="0" collapsed="false">
      <c r="A57" s="8" t="s">
        <v>1439</v>
      </c>
      <c r="B57" s="8" t="s">
        <v>214</v>
      </c>
      <c r="C57" s="10" t="n">
        <v>45690</v>
      </c>
      <c r="D57" s="8" t="s">
        <v>1377</v>
      </c>
      <c r="E57" s="8"/>
      <c r="F57" s="9"/>
      <c r="G57" s="8"/>
    </row>
    <row r="58" customFormat="false" ht="15" hidden="false" customHeight="false" outlineLevel="0" collapsed="false">
      <c r="A58" s="8" t="s">
        <v>1440</v>
      </c>
      <c r="B58" s="8" t="s">
        <v>390</v>
      </c>
      <c r="C58" s="10" t="n">
        <v>45697</v>
      </c>
      <c r="D58" s="8" t="s">
        <v>1377</v>
      </c>
      <c r="E58" s="8"/>
      <c r="F58" s="9"/>
      <c r="G58" s="8"/>
    </row>
    <row r="59" customFormat="false" ht="15" hidden="false" customHeight="false" outlineLevel="0" collapsed="false">
      <c r="A59" s="8" t="s">
        <v>1441</v>
      </c>
      <c r="B59" s="8" t="s">
        <v>262</v>
      </c>
      <c r="C59" s="10" t="n">
        <v>45925</v>
      </c>
      <c r="D59" s="8" t="s">
        <v>1377</v>
      </c>
      <c r="E59" s="8"/>
      <c r="F59" s="9"/>
      <c r="G59" s="8"/>
    </row>
    <row r="60" customFormat="false" ht="15" hidden="false" customHeight="false" outlineLevel="0" collapsed="false">
      <c r="A60" s="8" t="s">
        <v>1442</v>
      </c>
      <c r="B60" s="8" t="s">
        <v>69</v>
      </c>
      <c r="C60" s="10" t="n">
        <v>45836</v>
      </c>
      <c r="D60" s="8" t="s">
        <v>1377</v>
      </c>
      <c r="E60" s="8"/>
      <c r="F60" s="9"/>
      <c r="G60" s="8"/>
    </row>
    <row r="61" customFormat="false" ht="15" hidden="false" customHeight="false" outlineLevel="0" collapsed="false">
      <c r="A61" s="8" t="s">
        <v>1443</v>
      </c>
      <c r="B61" s="8" t="s">
        <v>262</v>
      </c>
      <c r="C61" s="10" t="n">
        <v>45747</v>
      </c>
      <c r="D61" s="8" t="s">
        <v>1444</v>
      </c>
      <c r="E61" s="10" t="n">
        <v>45758</v>
      </c>
      <c r="F61" s="9" t="n">
        <v>11</v>
      </c>
      <c r="G61" s="8" t="s">
        <v>1386</v>
      </c>
    </row>
    <row r="62" customFormat="false" ht="15" hidden="false" customHeight="false" outlineLevel="0" collapsed="false">
      <c r="A62" s="8" t="s">
        <v>1445</v>
      </c>
      <c r="B62" s="8" t="s">
        <v>214</v>
      </c>
      <c r="C62" s="10" t="n">
        <v>45840</v>
      </c>
      <c r="D62" s="8" t="s">
        <v>1377</v>
      </c>
      <c r="E62" s="8"/>
      <c r="F62" s="9"/>
      <c r="G62" s="8"/>
    </row>
    <row r="63" customFormat="false" ht="15" hidden="false" customHeight="false" outlineLevel="0" collapsed="false">
      <c r="A63" s="8" t="s">
        <v>1446</v>
      </c>
      <c r="B63" s="8" t="s">
        <v>277</v>
      </c>
      <c r="C63" s="10" t="n">
        <v>45988</v>
      </c>
      <c r="D63" s="8" t="s">
        <v>1377</v>
      </c>
      <c r="E63" s="8"/>
      <c r="F63" s="9"/>
      <c r="G63" s="8"/>
    </row>
    <row r="64" customFormat="false" ht="15" hidden="false" customHeight="false" outlineLevel="0" collapsed="false">
      <c r="A64" s="8" t="s">
        <v>1447</v>
      </c>
      <c r="B64" s="8" t="s">
        <v>277</v>
      </c>
      <c r="C64" s="10" t="n">
        <v>45852</v>
      </c>
      <c r="D64" s="8" t="s">
        <v>1377</v>
      </c>
      <c r="E64" s="8"/>
      <c r="F64" s="9"/>
      <c r="G64" s="8"/>
    </row>
    <row r="65" customFormat="false" ht="15" hidden="false" customHeight="false" outlineLevel="0" collapsed="false">
      <c r="A65" s="8" t="s">
        <v>1448</v>
      </c>
      <c r="B65" s="8" t="s">
        <v>154</v>
      </c>
      <c r="C65" s="10" t="n">
        <v>46053</v>
      </c>
      <c r="D65" s="8" t="s">
        <v>1377</v>
      </c>
      <c r="E65" s="8"/>
      <c r="F65" s="9"/>
      <c r="G65" s="8"/>
    </row>
    <row r="66" customFormat="false" ht="15" hidden="false" customHeight="false" outlineLevel="0" collapsed="false">
      <c r="A66" s="8" t="s">
        <v>1449</v>
      </c>
      <c r="B66" s="8" t="s">
        <v>323</v>
      </c>
      <c r="C66" s="10" t="n">
        <v>45858</v>
      </c>
      <c r="D66" s="8" t="s">
        <v>1377</v>
      </c>
      <c r="E66" s="8"/>
      <c r="F66" s="9"/>
      <c r="G66" s="8"/>
    </row>
    <row r="67" customFormat="false" ht="15" hidden="false" customHeight="false" outlineLevel="0" collapsed="false">
      <c r="A67" s="8" t="s">
        <v>1450</v>
      </c>
      <c r="B67" s="8" t="s">
        <v>214</v>
      </c>
      <c r="C67" s="10" t="n">
        <v>45874</v>
      </c>
      <c r="D67" s="8" t="s">
        <v>1377</v>
      </c>
      <c r="E67" s="8"/>
      <c r="F67" s="9"/>
      <c r="G67" s="8"/>
    </row>
    <row r="68" customFormat="false" ht="15" hidden="false" customHeight="false" outlineLevel="0" collapsed="false">
      <c r="A68" s="8" t="s">
        <v>1451</v>
      </c>
      <c r="B68" s="8" t="s">
        <v>262</v>
      </c>
      <c r="C68" s="10" t="n">
        <v>45972</v>
      </c>
      <c r="D68" s="8" t="s">
        <v>1377</v>
      </c>
      <c r="E68" s="8"/>
      <c r="F68" s="9"/>
      <c r="G68" s="8"/>
    </row>
    <row r="69" customFormat="false" ht="15" hidden="false" customHeight="false" outlineLevel="0" collapsed="false">
      <c r="A69" s="8" t="s">
        <v>1452</v>
      </c>
      <c r="B69" s="8" t="s">
        <v>145</v>
      </c>
      <c r="C69" s="10" t="n">
        <v>46005</v>
      </c>
      <c r="D69" s="8" t="s">
        <v>1377</v>
      </c>
      <c r="E69" s="8"/>
      <c r="F69" s="9"/>
      <c r="G69" s="8"/>
    </row>
    <row r="70" customFormat="false" ht="15" hidden="false" customHeight="false" outlineLevel="0" collapsed="false">
      <c r="A70" s="8" t="s">
        <v>1453</v>
      </c>
      <c r="B70" s="8" t="s">
        <v>154</v>
      </c>
      <c r="C70" s="10" t="n">
        <v>45853</v>
      </c>
      <c r="D70" s="8" t="s">
        <v>1377</v>
      </c>
      <c r="E70" s="8"/>
      <c r="F70" s="9"/>
      <c r="G70" s="8"/>
    </row>
    <row r="71" customFormat="false" ht="15" hidden="false" customHeight="false" outlineLevel="0" collapsed="false">
      <c r="A71" s="8" t="s">
        <v>1454</v>
      </c>
      <c r="B71" s="8" t="s">
        <v>145</v>
      </c>
      <c r="C71" s="10" t="n">
        <v>45876</v>
      </c>
      <c r="D71" s="8" t="s">
        <v>1377</v>
      </c>
      <c r="E71" s="8"/>
      <c r="F71" s="9"/>
      <c r="G71" s="8"/>
    </row>
    <row r="72" customFormat="false" ht="15" hidden="false" customHeight="false" outlineLevel="0" collapsed="false">
      <c r="A72" s="8" t="s">
        <v>1455</v>
      </c>
      <c r="B72" s="8" t="s">
        <v>394</v>
      </c>
      <c r="C72" s="10" t="n">
        <v>45889</v>
      </c>
      <c r="D72" s="8" t="s">
        <v>1377</v>
      </c>
      <c r="E72" s="8"/>
      <c r="F72" s="9"/>
      <c r="G72" s="8"/>
    </row>
    <row r="73" customFormat="false" ht="15" hidden="false" customHeight="false" outlineLevel="0" collapsed="false">
      <c r="A73" s="8" t="s">
        <v>1456</v>
      </c>
      <c r="B73" s="8" t="s">
        <v>145</v>
      </c>
      <c r="C73" s="10" t="n">
        <v>45807</v>
      </c>
      <c r="D73" s="8" t="s">
        <v>1377</v>
      </c>
      <c r="E73" s="8"/>
      <c r="F73" s="9"/>
      <c r="G73" s="8"/>
    </row>
    <row r="74" customFormat="false" ht="15" hidden="false" customHeight="false" outlineLevel="0" collapsed="false">
      <c r="A74" s="8" t="s">
        <v>1457</v>
      </c>
      <c r="B74" s="8" t="s">
        <v>166</v>
      </c>
      <c r="C74" s="10" t="n">
        <v>46115</v>
      </c>
      <c r="D74" s="8" t="s">
        <v>1381</v>
      </c>
      <c r="E74" s="10" t="n">
        <v>46116</v>
      </c>
      <c r="F74" s="9" t="n">
        <v>1</v>
      </c>
      <c r="G74" s="8" t="s">
        <v>1386</v>
      </c>
    </row>
    <row r="75" customFormat="false" ht="15" hidden="false" customHeight="false" outlineLevel="0" collapsed="false">
      <c r="A75" s="8" t="s">
        <v>1458</v>
      </c>
      <c r="B75" s="8" t="s">
        <v>390</v>
      </c>
      <c r="C75" s="10" t="n">
        <v>45667</v>
      </c>
      <c r="D75" s="8" t="s">
        <v>1377</v>
      </c>
      <c r="E75" s="8"/>
      <c r="F75" s="9"/>
      <c r="G75" s="8"/>
    </row>
    <row r="76" customFormat="false" ht="15" hidden="false" customHeight="false" outlineLevel="0" collapsed="false">
      <c r="A76" s="8" t="s">
        <v>1459</v>
      </c>
      <c r="B76" s="8" t="s">
        <v>646</v>
      </c>
      <c r="C76" s="10" t="n">
        <v>46087</v>
      </c>
      <c r="D76" s="8" t="s">
        <v>1377</v>
      </c>
      <c r="E76" s="8"/>
      <c r="F76" s="9"/>
      <c r="G76" s="8"/>
    </row>
    <row r="77" customFormat="false" ht="15" hidden="false" customHeight="false" outlineLevel="0" collapsed="false">
      <c r="A77" s="8" t="s">
        <v>1460</v>
      </c>
      <c r="B77" s="8" t="s">
        <v>166</v>
      </c>
      <c r="C77" s="10" t="n">
        <v>46090</v>
      </c>
      <c r="D77" s="8" t="s">
        <v>1377</v>
      </c>
      <c r="E77" s="8"/>
      <c r="F77" s="9"/>
      <c r="G77" s="8"/>
    </row>
    <row r="78" customFormat="false" ht="15" hidden="false" customHeight="false" outlineLevel="0" collapsed="false">
      <c r="A78" s="8" t="s">
        <v>1461</v>
      </c>
      <c r="B78" s="8" t="s">
        <v>323</v>
      </c>
      <c r="C78" s="10" t="n">
        <v>45762</v>
      </c>
      <c r="D78" s="8" t="s">
        <v>1377</v>
      </c>
      <c r="E78" s="8"/>
      <c r="F78" s="9"/>
      <c r="G78" s="8"/>
    </row>
    <row r="79" customFormat="false" ht="15" hidden="false" customHeight="false" outlineLevel="0" collapsed="false">
      <c r="A79" s="8" t="s">
        <v>1462</v>
      </c>
      <c r="B79" s="8" t="s">
        <v>394</v>
      </c>
      <c r="C79" s="10" t="n">
        <v>46022</v>
      </c>
      <c r="D79" s="8" t="s">
        <v>1377</v>
      </c>
      <c r="E79" s="8"/>
      <c r="F79" s="9"/>
      <c r="G79" s="8"/>
    </row>
    <row r="80" customFormat="false" ht="15" hidden="false" customHeight="false" outlineLevel="0" collapsed="false">
      <c r="A80" s="8" t="s">
        <v>1463</v>
      </c>
      <c r="B80" s="8" t="s">
        <v>154</v>
      </c>
      <c r="C80" s="10" t="n">
        <v>45831</v>
      </c>
      <c r="D80" s="8" t="s">
        <v>1377</v>
      </c>
      <c r="E80" s="8"/>
      <c r="F80" s="9"/>
      <c r="G80" s="8"/>
    </row>
    <row r="81" customFormat="false" ht="15" hidden="false" customHeight="false" outlineLevel="0" collapsed="false">
      <c r="A81" s="8" t="s">
        <v>1464</v>
      </c>
      <c r="B81" s="8" t="s">
        <v>323</v>
      </c>
      <c r="C81" s="10" t="n">
        <v>46097</v>
      </c>
      <c r="D81" s="8" t="s">
        <v>1377</v>
      </c>
      <c r="E81" s="8"/>
      <c r="F81" s="9"/>
      <c r="G81" s="8"/>
    </row>
    <row r="82" customFormat="false" ht="15" hidden="false" customHeight="false" outlineLevel="0" collapsed="false">
      <c r="A82" s="8" t="s">
        <v>1465</v>
      </c>
      <c r="B82" s="8" t="s">
        <v>69</v>
      </c>
      <c r="C82" s="10" t="n">
        <v>45682</v>
      </c>
      <c r="D82" s="8" t="s">
        <v>1377</v>
      </c>
      <c r="E82" s="8"/>
      <c r="F82" s="9"/>
      <c r="G82" s="8"/>
    </row>
    <row r="83" customFormat="false" ht="15" hidden="false" customHeight="false" outlineLevel="0" collapsed="false">
      <c r="A83" s="8" t="s">
        <v>1466</v>
      </c>
      <c r="B83" s="8" t="s">
        <v>69</v>
      </c>
      <c r="C83" s="10" t="n">
        <v>45949</v>
      </c>
      <c r="D83" s="8" t="s">
        <v>1377</v>
      </c>
      <c r="E83" s="8"/>
      <c r="F83" s="9"/>
      <c r="G83" s="8"/>
    </row>
    <row r="84" customFormat="false" ht="15" hidden="false" customHeight="false" outlineLevel="0" collapsed="false">
      <c r="A84" s="8" t="s">
        <v>1467</v>
      </c>
      <c r="B84" s="8" t="s">
        <v>323</v>
      </c>
      <c r="C84" s="10" t="n">
        <v>46110</v>
      </c>
      <c r="D84" s="8" t="s">
        <v>1377</v>
      </c>
      <c r="E84" s="8"/>
      <c r="F84" s="9"/>
      <c r="G84" s="8"/>
    </row>
    <row r="85" customFormat="false" ht="15" hidden="false" customHeight="false" outlineLevel="0" collapsed="false">
      <c r="A85" s="8" t="s">
        <v>1468</v>
      </c>
      <c r="B85" s="8" t="s">
        <v>52</v>
      </c>
      <c r="C85" s="10" t="n">
        <v>45736</v>
      </c>
      <c r="D85" s="8" t="s">
        <v>1377</v>
      </c>
      <c r="E85" s="8"/>
      <c r="F85" s="9"/>
      <c r="G85" s="8"/>
    </row>
    <row r="86" customFormat="false" ht="15" hidden="false" customHeight="false" outlineLevel="0" collapsed="false">
      <c r="A86" s="8" t="s">
        <v>1469</v>
      </c>
      <c r="B86" s="8" t="s">
        <v>145</v>
      </c>
      <c r="C86" s="10" t="n">
        <v>45930</v>
      </c>
      <c r="D86" s="8" t="s">
        <v>1377</v>
      </c>
      <c r="E86" s="8"/>
      <c r="F86" s="9"/>
      <c r="G86" s="8"/>
    </row>
    <row r="87" customFormat="false" ht="15" hidden="false" customHeight="false" outlineLevel="0" collapsed="false">
      <c r="A87" s="8" t="s">
        <v>1470</v>
      </c>
      <c r="B87" s="8" t="s">
        <v>323</v>
      </c>
      <c r="C87" s="10" t="n">
        <v>45770</v>
      </c>
      <c r="D87" s="8" t="s">
        <v>1377</v>
      </c>
      <c r="E87" s="8"/>
      <c r="F87" s="9"/>
      <c r="G87" s="8"/>
    </row>
    <row r="88" customFormat="false" ht="15" hidden="false" customHeight="false" outlineLevel="0" collapsed="false">
      <c r="A88" s="8" t="s">
        <v>1471</v>
      </c>
      <c r="B88" s="8" t="s">
        <v>390</v>
      </c>
      <c r="C88" s="10" t="n">
        <v>45784</v>
      </c>
      <c r="D88" s="8" t="s">
        <v>1377</v>
      </c>
      <c r="E88" s="8"/>
      <c r="F88" s="9"/>
      <c r="G88" s="8"/>
    </row>
    <row r="89" customFormat="false" ht="15" hidden="false" customHeight="false" outlineLevel="0" collapsed="false">
      <c r="A89" s="8" t="s">
        <v>1472</v>
      </c>
      <c r="B89" s="8" t="s">
        <v>390</v>
      </c>
      <c r="C89" s="10" t="n">
        <v>45827</v>
      </c>
      <c r="D89" s="8" t="s">
        <v>1385</v>
      </c>
      <c r="E89" s="10" t="n">
        <v>45835</v>
      </c>
      <c r="F89" s="9" t="n">
        <v>8</v>
      </c>
      <c r="G89" s="8" t="s">
        <v>1386</v>
      </c>
    </row>
    <row r="90" customFormat="false" ht="15" hidden="false" customHeight="false" outlineLevel="0" collapsed="false">
      <c r="A90" s="8" t="s">
        <v>1473</v>
      </c>
      <c r="B90" s="8" t="s">
        <v>214</v>
      </c>
      <c r="C90" s="10" t="n">
        <v>45920</v>
      </c>
      <c r="D90" s="8" t="s">
        <v>1377</v>
      </c>
      <c r="E90" s="8"/>
      <c r="F90" s="9"/>
      <c r="G90" s="8"/>
    </row>
    <row r="91" customFormat="false" ht="15" hidden="false" customHeight="false" outlineLevel="0" collapsed="false">
      <c r="A91" s="8" t="s">
        <v>1474</v>
      </c>
      <c r="B91" s="8" t="s">
        <v>390</v>
      </c>
      <c r="C91" s="10" t="n">
        <v>45835</v>
      </c>
      <c r="D91" s="8" t="s">
        <v>1377</v>
      </c>
      <c r="E91" s="8"/>
      <c r="F91" s="9"/>
      <c r="G91" s="8"/>
    </row>
    <row r="92" customFormat="false" ht="15" hidden="false" customHeight="false" outlineLevel="0" collapsed="false">
      <c r="A92" s="8" t="s">
        <v>1475</v>
      </c>
      <c r="B92" s="8" t="s">
        <v>650</v>
      </c>
      <c r="C92" s="10" t="n">
        <v>45682</v>
      </c>
      <c r="D92" s="8" t="s">
        <v>1377</v>
      </c>
      <c r="E92" s="8"/>
      <c r="F92" s="9"/>
      <c r="G92" s="8"/>
    </row>
    <row r="93" customFormat="false" ht="15" hidden="false" customHeight="false" outlineLevel="0" collapsed="false">
      <c r="A93" s="8" t="s">
        <v>1476</v>
      </c>
      <c r="B93" s="8" t="s">
        <v>214</v>
      </c>
      <c r="C93" s="10" t="n">
        <v>46100</v>
      </c>
      <c r="D93" s="8" t="s">
        <v>1385</v>
      </c>
      <c r="E93" s="10" t="n">
        <v>46116</v>
      </c>
      <c r="F93" s="9" t="n">
        <v>16</v>
      </c>
      <c r="G93" s="8" t="s">
        <v>1386</v>
      </c>
    </row>
    <row r="94" customFormat="false" ht="15" hidden="false" customHeight="false" outlineLevel="0" collapsed="false">
      <c r="A94" s="8" t="s">
        <v>1477</v>
      </c>
      <c r="B94" s="8" t="s">
        <v>154</v>
      </c>
      <c r="C94" s="10" t="n">
        <v>45680</v>
      </c>
      <c r="D94" s="8" t="s">
        <v>1385</v>
      </c>
      <c r="E94" s="10" t="n">
        <v>45684</v>
      </c>
      <c r="F94" s="9" t="n">
        <v>4</v>
      </c>
      <c r="G94" s="8" t="s">
        <v>1386</v>
      </c>
    </row>
    <row r="95" customFormat="false" ht="15" hidden="false" customHeight="false" outlineLevel="0" collapsed="false">
      <c r="A95" s="8" t="s">
        <v>1478</v>
      </c>
      <c r="B95" s="8" t="s">
        <v>69</v>
      </c>
      <c r="C95" s="10" t="n">
        <v>46073</v>
      </c>
      <c r="D95" s="8" t="s">
        <v>1377</v>
      </c>
      <c r="E95" s="8"/>
      <c r="F95" s="9"/>
      <c r="G95" s="8"/>
    </row>
    <row r="96" customFormat="false" ht="15" hidden="false" customHeight="false" outlineLevel="0" collapsed="false">
      <c r="A96" s="8" t="s">
        <v>1479</v>
      </c>
      <c r="B96" s="8" t="s">
        <v>323</v>
      </c>
      <c r="C96" s="10" t="n">
        <v>45856</v>
      </c>
      <c r="D96" s="8" t="s">
        <v>1377</v>
      </c>
      <c r="E96" s="8"/>
      <c r="F96" s="9"/>
      <c r="G96" s="8"/>
    </row>
    <row r="97" customFormat="false" ht="15" hidden="false" customHeight="false" outlineLevel="0" collapsed="false">
      <c r="A97" s="8" t="s">
        <v>1480</v>
      </c>
      <c r="B97" s="8" t="s">
        <v>166</v>
      </c>
      <c r="C97" s="10" t="n">
        <v>45894</v>
      </c>
      <c r="D97" s="8" t="s">
        <v>1377</v>
      </c>
      <c r="E97" s="8"/>
      <c r="F97" s="9"/>
      <c r="G97" s="8"/>
    </row>
    <row r="98" customFormat="false" ht="15" hidden="false" customHeight="false" outlineLevel="0" collapsed="false">
      <c r="A98" s="8" t="s">
        <v>1481</v>
      </c>
      <c r="B98" s="8" t="s">
        <v>323</v>
      </c>
      <c r="C98" s="10" t="n">
        <v>45690</v>
      </c>
      <c r="D98" s="8" t="s">
        <v>1377</v>
      </c>
      <c r="E98" s="8"/>
      <c r="F98" s="9"/>
      <c r="G98" s="8"/>
    </row>
    <row r="99" customFormat="false" ht="15" hidden="false" customHeight="false" outlineLevel="0" collapsed="false">
      <c r="A99" s="8" t="s">
        <v>1482</v>
      </c>
      <c r="B99" s="8" t="s">
        <v>394</v>
      </c>
      <c r="C99" s="10" t="n">
        <v>45826</v>
      </c>
      <c r="D99" s="8" t="s">
        <v>1377</v>
      </c>
      <c r="E99" s="8"/>
      <c r="F99" s="9"/>
      <c r="G99" s="8"/>
    </row>
    <row r="100" customFormat="false" ht="15" hidden="false" customHeight="false" outlineLevel="0" collapsed="false">
      <c r="A100" s="8" t="s">
        <v>1483</v>
      </c>
      <c r="B100" s="8" t="s">
        <v>166</v>
      </c>
      <c r="C100" s="10" t="n">
        <v>45876</v>
      </c>
      <c r="D100" s="8" t="s">
        <v>1385</v>
      </c>
      <c r="E100" s="10" t="n">
        <v>45946</v>
      </c>
      <c r="F100" s="9" t="n">
        <v>70</v>
      </c>
      <c r="G100" s="8" t="s">
        <v>1386</v>
      </c>
    </row>
    <row r="101" customFormat="false" ht="15" hidden="false" customHeight="false" outlineLevel="0" collapsed="false">
      <c r="A101" s="8" t="s">
        <v>1484</v>
      </c>
      <c r="B101" s="8" t="s">
        <v>166</v>
      </c>
      <c r="C101" s="10" t="n">
        <v>45851</v>
      </c>
      <c r="D101" s="8" t="s">
        <v>1404</v>
      </c>
      <c r="E101" s="10" t="n">
        <v>45860</v>
      </c>
      <c r="F101" s="9" t="n">
        <v>9</v>
      </c>
      <c r="G101" s="8" t="s">
        <v>1386</v>
      </c>
    </row>
    <row r="102" customFormat="false" ht="15" hidden="false" customHeight="false" outlineLevel="0" collapsed="false">
      <c r="A102" s="8" t="s">
        <v>1485</v>
      </c>
      <c r="B102" s="8" t="s">
        <v>650</v>
      </c>
      <c r="C102" s="10" t="n">
        <v>46050</v>
      </c>
      <c r="D102" s="8" t="s">
        <v>1377</v>
      </c>
      <c r="E102" s="8"/>
      <c r="F102" s="9"/>
      <c r="G102" s="8"/>
    </row>
    <row r="103" customFormat="false" ht="15" hidden="false" customHeight="false" outlineLevel="0" collapsed="false">
      <c r="A103" s="8" t="s">
        <v>1486</v>
      </c>
      <c r="B103" s="8" t="s">
        <v>646</v>
      </c>
      <c r="C103" s="10" t="n">
        <v>46131</v>
      </c>
      <c r="D103" s="8" t="s">
        <v>1444</v>
      </c>
      <c r="E103" s="10" t="n">
        <v>46137</v>
      </c>
      <c r="F103" s="9" t="n">
        <v>6</v>
      </c>
      <c r="G103" s="8" t="s">
        <v>1386</v>
      </c>
    </row>
    <row r="104" customFormat="false" ht="15" hidden="false" customHeight="false" outlineLevel="0" collapsed="false">
      <c r="A104" s="8" t="s">
        <v>1487</v>
      </c>
      <c r="B104" s="8" t="s">
        <v>394</v>
      </c>
      <c r="C104" s="10" t="n">
        <v>45978</v>
      </c>
      <c r="D104" s="8" t="s">
        <v>1377</v>
      </c>
      <c r="E104" s="8"/>
      <c r="F104" s="9"/>
      <c r="G104" s="8"/>
    </row>
    <row r="105" customFormat="false" ht="15" hidden="false" customHeight="false" outlineLevel="0" collapsed="false">
      <c r="A105" s="8" t="s">
        <v>1488</v>
      </c>
      <c r="B105" s="8" t="s">
        <v>145</v>
      </c>
      <c r="C105" s="10" t="n">
        <v>46146</v>
      </c>
      <c r="D105" s="8" t="s">
        <v>1377</v>
      </c>
      <c r="E105" s="8"/>
      <c r="F105" s="9"/>
      <c r="G105" s="8"/>
    </row>
    <row r="106" customFormat="false" ht="15" hidden="false" customHeight="false" outlineLevel="0" collapsed="false">
      <c r="A106" s="8" t="s">
        <v>1489</v>
      </c>
      <c r="B106" s="8" t="s">
        <v>145</v>
      </c>
      <c r="C106" s="10" t="n">
        <v>45892</v>
      </c>
      <c r="D106" s="8" t="s">
        <v>1377</v>
      </c>
      <c r="E106" s="8"/>
      <c r="F106" s="9"/>
      <c r="G106" s="8"/>
    </row>
    <row r="107" customFormat="false" ht="15" hidden="false" customHeight="false" outlineLevel="0" collapsed="false">
      <c r="A107" s="8" t="s">
        <v>1490</v>
      </c>
      <c r="B107" s="8" t="s">
        <v>52</v>
      </c>
      <c r="C107" s="10" t="n">
        <v>45703</v>
      </c>
      <c r="D107" s="8" t="s">
        <v>1491</v>
      </c>
      <c r="E107" s="10" t="n">
        <v>45780</v>
      </c>
      <c r="F107" s="9" t="n">
        <v>77</v>
      </c>
      <c r="G107" s="8" t="s">
        <v>1405</v>
      </c>
    </row>
    <row r="108" customFormat="false" ht="15" hidden="false" customHeight="false" outlineLevel="0" collapsed="false">
      <c r="A108" s="8" t="s">
        <v>1492</v>
      </c>
      <c r="B108" s="8" t="s">
        <v>52</v>
      </c>
      <c r="C108" s="10" t="n">
        <v>46091</v>
      </c>
      <c r="D108" s="8" t="s">
        <v>1377</v>
      </c>
      <c r="E108" s="8"/>
      <c r="F108" s="9"/>
      <c r="G108" s="8"/>
    </row>
    <row r="109" customFormat="false" ht="15" hidden="false" customHeight="false" outlineLevel="0" collapsed="false">
      <c r="A109" s="8" t="s">
        <v>1493</v>
      </c>
      <c r="B109" s="8" t="s">
        <v>277</v>
      </c>
      <c r="C109" s="10" t="n">
        <v>46094</v>
      </c>
      <c r="D109" s="8" t="s">
        <v>1377</v>
      </c>
      <c r="E109" s="8"/>
      <c r="F109" s="9"/>
      <c r="G109" s="8"/>
    </row>
    <row r="110" customFormat="false" ht="15" hidden="false" customHeight="false" outlineLevel="0" collapsed="false">
      <c r="A110" s="8" t="s">
        <v>1494</v>
      </c>
      <c r="B110" s="8" t="s">
        <v>115</v>
      </c>
      <c r="C110" s="10" t="n">
        <v>45911</v>
      </c>
      <c r="D110" s="8" t="s">
        <v>1377</v>
      </c>
      <c r="E110" s="8"/>
      <c r="F110" s="9"/>
      <c r="G110" s="8"/>
    </row>
    <row r="111" customFormat="false" ht="15" hidden="false" customHeight="false" outlineLevel="0" collapsed="false">
      <c r="A111" s="8" t="s">
        <v>1495</v>
      </c>
      <c r="B111" s="8" t="s">
        <v>277</v>
      </c>
      <c r="C111" s="10" t="n">
        <v>45777</v>
      </c>
      <c r="D111" s="8" t="s">
        <v>1377</v>
      </c>
      <c r="E111" s="8"/>
      <c r="F111" s="9"/>
      <c r="G111" s="8"/>
    </row>
    <row r="112" customFormat="false" ht="15" hidden="false" customHeight="false" outlineLevel="0" collapsed="false">
      <c r="A112" s="8" t="s">
        <v>1496</v>
      </c>
      <c r="B112" s="8" t="s">
        <v>115</v>
      </c>
      <c r="C112" s="10" t="n">
        <v>46166</v>
      </c>
      <c r="D112" s="8" t="s">
        <v>1385</v>
      </c>
      <c r="E112" s="10" t="n">
        <v>46174</v>
      </c>
      <c r="F112" s="9" t="n">
        <v>8</v>
      </c>
      <c r="G112" s="8" t="s">
        <v>1386</v>
      </c>
    </row>
    <row r="113" customFormat="false" ht="15" hidden="false" customHeight="false" outlineLevel="0" collapsed="false">
      <c r="A113" s="8" t="s">
        <v>1497</v>
      </c>
      <c r="B113" s="8" t="s">
        <v>390</v>
      </c>
      <c r="C113" s="10" t="n">
        <v>45674</v>
      </c>
      <c r="D113" s="8" t="s">
        <v>1377</v>
      </c>
      <c r="E113" s="8"/>
      <c r="F113" s="9"/>
      <c r="G113" s="8"/>
    </row>
    <row r="114" customFormat="false" ht="15" hidden="false" customHeight="false" outlineLevel="0" collapsed="false">
      <c r="A114" s="8" t="s">
        <v>1498</v>
      </c>
      <c r="B114" s="8" t="s">
        <v>394</v>
      </c>
      <c r="C114" s="10" t="n">
        <v>46160</v>
      </c>
      <c r="D114" s="8" t="s">
        <v>1377</v>
      </c>
      <c r="E114" s="8"/>
      <c r="F114" s="9"/>
      <c r="G114" s="8"/>
    </row>
    <row r="115" customFormat="false" ht="15" hidden="false" customHeight="false" outlineLevel="0" collapsed="false">
      <c r="A115" s="8" t="s">
        <v>1499</v>
      </c>
      <c r="B115" s="8" t="s">
        <v>115</v>
      </c>
      <c r="C115" s="10" t="n">
        <v>45751</v>
      </c>
      <c r="D115" s="8" t="s">
        <v>1377</v>
      </c>
      <c r="E115" s="8"/>
      <c r="F115" s="9"/>
      <c r="G115" s="8"/>
    </row>
    <row r="116" customFormat="false" ht="15" hidden="false" customHeight="false" outlineLevel="0" collapsed="false">
      <c r="A116" s="8" t="s">
        <v>1500</v>
      </c>
      <c r="B116" s="8" t="s">
        <v>154</v>
      </c>
      <c r="C116" s="10" t="n">
        <v>45756</v>
      </c>
      <c r="D116" s="8" t="s">
        <v>1377</v>
      </c>
      <c r="E116" s="8"/>
      <c r="F116" s="9"/>
      <c r="G116" s="8"/>
    </row>
    <row r="117" customFormat="false" ht="15" hidden="false" customHeight="false" outlineLevel="0" collapsed="false">
      <c r="A117" s="8" t="s">
        <v>1501</v>
      </c>
      <c r="B117" s="8" t="s">
        <v>115</v>
      </c>
      <c r="C117" s="10" t="n">
        <v>45695</v>
      </c>
      <c r="D117" s="8" t="s">
        <v>1381</v>
      </c>
      <c r="E117" s="10" t="n">
        <v>45703</v>
      </c>
      <c r="F117" s="9" t="n">
        <v>8</v>
      </c>
      <c r="G117" s="8"/>
    </row>
    <row r="118" customFormat="false" ht="15" hidden="false" customHeight="false" outlineLevel="0" collapsed="false">
      <c r="A118" s="8" t="s">
        <v>1502</v>
      </c>
      <c r="B118" s="8" t="s">
        <v>390</v>
      </c>
      <c r="C118" s="10" t="n">
        <v>45933</v>
      </c>
      <c r="D118" s="8" t="s">
        <v>1377</v>
      </c>
      <c r="E118" s="8"/>
      <c r="F118" s="9"/>
      <c r="G118" s="8"/>
    </row>
    <row r="119" customFormat="false" ht="15" hidden="false" customHeight="false" outlineLevel="0" collapsed="false">
      <c r="A119" s="8" t="s">
        <v>1503</v>
      </c>
      <c r="B119" s="8" t="s">
        <v>214</v>
      </c>
      <c r="C119" s="10" t="n">
        <v>46035</v>
      </c>
      <c r="D119" s="8" t="s">
        <v>1377</v>
      </c>
      <c r="E119" s="8"/>
      <c r="F119" s="9"/>
      <c r="G119" s="8"/>
    </row>
    <row r="120" customFormat="false" ht="15" hidden="false" customHeight="false" outlineLevel="0" collapsed="false">
      <c r="A120" s="8" t="s">
        <v>1504</v>
      </c>
      <c r="B120" s="8" t="s">
        <v>166</v>
      </c>
      <c r="C120" s="10" t="n">
        <v>45921</v>
      </c>
      <c r="D120" s="8" t="s">
        <v>1404</v>
      </c>
      <c r="E120" s="10" t="n">
        <v>45929</v>
      </c>
      <c r="F120" s="9" t="n">
        <v>8</v>
      </c>
      <c r="G120" s="8" t="s">
        <v>1386</v>
      </c>
    </row>
    <row r="121" customFormat="false" ht="15" hidden="false" customHeight="false" outlineLevel="0" collapsed="false">
      <c r="A121" s="8" t="s">
        <v>1505</v>
      </c>
      <c r="B121" s="8" t="s">
        <v>262</v>
      </c>
      <c r="C121" s="10" t="n">
        <v>45664</v>
      </c>
      <c r="D121" s="8" t="s">
        <v>1377</v>
      </c>
      <c r="E121" s="8"/>
      <c r="F121" s="9"/>
      <c r="G121" s="8"/>
    </row>
    <row r="122" customFormat="false" ht="15" hidden="false" customHeight="false" outlineLevel="0" collapsed="false">
      <c r="A122" s="8" t="s">
        <v>1506</v>
      </c>
      <c r="B122" s="8" t="s">
        <v>394</v>
      </c>
      <c r="C122" s="10" t="n">
        <v>46153</v>
      </c>
      <c r="D122" s="8" t="s">
        <v>1377</v>
      </c>
      <c r="E122" s="8"/>
      <c r="F122" s="9"/>
      <c r="G122" s="8"/>
    </row>
    <row r="123" customFormat="false" ht="15" hidden="false" customHeight="false" outlineLevel="0" collapsed="false">
      <c r="A123" s="8" t="s">
        <v>1507</v>
      </c>
      <c r="B123" s="8" t="s">
        <v>390</v>
      </c>
      <c r="C123" s="10" t="n">
        <v>45691</v>
      </c>
      <c r="D123" s="8" t="s">
        <v>1377</v>
      </c>
      <c r="E123" s="8"/>
      <c r="F123" s="9"/>
      <c r="G123" s="8"/>
    </row>
    <row r="124" customFormat="false" ht="15" hidden="false" customHeight="false" outlineLevel="0" collapsed="false">
      <c r="A124" s="8" t="s">
        <v>1508</v>
      </c>
      <c r="B124" s="8" t="s">
        <v>52</v>
      </c>
      <c r="C124" s="10" t="n">
        <v>46104</v>
      </c>
      <c r="D124" s="8" t="s">
        <v>1377</v>
      </c>
      <c r="E124" s="8"/>
      <c r="F124" s="9"/>
      <c r="G124" s="8"/>
    </row>
    <row r="125" customFormat="false" ht="15" hidden="false" customHeight="false" outlineLevel="0" collapsed="false">
      <c r="A125" s="8" t="s">
        <v>1509</v>
      </c>
      <c r="B125" s="8" t="s">
        <v>277</v>
      </c>
      <c r="C125" s="10" t="n">
        <v>46063</v>
      </c>
      <c r="D125" s="8" t="s">
        <v>1434</v>
      </c>
      <c r="E125" s="10" t="n">
        <v>46077</v>
      </c>
      <c r="F125" s="9" t="n">
        <v>14</v>
      </c>
      <c r="G125" s="8" t="s">
        <v>1405</v>
      </c>
    </row>
    <row r="126" customFormat="false" ht="15" hidden="false" customHeight="false" outlineLevel="0" collapsed="false">
      <c r="A126" s="8" t="s">
        <v>1510</v>
      </c>
      <c r="B126" s="8" t="s">
        <v>69</v>
      </c>
      <c r="C126" s="10" t="n">
        <v>45881</v>
      </c>
      <c r="D126" s="8" t="s">
        <v>1377</v>
      </c>
      <c r="E126" s="8"/>
      <c r="F126" s="9"/>
      <c r="G126" s="8"/>
    </row>
    <row r="127" customFormat="false" ht="15" hidden="false" customHeight="false" outlineLevel="0" collapsed="false">
      <c r="A127" s="8" t="s">
        <v>1511</v>
      </c>
      <c r="B127" s="8" t="s">
        <v>115</v>
      </c>
      <c r="C127" s="10" t="n">
        <v>45910</v>
      </c>
      <c r="D127" s="8" t="s">
        <v>1377</v>
      </c>
      <c r="E127" s="8"/>
      <c r="F127" s="9"/>
      <c r="G127" s="8"/>
    </row>
    <row r="128" customFormat="false" ht="15" hidden="false" customHeight="false" outlineLevel="0" collapsed="false">
      <c r="A128" s="8" t="s">
        <v>1512</v>
      </c>
      <c r="B128" s="8" t="s">
        <v>262</v>
      </c>
      <c r="C128" s="10" t="n">
        <v>46061</v>
      </c>
      <c r="D128" s="8" t="s">
        <v>1513</v>
      </c>
      <c r="E128" s="10" t="n">
        <v>46071</v>
      </c>
      <c r="F128" s="9" t="n">
        <v>10</v>
      </c>
      <c r="G128" s="8" t="s">
        <v>1386</v>
      </c>
    </row>
    <row r="129" customFormat="false" ht="15" hidden="false" customHeight="false" outlineLevel="0" collapsed="false">
      <c r="A129" s="8" t="s">
        <v>1514</v>
      </c>
      <c r="B129" s="8" t="s">
        <v>646</v>
      </c>
      <c r="C129" s="10" t="n">
        <v>45686</v>
      </c>
      <c r="D129" s="8" t="s">
        <v>1444</v>
      </c>
      <c r="E129" s="10" t="n">
        <v>45693</v>
      </c>
      <c r="F129" s="9" t="n">
        <v>7</v>
      </c>
      <c r="G129" s="8" t="s">
        <v>1405</v>
      </c>
    </row>
    <row r="130" customFormat="false" ht="15" hidden="false" customHeight="false" outlineLevel="0" collapsed="false">
      <c r="A130" s="8" t="s">
        <v>1515</v>
      </c>
      <c r="B130" s="8" t="s">
        <v>166</v>
      </c>
      <c r="C130" s="10" t="n">
        <v>45812</v>
      </c>
      <c r="D130" s="8" t="s">
        <v>1377</v>
      </c>
      <c r="E130" s="8"/>
      <c r="F130" s="9"/>
      <c r="G130" s="8"/>
    </row>
    <row r="131" customFormat="false" ht="15" hidden="false" customHeight="false" outlineLevel="0" collapsed="false">
      <c r="A131" s="8" t="s">
        <v>1516</v>
      </c>
      <c r="B131" s="8" t="s">
        <v>394</v>
      </c>
      <c r="C131" s="10" t="n">
        <v>45746</v>
      </c>
      <c r="D131" s="8" t="s">
        <v>1377</v>
      </c>
      <c r="E131" s="8"/>
      <c r="F131" s="9"/>
      <c r="G131" s="8"/>
    </row>
    <row r="132" customFormat="false" ht="15" hidden="false" customHeight="false" outlineLevel="0" collapsed="false">
      <c r="A132" s="8" t="s">
        <v>1517</v>
      </c>
      <c r="B132" s="8" t="s">
        <v>646</v>
      </c>
      <c r="C132" s="10" t="n">
        <v>45889</v>
      </c>
      <c r="D132" s="8" t="s">
        <v>1377</v>
      </c>
      <c r="E132" s="8"/>
      <c r="F132" s="9"/>
      <c r="G132" s="8"/>
    </row>
    <row r="133" customFormat="false" ht="15" hidden="false" customHeight="false" outlineLevel="0" collapsed="false">
      <c r="A133" s="8" t="s">
        <v>1518</v>
      </c>
      <c r="B133" s="8" t="s">
        <v>154</v>
      </c>
      <c r="C133" s="10" t="n">
        <v>46066</v>
      </c>
      <c r="D133" s="8" t="s">
        <v>1377</v>
      </c>
      <c r="E133" s="8"/>
      <c r="F133" s="9"/>
      <c r="G133" s="8"/>
    </row>
    <row r="134" customFormat="false" ht="15" hidden="false" customHeight="false" outlineLevel="0" collapsed="false">
      <c r="A134" s="8" t="s">
        <v>1519</v>
      </c>
      <c r="B134" s="8" t="s">
        <v>154</v>
      </c>
      <c r="C134" s="10" t="n">
        <v>45683</v>
      </c>
      <c r="D134" s="8" t="s">
        <v>1520</v>
      </c>
      <c r="E134" s="10" t="n">
        <v>45692</v>
      </c>
      <c r="F134" s="9" t="n">
        <v>9</v>
      </c>
      <c r="G134" s="8" t="s">
        <v>1386</v>
      </c>
    </row>
    <row r="135" customFormat="false" ht="15" hidden="false" customHeight="false" outlineLevel="0" collapsed="false">
      <c r="A135" s="8" t="s">
        <v>1521</v>
      </c>
      <c r="B135" s="8" t="s">
        <v>154</v>
      </c>
      <c r="C135" s="10" t="n">
        <v>45770</v>
      </c>
      <c r="D135" s="8" t="s">
        <v>1385</v>
      </c>
      <c r="E135" s="10" t="n">
        <v>45773</v>
      </c>
      <c r="F135" s="9" t="n">
        <v>3</v>
      </c>
      <c r="G135" s="8" t="s">
        <v>1386</v>
      </c>
    </row>
    <row r="136" customFormat="false" ht="15" hidden="false" customHeight="false" outlineLevel="0" collapsed="false">
      <c r="A136" s="8" t="s">
        <v>1522</v>
      </c>
      <c r="B136" s="8" t="s">
        <v>390</v>
      </c>
      <c r="C136" s="10" t="n">
        <v>45827</v>
      </c>
      <c r="D136" s="8" t="s">
        <v>1377</v>
      </c>
      <c r="E136" s="8"/>
      <c r="F136" s="9"/>
      <c r="G136" s="8"/>
    </row>
    <row r="137" customFormat="false" ht="15" hidden="false" customHeight="false" outlineLevel="0" collapsed="false">
      <c r="A137" s="8" t="s">
        <v>1523</v>
      </c>
      <c r="B137" s="8" t="s">
        <v>115</v>
      </c>
      <c r="C137" s="10" t="n">
        <v>45799</v>
      </c>
      <c r="D137" s="8" t="s">
        <v>1377</v>
      </c>
      <c r="E137" s="8"/>
      <c r="F137" s="9"/>
      <c r="G137" s="8"/>
    </row>
    <row r="138" customFormat="false" ht="15" hidden="false" customHeight="false" outlineLevel="0" collapsed="false">
      <c r="A138" s="8" t="s">
        <v>1524</v>
      </c>
      <c r="B138" s="8" t="s">
        <v>166</v>
      </c>
      <c r="C138" s="10" t="n">
        <v>45722</v>
      </c>
      <c r="D138" s="8" t="s">
        <v>1404</v>
      </c>
      <c r="E138" s="10" t="n">
        <v>45726</v>
      </c>
      <c r="F138" s="9" t="n">
        <v>4</v>
      </c>
      <c r="G138" s="8" t="s">
        <v>1386</v>
      </c>
    </row>
    <row r="139" customFormat="false" ht="15" hidden="false" customHeight="false" outlineLevel="0" collapsed="false">
      <c r="A139" s="8" t="s">
        <v>1525</v>
      </c>
      <c r="B139" s="8" t="s">
        <v>390</v>
      </c>
      <c r="C139" s="10" t="n">
        <v>45895</v>
      </c>
      <c r="D139" s="8" t="s">
        <v>1377</v>
      </c>
      <c r="E139" s="8"/>
      <c r="F139" s="9"/>
      <c r="G139" s="8"/>
    </row>
    <row r="140" customFormat="false" ht="15" hidden="false" customHeight="false" outlineLevel="0" collapsed="false">
      <c r="A140" s="8" t="s">
        <v>1526</v>
      </c>
      <c r="B140" s="8" t="s">
        <v>115</v>
      </c>
      <c r="C140" s="10" t="n">
        <v>45674</v>
      </c>
      <c r="D140" s="8" t="s">
        <v>1377</v>
      </c>
      <c r="E140" s="8"/>
      <c r="F140" s="9"/>
      <c r="G140" s="8"/>
    </row>
    <row r="141" customFormat="false" ht="15" hidden="false" customHeight="false" outlineLevel="0" collapsed="false">
      <c r="A141" s="8" t="s">
        <v>1527</v>
      </c>
      <c r="B141" s="8" t="s">
        <v>115</v>
      </c>
      <c r="C141" s="10" t="n">
        <v>46074</v>
      </c>
      <c r="D141" s="8" t="s">
        <v>1377</v>
      </c>
      <c r="E141" s="8"/>
      <c r="F141" s="9"/>
      <c r="G141" s="8"/>
    </row>
    <row r="142" customFormat="false" ht="15" hidden="false" customHeight="false" outlineLevel="0" collapsed="false">
      <c r="A142" s="8" t="s">
        <v>1528</v>
      </c>
      <c r="B142" s="8" t="s">
        <v>145</v>
      </c>
      <c r="C142" s="10" t="n">
        <v>45699</v>
      </c>
      <c r="D142" s="8" t="s">
        <v>1377</v>
      </c>
      <c r="E142" s="8"/>
      <c r="F142" s="9"/>
      <c r="G142" s="8"/>
    </row>
    <row r="143" customFormat="false" ht="15" hidden="false" customHeight="false" outlineLevel="0" collapsed="false">
      <c r="A143" s="8" t="s">
        <v>1529</v>
      </c>
      <c r="B143" s="8" t="s">
        <v>214</v>
      </c>
      <c r="C143" s="10" t="n">
        <v>45894</v>
      </c>
      <c r="D143" s="8" t="s">
        <v>1385</v>
      </c>
      <c r="E143" s="10" t="n">
        <v>45908</v>
      </c>
      <c r="F143" s="9" t="n">
        <v>14</v>
      </c>
      <c r="G143" s="8" t="s">
        <v>1386</v>
      </c>
    </row>
    <row r="144" customFormat="false" ht="15" hidden="false" customHeight="false" outlineLevel="0" collapsed="false">
      <c r="A144" s="8" t="s">
        <v>1530</v>
      </c>
      <c r="B144" s="8" t="s">
        <v>394</v>
      </c>
      <c r="C144" s="10" t="n">
        <v>46103</v>
      </c>
      <c r="D144" s="8" t="s">
        <v>1377</v>
      </c>
      <c r="E144" s="8"/>
      <c r="F144" s="9"/>
      <c r="G144" s="8"/>
    </row>
    <row r="145" customFormat="false" ht="15" hidden="false" customHeight="false" outlineLevel="0" collapsed="false">
      <c r="A145" s="8" t="s">
        <v>1531</v>
      </c>
      <c r="B145" s="8" t="s">
        <v>154</v>
      </c>
      <c r="C145" s="10" t="n">
        <v>45982</v>
      </c>
      <c r="D145" s="8" t="s">
        <v>1385</v>
      </c>
      <c r="E145" s="10" t="n">
        <v>45989</v>
      </c>
      <c r="F145" s="9" t="n">
        <v>7</v>
      </c>
      <c r="G145" s="8" t="s">
        <v>1386</v>
      </c>
    </row>
    <row r="146" customFormat="false" ht="15" hidden="false" customHeight="false" outlineLevel="0" collapsed="false">
      <c r="A146" s="8" t="s">
        <v>1532</v>
      </c>
      <c r="B146" s="8" t="s">
        <v>262</v>
      </c>
      <c r="C146" s="10" t="n">
        <v>45955</v>
      </c>
      <c r="D146" s="8" t="s">
        <v>1377</v>
      </c>
      <c r="E146" s="8"/>
      <c r="F146" s="9"/>
      <c r="G146" s="8"/>
    </row>
    <row r="147" customFormat="false" ht="15" hidden="false" customHeight="false" outlineLevel="0" collapsed="false">
      <c r="A147" s="8" t="s">
        <v>1533</v>
      </c>
      <c r="B147" s="8" t="s">
        <v>69</v>
      </c>
      <c r="C147" s="10" t="n">
        <v>45943</v>
      </c>
      <c r="D147" s="8" t="s">
        <v>1377</v>
      </c>
      <c r="E147" s="8"/>
      <c r="F147" s="9"/>
      <c r="G147" s="8"/>
    </row>
    <row r="148" customFormat="false" ht="15" hidden="false" customHeight="false" outlineLevel="0" collapsed="false">
      <c r="A148" s="8" t="s">
        <v>1534</v>
      </c>
      <c r="B148" s="8" t="s">
        <v>277</v>
      </c>
      <c r="C148" s="10" t="n">
        <v>45677</v>
      </c>
      <c r="D148" s="8" t="s">
        <v>1377</v>
      </c>
      <c r="E148" s="8"/>
      <c r="F148" s="9"/>
      <c r="G148" s="8"/>
    </row>
    <row r="149" customFormat="false" ht="15" hidden="false" customHeight="false" outlineLevel="0" collapsed="false">
      <c r="A149" s="8" t="s">
        <v>1535</v>
      </c>
      <c r="B149" s="8" t="s">
        <v>115</v>
      </c>
      <c r="C149" s="10" t="n">
        <v>45782</v>
      </c>
      <c r="D149" s="8" t="s">
        <v>1377</v>
      </c>
      <c r="E149" s="8"/>
      <c r="F149" s="9"/>
      <c r="G149" s="8"/>
    </row>
    <row r="150" customFormat="false" ht="15" hidden="false" customHeight="false" outlineLevel="0" collapsed="false">
      <c r="A150" s="8" t="s">
        <v>1536</v>
      </c>
      <c r="B150" s="8" t="s">
        <v>145</v>
      </c>
      <c r="C150" s="10" t="n">
        <v>46052</v>
      </c>
      <c r="D150" s="8" t="s">
        <v>1377</v>
      </c>
      <c r="E150" s="8"/>
      <c r="F150" s="9"/>
      <c r="G150" s="8"/>
    </row>
    <row r="151" customFormat="false" ht="15" hidden="false" customHeight="false" outlineLevel="0" collapsed="false">
      <c r="A151" s="8" t="s">
        <v>1537</v>
      </c>
      <c r="B151" s="8" t="s">
        <v>262</v>
      </c>
      <c r="C151" s="10" t="n">
        <v>45720</v>
      </c>
      <c r="D151" s="8" t="s">
        <v>1377</v>
      </c>
      <c r="E151" s="8"/>
      <c r="F151" s="9"/>
      <c r="G151" s="8"/>
    </row>
    <row r="152" customFormat="false" ht="15" hidden="false" customHeight="false" outlineLevel="0" collapsed="false">
      <c r="A152" s="8" t="s">
        <v>1538</v>
      </c>
      <c r="B152" s="8" t="s">
        <v>646</v>
      </c>
      <c r="C152" s="10" t="n">
        <v>46044</v>
      </c>
      <c r="D152" s="8" t="s">
        <v>1377</v>
      </c>
      <c r="E152" s="8"/>
      <c r="F152" s="9"/>
      <c r="G152" s="8"/>
    </row>
    <row r="153" customFormat="false" ht="15" hidden="false" customHeight="false" outlineLevel="0" collapsed="false">
      <c r="A153" s="8" t="s">
        <v>1539</v>
      </c>
      <c r="B153" s="8" t="s">
        <v>277</v>
      </c>
      <c r="C153" s="10" t="n">
        <v>45822</v>
      </c>
      <c r="D153" s="8" t="s">
        <v>1377</v>
      </c>
      <c r="E153" s="8"/>
      <c r="F153" s="9"/>
      <c r="G153" s="8"/>
    </row>
    <row r="154" customFormat="false" ht="15" hidden="false" customHeight="false" outlineLevel="0" collapsed="false">
      <c r="A154" s="8" t="s">
        <v>1540</v>
      </c>
      <c r="B154" s="8" t="s">
        <v>52</v>
      </c>
      <c r="C154" s="10" t="n">
        <v>46058</v>
      </c>
      <c r="D154" s="8" t="s">
        <v>1377</v>
      </c>
      <c r="E154" s="8"/>
      <c r="F154" s="9"/>
      <c r="G154" s="8"/>
    </row>
    <row r="155" customFormat="false" ht="15" hidden="false" customHeight="false" outlineLevel="0" collapsed="false">
      <c r="A155" s="8" t="s">
        <v>1541</v>
      </c>
      <c r="B155" s="8" t="s">
        <v>115</v>
      </c>
      <c r="C155" s="10" t="n">
        <v>45692</v>
      </c>
      <c r="D155" s="8" t="s">
        <v>1377</v>
      </c>
      <c r="E155" s="8"/>
      <c r="F155" s="9"/>
      <c r="G155" s="8"/>
    </row>
    <row r="156" customFormat="false" ht="15" hidden="false" customHeight="false" outlineLevel="0" collapsed="false">
      <c r="A156" s="8" t="s">
        <v>1542</v>
      </c>
      <c r="B156" s="8" t="s">
        <v>262</v>
      </c>
      <c r="C156" s="10" t="n">
        <v>46070</v>
      </c>
      <c r="D156" s="8" t="s">
        <v>1377</v>
      </c>
      <c r="E156" s="8"/>
      <c r="F156" s="9"/>
      <c r="G156" s="8"/>
    </row>
    <row r="157" customFormat="false" ht="15" hidden="false" customHeight="false" outlineLevel="0" collapsed="false">
      <c r="A157" s="8" t="s">
        <v>1543</v>
      </c>
      <c r="B157" s="8" t="s">
        <v>394</v>
      </c>
      <c r="C157" s="10" t="n">
        <v>45968</v>
      </c>
      <c r="D157" s="8" t="s">
        <v>1397</v>
      </c>
      <c r="E157" s="10" t="n">
        <v>45998</v>
      </c>
      <c r="F157" s="9" t="n">
        <v>30</v>
      </c>
      <c r="G157" s="8" t="s">
        <v>1386</v>
      </c>
    </row>
    <row r="158" customFormat="false" ht="15" hidden="false" customHeight="false" outlineLevel="0" collapsed="false">
      <c r="A158" s="8" t="s">
        <v>1544</v>
      </c>
      <c r="B158" s="8" t="s">
        <v>323</v>
      </c>
      <c r="C158" s="10" t="n">
        <v>45951</v>
      </c>
      <c r="D158" s="8" t="s">
        <v>1377</v>
      </c>
      <c r="E158" s="8"/>
      <c r="F158" s="9"/>
      <c r="G158" s="8"/>
    </row>
    <row r="159" customFormat="false" ht="15" hidden="false" customHeight="false" outlineLevel="0" collapsed="false">
      <c r="A159" s="8" t="s">
        <v>1545</v>
      </c>
      <c r="B159" s="8" t="s">
        <v>277</v>
      </c>
      <c r="C159" s="10" t="n">
        <v>46059</v>
      </c>
      <c r="D159" s="8" t="s">
        <v>1377</v>
      </c>
      <c r="E159" s="8"/>
      <c r="F159" s="9"/>
      <c r="G159" s="8"/>
    </row>
    <row r="160" customFormat="false" ht="15" hidden="false" customHeight="false" outlineLevel="0" collapsed="false">
      <c r="A160" s="8" t="s">
        <v>1546</v>
      </c>
      <c r="B160" s="8" t="s">
        <v>262</v>
      </c>
      <c r="C160" s="10" t="n">
        <v>46008</v>
      </c>
      <c r="D160" s="8" t="s">
        <v>1377</v>
      </c>
      <c r="E160" s="8"/>
      <c r="F160" s="9"/>
      <c r="G160" s="8"/>
    </row>
    <row r="161" customFormat="false" ht="15" hidden="false" customHeight="false" outlineLevel="0" collapsed="false">
      <c r="A161" s="8" t="s">
        <v>1547</v>
      </c>
      <c r="B161" s="8" t="s">
        <v>154</v>
      </c>
      <c r="C161" s="10" t="n">
        <v>45681</v>
      </c>
      <c r="D161" s="8" t="s">
        <v>1377</v>
      </c>
      <c r="E161" s="8"/>
      <c r="F161" s="9"/>
      <c r="G161" s="8"/>
    </row>
    <row r="162" customFormat="false" ht="15" hidden="false" customHeight="false" outlineLevel="0" collapsed="false">
      <c r="A162" s="8" t="s">
        <v>1548</v>
      </c>
      <c r="B162" s="8" t="s">
        <v>262</v>
      </c>
      <c r="C162" s="10" t="n">
        <v>46091</v>
      </c>
      <c r="D162" s="8" t="s">
        <v>1377</v>
      </c>
      <c r="E162" s="8"/>
      <c r="F162" s="9"/>
      <c r="G162" s="8"/>
    </row>
    <row r="163" customFormat="false" ht="15" hidden="false" customHeight="false" outlineLevel="0" collapsed="false">
      <c r="A163" s="8" t="s">
        <v>1549</v>
      </c>
      <c r="B163" s="8" t="s">
        <v>52</v>
      </c>
      <c r="C163" s="10" t="n">
        <v>45713</v>
      </c>
      <c r="D163" s="8" t="s">
        <v>1377</v>
      </c>
      <c r="E163" s="8"/>
      <c r="F163" s="9"/>
      <c r="G163" s="8"/>
    </row>
    <row r="164" customFormat="false" ht="15" hidden="false" customHeight="false" outlineLevel="0" collapsed="false">
      <c r="A164" s="8" t="s">
        <v>1550</v>
      </c>
      <c r="B164" s="8" t="s">
        <v>214</v>
      </c>
      <c r="C164" s="10" t="n">
        <v>46142</v>
      </c>
      <c r="D164" s="8" t="s">
        <v>1381</v>
      </c>
      <c r="E164" s="10" t="n">
        <v>46150</v>
      </c>
      <c r="F164" s="9" t="n">
        <v>8</v>
      </c>
      <c r="G164" s="8" t="s">
        <v>1386</v>
      </c>
    </row>
    <row r="165" customFormat="false" ht="15" hidden="false" customHeight="false" outlineLevel="0" collapsed="false">
      <c r="A165" s="8" t="s">
        <v>1551</v>
      </c>
      <c r="B165" s="8" t="s">
        <v>390</v>
      </c>
      <c r="C165" s="10" t="n">
        <v>46036</v>
      </c>
      <c r="D165" s="8" t="s">
        <v>1377</v>
      </c>
      <c r="E165" s="8"/>
      <c r="F165" s="9"/>
      <c r="G165" s="8"/>
    </row>
    <row r="166" customFormat="false" ht="15" hidden="false" customHeight="false" outlineLevel="0" collapsed="false">
      <c r="A166" s="8" t="s">
        <v>1552</v>
      </c>
      <c r="B166" s="8" t="s">
        <v>52</v>
      </c>
      <c r="C166" s="10" t="n">
        <v>45820</v>
      </c>
      <c r="D166" s="8" t="s">
        <v>1377</v>
      </c>
      <c r="E166" s="8"/>
      <c r="F166" s="9"/>
      <c r="G166" s="8"/>
    </row>
    <row r="167" customFormat="false" ht="15" hidden="false" customHeight="false" outlineLevel="0" collapsed="false">
      <c r="A167" s="8" t="s">
        <v>1553</v>
      </c>
      <c r="B167" s="8" t="s">
        <v>154</v>
      </c>
      <c r="C167" s="10" t="n">
        <v>46047</v>
      </c>
      <c r="D167" s="8" t="s">
        <v>1377</v>
      </c>
      <c r="E167" s="8"/>
      <c r="F167" s="9"/>
      <c r="G167" s="8"/>
    </row>
    <row r="168" customFormat="false" ht="15" hidden="false" customHeight="false" outlineLevel="0" collapsed="false">
      <c r="A168" s="8" t="s">
        <v>1554</v>
      </c>
      <c r="B168" s="8" t="s">
        <v>390</v>
      </c>
      <c r="C168" s="10" t="n">
        <v>45699</v>
      </c>
      <c r="D168" s="8" t="s">
        <v>1377</v>
      </c>
      <c r="E168" s="8"/>
      <c r="F168" s="9"/>
      <c r="G168" s="8"/>
    </row>
    <row r="169" customFormat="false" ht="15" hidden="false" customHeight="false" outlineLevel="0" collapsed="false">
      <c r="A169" s="8" t="s">
        <v>1555</v>
      </c>
      <c r="B169" s="8" t="s">
        <v>166</v>
      </c>
      <c r="C169" s="10" t="n">
        <v>45758</v>
      </c>
      <c r="D169" s="8" t="s">
        <v>1377</v>
      </c>
      <c r="E169" s="8"/>
      <c r="F169" s="9"/>
      <c r="G169" s="8"/>
    </row>
    <row r="170" customFormat="false" ht="15" hidden="false" customHeight="false" outlineLevel="0" collapsed="false">
      <c r="A170" s="8" t="s">
        <v>1556</v>
      </c>
      <c r="B170" s="8" t="s">
        <v>394</v>
      </c>
      <c r="C170" s="10" t="n">
        <v>46172</v>
      </c>
      <c r="D170" s="8" t="s">
        <v>1377</v>
      </c>
      <c r="E170" s="8"/>
      <c r="F170" s="9"/>
      <c r="G170" s="8"/>
    </row>
    <row r="171" customFormat="false" ht="15" hidden="false" customHeight="false" outlineLevel="0" collapsed="false">
      <c r="A171" s="8" t="s">
        <v>1557</v>
      </c>
      <c r="B171" s="8" t="s">
        <v>154</v>
      </c>
      <c r="C171" s="10" t="n">
        <v>45796</v>
      </c>
      <c r="D171" s="8" t="s">
        <v>1377</v>
      </c>
      <c r="E171" s="8"/>
      <c r="F171" s="9"/>
      <c r="G171" s="8"/>
    </row>
    <row r="172" customFormat="false" ht="15" hidden="false" customHeight="false" outlineLevel="0" collapsed="false">
      <c r="A172" s="8" t="s">
        <v>1558</v>
      </c>
      <c r="B172" s="8" t="s">
        <v>650</v>
      </c>
      <c r="C172" s="10" t="n">
        <v>45875</v>
      </c>
      <c r="D172" s="8" t="s">
        <v>1377</v>
      </c>
      <c r="E172" s="8"/>
      <c r="F172" s="9"/>
      <c r="G172" s="8"/>
    </row>
    <row r="173" customFormat="false" ht="15" hidden="false" customHeight="false" outlineLevel="0" collapsed="false">
      <c r="A173" s="8" t="s">
        <v>1559</v>
      </c>
      <c r="B173" s="8" t="s">
        <v>323</v>
      </c>
      <c r="C173" s="10" t="n">
        <v>45828</v>
      </c>
      <c r="D173" s="8" t="s">
        <v>1560</v>
      </c>
      <c r="E173" s="10" t="n">
        <v>45912</v>
      </c>
      <c r="F173" s="9" t="n">
        <v>84</v>
      </c>
      <c r="G173" s="8" t="s">
        <v>1386</v>
      </c>
    </row>
    <row r="174" customFormat="false" ht="15" hidden="false" customHeight="false" outlineLevel="0" collapsed="false">
      <c r="A174" s="8" t="s">
        <v>1561</v>
      </c>
      <c r="B174" s="8" t="s">
        <v>52</v>
      </c>
      <c r="C174" s="10" t="n">
        <v>46014</v>
      </c>
      <c r="D174" s="8" t="s">
        <v>1381</v>
      </c>
      <c r="E174" s="10" t="n">
        <v>46017</v>
      </c>
      <c r="F174" s="9" t="n">
        <v>3</v>
      </c>
      <c r="G174" s="8" t="s">
        <v>1405</v>
      </c>
    </row>
    <row r="175" customFormat="false" ht="15" hidden="false" customHeight="false" outlineLevel="0" collapsed="false">
      <c r="A175" s="8" t="s">
        <v>1562</v>
      </c>
      <c r="B175" s="8" t="s">
        <v>323</v>
      </c>
      <c r="C175" s="10" t="n">
        <v>46159</v>
      </c>
      <c r="D175" s="8" t="s">
        <v>1377</v>
      </c>
      <c r="E175" s="8"/>
      <c r="F175" s="9"/>
      <c r="G175" s="8"/>
    </row>
    <row r="176" customFormat="false" ht="15" hidden="false" customHeight="false" outlineLevel="0" collapsed="false">
      <c r="A176" s="8" t="s">
        <v>1563</v>
      </c>
      <c r="B176" s="8" t="s">
        <v>166</v>
      </c>
      <c r="C176" s="10" t="n">
        <v>46161</v>
      </c>
      <c r="D176" s="8" t="s">
        <v>1377</v>
      </c>
      <c r="E176" s="8"/>
      <c r="F176" s="9"/>
      <c r="G176" s="8"/>
    </row>
    <row r="177" customFormat="false" ht="15" hidden="false" customHeight="false" outlineLevel="0" collapsed="false">
      <c r="A177" s="8" t="s">
        <v>1564</v>
      </c>
      <c r="B177" s="8" t="s">
        <v>52</v>
      </c>
      <c r="C177" s="10" t="n">
        <v>45977</v>
      </c>
      <c r="D177" s="8" t="s">
        <v>1412</v>
      </c>
      <c r="E177" s="10" t="n">
        <v>45989</v>
      </c>
      <c r="F177" s="9" t="n">
        <v>12</v>
      </c>
      <c r="G177" s="8" t="s">
        <v>1386</v>
      </c>
    </row>
    <row r="178" customFormat="false" ht="15" hidden="false" customHeight="false" outlineLevel="0" collapsed="false">
      <c r="A178" s="8" t="s">
        <v>1565</v>
      </c>
      <c r="B178" s="8" t="s">
        <v>646</v>
      </c>
      <c r="C178" s="10" t="n">
        <v>45835</v>
      </c>
      <c r="D178" s="8" t="s">
        <v>1377</v>
      </c>
      <c r="E178" s="8"/>
      <c r="F178" s="9"/>
      <c r="G178" s="8"/>
    </row>
    <row r="179" customFormat="false" ht="15" hidden="false" customHeight="false" outlineLevel="0" collapsed="false">
      <c r="A179" s="8" t="s">
        <v>1566</v>
      </c>
      <c r="B179" s="8" t="s">
        <v>214</v>
      </c>
      <c r="C179" s="10" t="n">
        <v>46031</v>
      </c>
      <c r="D179" s="8" t="s">
        <v>1381</v>
      </c>
      <c r="E179" s="10" t="n">
        <v>46042</v>
      </c>
      <c r="F179" s="9" t="n">
        <v>11</v>
      </c>
      <c r="G179" s="8" t="s">
        <v>1386</v>
      </c>
    </row>
    <row r="180" customFormat="false" ht="15" hidden="false" customHeight="false" outlineLevel="0" collapsed="false">
      <c r="A180" s="8" t="s">
        <v>1567</v>
      </c>
      <c r="B180" s="8" t="s">
        <v>214</v>
      </c>
      <c r="C180" s="10" t="n">
        <v>45771</v>
      </c>
      <c r="D180" s="8" t="s">
        <v>1377</v>
      </c>
      <c r="E180" s="8"/>
      <c r="F180" s="9"/>
      <c r="G180" s="8"/>
    </row>
    <row r="181" customFormat="false" ht="15" hidden="false" customHeight="false" outlineLevel="0" collapsed="false">
      <c r="A181" s="8" t="s">
        <v>1568</v>
      </c>
      <c r="B181" s="8" t="s">
        <v>646</v>
      </c>
      <c r="C181" s="10" t="n">
        <v>45774</v>
      </c>
      <c r="D181" s="8" t="s">
        <v>1377</v>
      </c>
      <c r="E181" s="8"/>
      <c r="F181" s="9"/>
      <c r="G181" s="8"/>
    </row>
    <row r="182" customFormat="false" ht="15" hidden="false" customHeight="false" outlineLevel="0" collapsed="false">
      <c r="A182" s="8" t="s">
        <v>1569</v>
      </c>
      <c r="B182" s="8" t="s">
        <v>154</v>
      </c>
      <c r="C182" s="10" t="n">
        <v>46167</v>
      </c>
      <c r="D182" s="8" t="s">
        <v>1385</v>
      </c>
      <c r="E182" s="10" t="n">
        <v>46172</v>
      </c>
      <c r="F182" s="9" t="n">
        <v>5</v>
      </c>
      <c r="G182" s="8" t="s">
        <v>1382</v>
      </c>
    </row>
    <row r="183" customFormat="false" ht="15" hidden="false" customHeight="false" outlineLevel="0" collapsed="false">
      <c r="A183" s="8" t="s">
        <v>1570</v>
      </c>
      <c r="B183" s="8" t="s">
        <v>262</v>
      </c>
      <c r="C183" s="10" t="n">
        <v>45774</v>
      </c>
      <c r="D183" s="8" t="s">
        <v>1513</v>
      </c>
      <c r="E183" s="10" t="n">
        <v>45785</v>
      </c>
      <c r="F183" s="9" t="n">
        <v>11</v>
      </c>
      <c r="G183" s="8" t="s">
        <v>1386</v>
      </c>
    </row>
    <row r="184" customFormat="false" ht="15" hidden="false" customHeight="false" outlineLevel="0" collapsed="false">
      <c r="A184" s="8" t="s">
        <v>1571</v>
      </c>
      <c r="B184" s="8" t="s">
        <v>166</v>
      </c>
      <c r="C184" s="10" t="n">
        <v>46120</v>
      </c>
      <c r="D184" s="8" t="s">
        <v>1572</v>
      </c>
      <c r="E184" s="10" t="n">
        <v>46207</v>
      </c>
      <c r="F184" s="9" t="n">
        <v>87</v>
      </c>
      <c r="G184" s="8" t="s">
        <v>1386</v>
      </c>
    </row>
    <row r="185" customFormat="false" ht="15" hidden="false" customHeight="false" outlineLevel="0" collapsed="false">
      <c r="A185" s="8" t="s">
        <v>1573</v>
      </c>
      <c r="B185" s="8" t="s">
        <v>154</v>
      </c>
      <c r="C185" s="10" t="n">
        <v>45982</v>
      </c>
      <c r="D185" s="8" t="s">
        <v>1444</v>
      </c>
      <c r="E185" s="10" t="n">
        <v>46053</v>
      </c>
      <c r="F185" s="9" t="n">
        <v>71</v>
      </c>
      <c r="G185" s="8" t="s">
        <v>1386</v>
      </c>
    </row>
    <row r="186" customFormat="false" ht="15" hidden="false" customHeight="false" outlineLevel="0" collapsed="false">
      <c r="A186" s="8" t="s">
        <v>1574</v>
      </c>
      <c r="B186" s="8" t="s">
        <v>390</v>
      </c>
      <c r="C186" s="10" t="n">
        <v>45794</v>
      </c>
      <c r="D186" s="8" t="s">
        <v>1377</v>
      </c>
      <c r="E186" s="8"/>
      <c r="F186" s="9"/>
      <c r="G186" s="8"/>
    </row>
    <row r="187" customFormat="false" ht="15" hidden="false" customHeight="false" outlineLevel="0" collapsed="false">
      <c r="A187" s="8" t="s">
        <v>1575</v>
      </c>
      <c r="B187" s="8" t="s">
        <v>166</v>
      </c>
      <c r="C187" s="10" t="n">
        <v>45877</v>
      </c>
      <c r="D187" s="8" t="s">
        <v>1377</v>
      </c>
      <c r="E187" s="8"/>
      <c r="F187" s="9"/>
      <c r="G187" s="8"/>
    </row>
    <row r="188" customFormat="false" ht="15" hidden="false" customHeight="false" outlineLevel="0" collapsed="false">
      <c r="A188" s="8" t="s">
        <v>1576</v>
      </c>
      <c r="B188" s="8" t="s">
        <v>390</v>
      </c>
      <c r="C188" s="10" t="n">
        <v>46015</v>
      </c>
      <c r="D188" s="8" t="s">
        <v>1377</v>
      </c>
      <c r="E188" s="8"/>
      <c r="F188" s="9"/>
      <c r="G188" s="8"/>
    </row>
    <row r="189" customFormat="false" ht="15" hidden="false" customHeight="false" outlineLevel="0" collapsed="false">
      <c r="A189" s="8" t="s">
        <v>1577</v>
      </c>
      <c r="B189" s="8" t="s">
        <v>145</v>
      </c>
      <c r="C189" s="10" t="n">
        <v>45963</v>
      </c>
      <c r="D189" s="8" t="s">
        <v>1572</v>
      </c>
      <c r="E189" s="10" t="n">
        <v>45970</v>
      </c>
      <c r="F189" s="9" t="n">
        <v>7</v>
      </c>
      <c r="G189" s="8" t="s">
        <v>1386</v>
      </c>
    </row>
    <row r="190" customFormat="false" ht="15" hidden="false" customHeight="false" outlineLevel="0" collapsed="false">
      <c r="A190" s="8" t="s">
        <v>1578</v>
      </c>
      <c r="B190" s="8" t="s">
        <v>390</v>
      </c>
      <c r="C190" s="10" t="n">
        <v>45762</v>
      </c>
      <c r="D190" s="8" t="s">
        <v>1377</v>
      </c>
      <c r="E190" s="8"/>
      <c r="F190" s="9"/>
      <c r="G190" s="8"/>
    </row>
    <row r="191" customFormat="false" ht="15" hidden="false" customHeight="false" outlineLevel="0" collapsed="false">
      <c r="A191" s="8" t="s">
        <v>1579</v>
      </c>
      <c r="B191" s="8" t="s">
        <v>323</v>
      </c>
      <c r="C191" s="10" t="n">
        <v>45895</v>
      </c>
      <c r="D191" s="8" t="s">
        <v>1377</v>
      </c>
      <c r="E191" s="8"/>
      <c r="F191" s="9"/>
      <c r="G191" s="8"/>
    </row>
    <row r="192" customFormat="false" ht="15" hidden="false" customHeight="false" outlineLevel="0" collapsed="false">
      <c r="A192" s="8" t="s">
        <v>1580</v>
      </c>
      <c r="B192" s="8" t="s">
        <v>262</v>
      </c>
      <c r="C192" s="10" t="n">
        <v>45693</v>
      </c>
      <c r="D192" s="8" t="s">
        <v>1377</v>
      </c>
      <c r="E192" s="8"/>
      <c r="F192" s="9"/>
      <c r="G192" s="8"/>
    </row>
    <row r="193" customFormat="false" ht="15" hidden="false" customHeight="false" outlineLevel="0" collapsed="false">
      <c r="A193" s="8" t="s">
        <v>1581</v>
      </c>
      <c r="B193" s="8" t="s">
        <v>145</v>
      </c>
      <c r="C193" s="10" t="n">
        <v>46105</v>
      </c>
      <c r="D193" s="8" t="s">
        <v>1377</v>
      </c>
      <c r="E193" s="8"/>
      <c r="F193" s="9"/>
      <c r="G193" s="8"/>
    </row>
    <row r="194" customFormat="false" ht="15" hidden="false" customHeight="false" outlineLevel="0" collapsed="false">
      <c r="A194" s="8" t="s">
        <v>1582</v>
      </c>
      <c r="B194" s="8" t="s">
        <v>394</v>
      </c>
      <c r="C194" s="10" t="n">
        <v>45995</v>
      </c>
      <c r="D194" s="8" t="s">
        <v>1389</v>
      </c>
      <c r="E194" s="10" t="n">
        <v>46009</v>
      </c>
      <c r="F194" s="9" t="n">
        <v>14</v>
      </c>
      <c r="G194" s="8" t="s">
        <v>1386</v>
      </c>
    </row>
    <row r="195" customFormat="false" ht="15" hidden="false" customHeight="false" outlineLevel="0" collapsed="false">
      <c r="A195" s="8" t="s">
        <v>1583</v>
      </c>
      <c r="B195" s="8" t="s">
        <v>390</v>
      </c>
      <c r="C195" s="10" t="n">
        <v>46020</v>
      </c>
      <c r="D195" s="8" t="s">
        <v>1584</v>
      </c>
      <c r="E195" s="10" t="n">
        <v>46069</v>
      </c>
      <c r="F195" s="9" t="n">
        <v>49</v>
      </c>
      <c r="G195" s="8" t="s">
        <v>1405</v>
      </c>
    </row>
    <row r="196" customFormat="false" ht="15" hidden="false" customHeight="false" outlineLevel="0" collapsed="false">
      <c r="A196" s="8" t="s">
        <v>1585</v>
      </c>
      <c r="B196" s="8" t="s">
        <v>262</v>
      </c>
      <c r="C196" s="10" t="n">
        <v>45832</v>
      </c>
      <c r="D196" s="8" t="s">
        <v>1513</v>
      </c>
      <c r="E196" s="10" t="n">
        <v>45841</v>
      </c>
      <c r="F196" s="9" t="n">
        <v>9</v>
      </c>
      <c r="G196" s="8" t="s">
        <v>1382</v>
      </c>
    </row>
    <row r="197" customFormat="false" ht="15" hidden="false" customHeight="false" outlineLevel="0" collapsed="false">
      <c r="A197" s="8" t="s">
        <v>1586</v>
      </c>
      <c r="B197" s="8" t="s">
        <v>115</v>
      </c>
      <c r="C197" s="10" t="n">
        <v>45810</v>
      </c>
      <c r="D197" s="8" t="s">
        <v>1377</v>
      </c>
      <c r="E197" s="8"/>
      <c r="F197" s="9"/>
      <c r="G197" s="8"/>
    </row>
    <row r="198" customFormat="false" ht="15" hidden="false" customHeight="false" outlineLevel="0" collapsed="false">
      <c r="A198" s="8" t="s">
        <v>1587</v>
      </c>
      <c r="B198" s="8" t="s">
        <v>323</v>
      </c>
      <c r="C198" s="10" t="n">
        <v>46135</v>
      </c>
      <c r="D198" s="8" t="s">
        <v>1377</v>
      </c>
      <c r="E198" s="8"/>
      <c r="F198" s="9"/>
      <c r="G198" s="8"/>
    </row>
    <row r="199" customFormat="false" ht="15" hidden="false" customHeight="false" outlineLevel="0" collapsed="false">
      <c r="A199" s="8" t="s">
        <v>1588</v>
      </c>
      <c r="B199" s="8" t="s">
        <v>650</v>
      </c>
      <c r="C199" s="10" t="n">
        <v>45759</v>
      </c>
      <c r="D199" s="8" t="s">
        <v>1377</v>
      </c>
      <c r="E199" s="8"/>
      <c r="F199" s="9"/>
      <c r="G199" s="8"/>
    </row>
    <row r="200" customFormat="false" ht="15" hidden="false" customHeight="false" outlineLevel="0" collapsed="false">
      <c r="A200" s="8" t="s">
        <v>1589</v>
      </c>
      <c r="B200" s="8" t="s">
        <v>115</v>
      </c>
      <c r="C200" s="10" t="n">
        <v>45722</v>
      </c>
      <c r="D200" s="8" t="s">
        <v>1377</v>
      </c>
      <c r="E200" s="8"/>
      <c r="F200" s="9"/>
      <c r="G200" s="8"/>
    </row>
    <row r="201" customFormat="false" ht="15" hidden="false" customHeight="false" outlineLevel="0" collapsed="false">
      <c r="A201" s="8" t="s">
        <v>1590</v>
      </c>
      <c r="B201" s="8" t="s">
        <v>115</v>
      </c>
      <c r="C201" s="10" t="n">
        <v>45835</v>
      </c>
      <c r="D201" s="8" t="s">
        <v>1377</v>
      </c>
      <c r="E201" s="8"/>
      <c r="F201" s="9"/>
      <c r="G201" s="8"/>
    </row>
    <row r="202" customFormat="false" ht="15" hidden="false" customHeight="false" outlineLevel="0" collapsed="false">
      <c r="A202" s="8" t="s">
        <v>1591</v>
      </c>
      <c r="B202" s="8" t="s">
        <v>145</v>
      </c>
      <c r="C202" s="10" t="n">
        <v>45944</v>
      </c>
      <c r="D202" s="8" t="s">
        <v>1377</v>
      </c>
      <c r="E202" s="8"/>
      <c r="F202" s="9"/>
      <c r="G202" s="8"/>
    </row>
    <row r="203" customFormat="false" ht="15" hidden="false" customHeight="false" outlineLevel="0" collapsed="false">
      <c r="A203" s="8" t="s">
        <v>1592</v>
      </c>
      <c r="B203" s="8" t="s">
        <v>646</v>
      </c>
      <c r="C203" s="10" t="n">
        <v>46106</v>
      </c>
      <c r="D203" s="8" t="s">
        <v>1377</v>
      </c>
      <c r="E203" s="8"/>
      <c r="F203" s="9"/>
      <c r="G203" s="8"/>
    </row>
    <row r="204" customFormat="false" ht="15" hidden="false" customHeight="false" outlineLevel="0" collapsed="false">
      <c r="A204" s="8" t="s">
        <v>1593</v>
      </c>
      <c r="B204" s="8" t="s">
        <v>166</v>
      </c>
      <c r="C204" s="10" t="n">
        <v>46109</v>
      </c>
      <c r="D204" s="8" t="s">
        <v>1377</v>
      </c>
      <c r="E204" s="8"/>
      <c r="F204" s="9"/>
      <c r="G204" s="8"/>
    </row>
    <row r="205" customFormat="false" ht="15" hidden="false" customHeight="false" outlineLevel="0" collapsed="false">
      <c r="A205" s="8" t="s">
        <v>1594</v>
      </c>
      <c r="B205" s="8" t="s">
        <v>166</v>
      </c>
      <c r="C205" s="10" t="n">
        <v>45839</v>
      </c>
      <c r="D205" s="8" t="s">
        <v>1377</v>
      </c>
      <c r="E205" s="8"/>
      <c r="F205" s="9"/>
      <c r="G205" s="8"/>
    </row>
    <row r="206" customFormat="false" ht="15" hidden="false" customHeight="false" outlineLevel="0" collapsed="false">
      <c r="A206" s="8" t="s">
        <v>1595</v>
      </c>
      <c r="B206" s="8" t="s">
        <v>646</v>
      </c>
      <c r="C206" s="10" t="n">
        <v>45972</v>
      </c>
      <c r="D206" s="8" t="s">
        <v>1377</v>
      </c>
      <c r="E206" s="8"/>
      <c r="F206" s="9"/>
      <c r="G206" s="8"/>
    </row>
    <row r="207" customFormat="false" ht="15" hidden="false" customHeight="false" outlineLevel="0" collapsed="false">
      <c r="A207" s="8" t="s">
        <v>1596</v>
      </c>
      <c r="B207" s="8" t="s">
        <v>262</v>
      </c>
      <c r="C207" s="10" t="n">
        <v>45786</v>
      </c>
      <c r="D207" s="8" t="s">
        <v>1377</v>
      </c>
      <c r="E207" s="8"/>
      <c r="F207" s="9"/>
      <c r="G207" s="8"/>
    </row>
    <row r="208" customFormat="false" ht="15" hidden="false" customHeight="false" outlineLevel="0" collapsed="false">
      <c r="A208" s="8" t="s">
        <v>1597</v>
      </c>
      <c r="B208" s="8" t="s">
        <v>145</v>
      </c>
      <c r="C208" s="10" t="n">
        <v>45894</v>
      </c>
      <c r="D208" s="8" t="s">
        <v>1377</v>
      </c>
      <c r="E208" s="8"/>
      <c r="F208" s="9"/>
      <c r="G208" s="8"/>
    </row>
    <row r="209" customFormat="false" ht="15" hidden="false" customHeight="false" outlineLevel="0" collapsed="false">
      <c r="A209" s="8" t="s">
        <v>1598</v>
      </c>
      <c r="B209" s="8" t="s">
        <v>115</v>
      </c>
      <c r="C209" s="10" t="n">
        <v>45836</v>
      </c>
      <c r="D209" s="8" t="s">
        <v>1377</v>
      </c>
      <c r="E209" s="8"/>
      <c r="F209" s="9"/>
      <c r="G209" s="8"/>
    </row>
    <row r="210" customFormat="false" ht="15" hidden="false" customHeight="false" outlineLevel="0" collapsed="false">
      <c r="A210" s="8" t="s">
        <v>1599</v>
      </c>
      <c r="B210" s="8" t="s">
        <v>166</v>
      </c>
      <c r="C210" s="10" t="n">
        <v>45982</v>
      </c>
      <c r="D210" s="8" t="s">
        <v>1377</v>
      </c>
      <c r="E210" s="8"/>
      <c r="F210" s="9"/>
      <c r="G210" s="8"/>
    </row>
    <row r="211" customFormat="false" ht="15" hidden="false" customHeight="false" outlineLevel="0" collapsed="false">
      <c r="A211" s="8" t="s">
        <v>1600</v>
      </c>
      <c r="B211" s="8" t="s">
        <v>650</v>
      </c>
      <c r="C211" s="10" t="n">
        <v>45681</v>
      </c>
      <c r="D211" s="8" t="s">
        <v>1385</v>
      </c>
      <c r="E211" s="10" t="n">
        <v>45688</v>
      </c>
      <c r="F211" s="9" t="n">
        <v>7</v>
      </c>
      <c r="G211" s="8" t="s">
        <v>1386</v>
      </c>
    </row>
    <row r="212" customFormat="false" ht="15" hidden="false" customHeight="false" outlineLevel="0" collapsed="false">
      <c r="A212" s="8" t="s">
        <v>1601</v>
      </c>
      <c r="B212" s="8" t="s">
        <v>262</v>
      </c>
      <c r="C212" s="10" t="n">
        <v>45747</v>
      </c>
      <c r="D212" s="8" t="s">
        <v>1377</v>
      </c>
      <c r="E212" s="8"/>
      <c r="F212" s="9"/>
      <c r="G212" s="8"/>
    </row>
    <row r="213" customFormat="false" ht="15" hidden="false" customHeight="false" outlineLevel="0" collapsed="false">
      <c r="A213" s="8" t="s">
        <v>1602</v>
      </c>
      <c r="B213" s="8" t="s">
        <v>52</v>
      </c>
      <c r="C213" s="10" t="n">
        <v>45841</v>
      </c>
      <c r="D213" s="8" t="s">
        <v>1377</v>
      </c>
      <c r="E213" s="8"/>
      <c r="F213" s="9"/>
      <c r="G213" s="8"/>
    </row>
    <row r="214" customFormat="false" ht="15" hidden="false" customHeight="false" outlineLevel="0" collapsed="false">
      <c r="A214" s="8" t="s">
        <v>1603</v>
      </c>
      <c r="B214" s="8" t="s">
        <v>390</v>
      </c>
      <c r="C214" s="10" t="n">
        <v>45677</v>
      </c>
      <c r="D214" s="8" t="s">
        <v>1377</v>
      </c>
      <c r="E214" s="8"/>
      <c r="F214" s="9"/>
      <c r="G214" s="8"/>
    </row>
    <row r="215" customFormat="false" ht="15" hidden="false" customHeight="false" outlineLevel="0" collapsed="false">
      <c r="A215" s="8" t="s">
        <v>1604</v>
      </c>
      <c r="B215" s="8" t="s">
        <v>145</v>
      </c>
      <c r="C215" s="10" t="n">
        <v>45893</v>
      </c>
      <c r="D215" s="8" t="s">
        <v>1377</v>
      </c>
      <c r="E215" s="8"/>
      <c r="F215" s="9"/>
      <c r="G215" s="8"/>
    </row>
    <row r="216" customFormat="false" ht="15" hidden="false" customHeight="false" outlineLevel="0" collapsed="false">
      <c r="A216" s="8" t="s">
        <v>1605</v>
      </c>
      <c r="B216" s="8" t="s">
        <v>115</v>
      </c>
      <c r="C216" s="10" t="n">
        <v>46092</v>
      </c>
      <c r="D216" s="8" t="s">
        <v>1377</v>
      </c>
      <c r="E216" s="8"/>
      <c r="F216" s="9"/>
      <c r="G216" s="8"/>
    </row>
    <row r="217" customFormat="false" ht="15" hidden="false" customHeight="false" outlineLevel="0" collapsed="false">
      <c r="A217" s="8" t="s">
        <v>1606</v>
      </c>
      <c r="B217" s="8" t="s">
        <v>390</v>
      </c>
      <c r="C217" s="10" t="n">
        <v>46031</v>
      </c>
      <c r="D217" s="8" t="s">
        <v>1377</v>
      </c>
      <c r="E217" s="8"/>
      <c r="F217" s="9"/>
      <c r="G217" s="8"/>
    </row>
    <row r="218" customFormat="false" ht="15" hidden="false" customHeight="false" outlineLevel="0" collapsed="false">
      <c r="A218" s="8" t="s">
        <v>1607</v>
      </c>
      <c r="B218" s="8" t="s">
        <v>394</v>
      </c>
      <c r="C218" s="10" t="n">
        <v>45808</v>
      </c>
      <c r="D218" s="8" t="s">
        <v>1377</v>
      </c>
      <c r="E218" s="8"/>
      <c r="F218" s="9"/>
      <c r="G218" s="8"/>
    </row>
    <row r="219" customFormat="false" ht="15" hidden="false" customHeight="false" outlineLevel="0" collapsed="false">
      <c r="A219" s="8" t="s">
        <v>1608</v>
      </c>
      <c r="B219" s="8" t="s">
        <v>115</v>
      </c>
      <c r="C219" s="10" t="n">
        <v>46068</v>
      </c>
      <c r="D219" s="8" t="s">
        <v>1513</v>
      </c>
      <c r="E219" s="10" t="n">
        <v>46070</v>
      </c>
      <c r="F219" s="9" t="n">
        <v>2</v>
      </c>
      <c r="G219" s="8" t="s">
        <v>1386</v>
      </c>
    </row>
    <row r="220" customFormat="false" ht="15" hidden="false" customHeight="false" outlineLevel="0" collapsed="false">
      <c r="A220" s="8" t="s">
        <v>1609</v>
      </c>
      <c r="B220" s="8" t="s">
        <v>394</v>
      </c>
      <c r="C220" s="10" t="n">
        <v>46144</v>
      </c>
      <c r="D220" s="8" t="s">
        <v>1377</v>
      </c>
      <c r="E220" s="8"/>
      <c r="F220" s="9"/>
      <c r="G220" s="8"/>
    </row>
    <row r="221" customFormat="false" ht="15" hidden="false" customHeight="false" outlineLevel="0" collapsed="false">
      <c r="A221" s="8" t="s">
        <v>1610</v>
      </c>
      <c r="B221" s="8" t="s">
        <v>650</v>
      </c>
      <c r="C221" s="10" t="n">
        <v>45956</v>
      </c>
      <c r="D221" s="8" t="s">
        <v>1377</v>
      </c>
      <c r="E221" s="8"/>
      <c r="F221" s="9"/>
      <c r="G221" s="8"/>
    </row>
    <row r="222" customFormat="false" ht="15" hidden="false" customHeight="false" outlineLevel="0" collapsed="false">
      <c r="A222" s="8" t="s">
        <v>1611</v>
      </c>
      <c r="B222" s="8" t="s">
        <v>166</v>
      </c>
      <c r="C222" s="10" t="n">
        <v>46025</v>
      </c>
      <c r="D222" s="8" t="s">
        <v>1381</v>
      </c>
      <c r="E222" s="10" t="n">
        <v>46035</v>
      </c>
      <c r="F222" s="9" t="n">
        <v>10</v>
      </c>
      <c r="G222" s="8" t="s">
        <v>1386</v>
      </c>
    </row>
    <row r="223" customFormat="false" ht="15" hidden="false" customHeight="false" outlineLevel="0" collapsed="false">
      <c r="A223" s="8" t="s">
        <v>1612</v>
      </c>
      <c r="B223" s="8" t="s">
        <v>394</v>
      </c>
      <c r="C223" s="10" t="n">
        <v>46082</v>
      </c>
      <c r="D223" s="8" t="s">
        <v>1377</v>
      </c>
      <c r="E223" s="8"/>
      <c r="F223" s="9"/>
      <c r="G223" s="8"/>
    </row>
    <row r="224" customFormat="false" ht="15" hidden="false" customHeight="false" outlineLevel="0" collapsed="false">
      <c r="A224" s="8" t="s">
        <v>1613</v>
      </c>
      <c r="B224" s="8" t="s">
        <v>650</v>
      </c>
      <c r="C224" s="10" t="n">
        <v>45759</v>
      </c>
      <c r="D224" s="8" t="s">
        <v>1377</v>
      </c>
      <c r="E224" s="8"/>
      <c r="F224" s="9"/>
      <c r="G224" s="8"/>
    </row>
    <row r="225" customFormat="false" ht="15" hidden="false" customHeight="false" outlineLevel="0" collapsed="false">
      <c r="A225" s="8" t="s">
        <v>1614</v>
      </c>
      <c r="B225" s="8" t="s">
        <v>166</v>
      </c>
      <c r="C225" s="10" t="n">
        <v>46096</v>
      </c>
      <c r="D225" s="8" t="s">
        <v>1377</v>
      </c>
      <c r="E225" s="8"/>
      <c r="F225" s="9"/>
      <c r="G225" s="8"/>
    </row>
    <row r="226" customFormat="false" ht="15" hidden="false" customHeight="false" outlineLevel="0" collapsed="false">
      <c r="A226" s="8" t="s">
        <v>1615</v>
      </c>
      <c r="B226" s="8" t="s">
        <v>277</v>
      </c>
      <c r="C226" s="10" t="n">
        <v>45804</v>
      </c>
      <c r="D226" s="8" t="s">
        <v>1616</v>
      </c>
      <c r="E226" s="10" t="n">
        <v>45815</v>
      </c>
      <c r="F226" s="9" t="n">
        <v>11</v>
      </c>
      <c r="G226" s="8" t="s">
        <v>1386</v>
      </c>
    </row>
    <row r="227" customFormat="false" ht="15" hidden="false" customHeight="false" outlineLevel="0" collapsed="false">
      <c r="A227" s="8" t="s">
        <v>1617</v>
      </c>
      <c r="B227" s="8" t="s">
        <v>390</v>
      </c>
      <c r="C227" s="10" t="n">
        <v>45941</v>
      </c>
      <c r="D227" s="8" t="s">
        <v>1377</v>
      </c>
      <c r="E227" s="8"/>
      <c r="F227" s="9"/>
      <c r="G227" s="8"/>
    </row>
    <row r="228" customFormat="false" ht="15" hidden="false" customHeight="false" outlineLevel="0" collapsed="false">
      <c r="A228" s="8" t="s">
        <v>1618</v>
      </c>
      <c r="B228" s="8" t="s">
        <v>214</v>
      </c>
      <c r="C228" s="10" t="n">
        <v>45991</v>
      </c>
      <c r="D228" s="8" t="s">
        <v>1377</v>
      </c>
      <c r="E228" s="8"/>
      <c r="F228" s="9"/>
      <c r="G228" s="8"/>
    </row>
    <row r="229" customFormat="false" ht="15" hidden="false" customHeight="false" outlineLevel="0" collapsed="false">
      <c r="A229" s="8" t="s">
        <v>1619</v>
      </c>
      <c r="B229" s="8" t="s">
        <v>323</v>
      </c>
      <c r="C229" s="10" t="n">
        <v>46052</v>
      </c>
      <c r="D229" s="8" t="s">
        <v>1377</v>
      </c>
      <c r="E229" s="8"/>
      <c r="F229" s="9"/>
      <c r="G229" s="8"/>
    </row>
    <row r="230" customFormat="false" ht="15" hidden="false" customHeight="false" outlineLevel="0" collapsed="false">
      <c r="A230" s="8" t="s">
        <v>1620</v>
      </c>
      <c r="B230" s="8" t="s">
        <v>390</v>
      </c>
      <c r="C230" s="10" t="n">
        <v>45986</v>
      </c>
      <c r="D230" s="8" t="s">
        <v>1377</v>
      </c>
      <c r="E230" s="8"/>
      <c r="F230" s="9"/>
      <c r="G230" s="8"/>
    </row>
    <row r="231" customFormat="false" ht="15" hidden="false" customHeight="false" outlineLevel="0" collapsed="false">
      <c r="A231" s="8" t="s">
        <v>1621</v>
      </c>
      <c r="B231" s="8" t="s">
        <v>145</v>
      </c>
      <c r="C231" s="10" t="n">
        <v>45681</v>
      </c>
      <c r="D231" s="8" t="s">
        <v>1377</v>
      </c>
      <c r="E231" s="8"/>
      <c r="F231" s="9"/>
      <c r="G231" s="8"/>
    </row>
    <row r="232" customFormat="false" ht="15" hidden="false" customHeight="false" outlineLevel="0" collapsed="false">
      <c r="A232" s="8" t="s">
        <v>1622</v>
      </c>
      <c r="B232" s="8" t="s">
        <v>262</v>
      </c>
      <c r="C232" s="10" t="n">
        <v>46160</v>
      </c>
      <c r="D232" s="8" t="s">
        <v>1560</v>
      </c>
      <c r="E232" s="10" t="n">
        <v>46249</v>
      </c>
      <c r="F232" s="9" t="n">
        <v>89</v>
      </c>
      <c r="G232" s="8" t="s">
        <v>1405</v>
      </c>
    </row>
    <row r="233" customFormat="false" ht="15" hidden="false" customHeight="false" outlineLevel="0" collapsed="false">
      <c r="A233" s="8" t="s">
        <v>1623</v>
      </c>
      <c r="B233" s="8" t="s">
        <v>69</v>
      </c>
      <c r="C233" s="10" t="n">
        <v>45946</v>
      </c>
      <c r="D233" s="8" t="s">
        <v>1377</v>
      </c>
      <c r="E233" s="8"/>
      <c r="F233" s="9"/>
      <c r="G233" s="8"/>
    </row>
    <row r="234" customFormat="false" ht="15" hidden="false" customHeight="false" outlineLevel="0" collapsed="false">
      <c r="A234" s="8" t="s">
        <v>1624</v>
      </c>
      <c r="B234" s="8" t="s">
        <v>262</v>
      </c>
      <c r="C234" s="10" t="n">
        <v>45766</v>
      </c>
      <c r="D234" s="8" t="s">
        <v>1377</v>
      </c>
      <c r="E234" s="8"/>
      <c r="F234" s="9"/>
      <c r="G234" s="8"/>
    </row>
    <row r="235" customFormat="false" ht="15" hidden="false" customHeight="false" outlineLevel="0" collapsed="false">
      <c r="A235" s="8" t="s">
        <v>1625</v>
      </c>
      <c r="B235" s="8" t="s">
        <v>145</v>
      </c>
      <c r="C235" s="10" t="n">
        <v>45763</v>
      </c>
      <c r="D235" s="8" t="s">
        <v>1377</v>
      </c>
      <c r="E235" s="8"/>
      <c r="F235" s="9"/>
      <c r="G235" s="8"/>
    </row>
    <row r="236" customFormat="false" ht="15" hidden="false" customHeight="false" outlineLevel="0" collapsed="false">
      <c r="A236" s="8" t="s">
        <v>1626</v>
      </c>
      <c r="B236" s="8" t="s">
        <v>52</v>
      </c>
      <c r="C236" s="10" t="n">
        <v>45784</v>
      </c>
      <c r="D236" s="8" t="s">
        <v>1560</v>
      </c>
      <c r="E236" s="10" t="n">
        <v>45793</v>
      </c>
      <c r="F236" s="9" t="n">
        <v>9</v>
      </c>
      <c r="G236" s="8" t="s">
        <v>1386</v>
      </c>
    </row>
    <row r="237" customFormat="false" ht="15" hidden="false" customHeight="false" outlineLevel="0" collapsed="false">
      <c r="A237" s="8" t="s">
        <v>1627</v>
      </c>
      <c r="B237" s="8" t="s">
        <v>262</v>
      </c>
      <c r="C237" s="10" t="n">
        <v>45958</v>
      </c>
      <c r="D237" s="8" t="s">
        <v>1377</v>
      </c>
      <c r="E237" s="8"/>
      <c r="F237" s="9"/>
      <c r="G237" s="8"/>
    </row>
    <row r="238" customFormat="false" ht="15" hidden="false" customHeight="false" outlineLevel="0" collapsed="false">
      <c r="A238" s="8" t="s">
        <v>1628</v>
      </c>
      <c r="B238" s="8" t="s">
        <v>154</v>
      </c>
      <c r="C238" s="10" t="n">
        <v>45756</v>
      </c>
      <c r="D238" s="8" t="s">
        <v>1520</v>
      </c>
      <c r="E238" s="10" t="n">
        <v>45762</v>
      </c>
      <c r="F238" s="9" t="n">
        <v>6</v>
      </c>
      <c r="G238" s="8" t="s">
        <v>1405</v>
      </c>
    </row>
    <row r="239" customFormat="false" ht="15" hidden="false" customHeight="false" outlineLevel="0" collapsed="false">
      <c r="A239" s="8" t="s">
        <v>1629</v>
      </c>
      <c r="B239" s="8" t="s">
        <v>390</v>
      </c>
      <c r="C239" s="10" t="n">
        <v>45809</v>
      </c>
      <c r="D239" s="8" t="s">
        <v>1377</v>
      </c>
      <c r="E239" s="8"/>
      <c r="F239" s="9"/>
      <c r="G239" s="8"/>
    </row>
    <row r="240" customFormat="false" ht="15" hidden="false" customHeight="false" outlineLevel="0" collapsed="false">
      <c r="A240" s="8" t="s">
        <v>1630</v>
      </c>
      <c r="B240" s="8" t="s">
        <v>214</v>
      </c>
      <c r="C240" s="10" t="n">
        <v>46016</v>
      </c>
      <c r="D240" s="8" t="s">
        <v>1377</v>
      </c>
      <c r="E240" s="8"/>
      <c r="F240" s="9"/>
      <c r="G240" s="8"/>
    </row>
    <row r="241" customFormat="false" ht="15" hidden="false" customHeight="false" outlineLevel="0" collapsed="false">
      <c r="A241" s="8" t="s">
        <v>1631</v>
      </c>
      <c r="B241" s="8" t="s">
        <v>262</v>
      </c>
      <c r="C241" s="10" t="n">
        <v>46169</v>
      </c>
      <c r="D241" s="8" t="s">
        <v>1377</v>
      </c>
      <c r="E241" s="8"/>
      <c r="F241" s="9"/>
      <c r="G241" s="8"/>
    </row>
    <row r="242" customFormat="false" ht="15" hidden="false" customHeight="false" outlineLevel="0" collapsed="false">
      <c r="A242" s="8" t="s">
        <v>1632</v>
      </c>
      <c r="B242" s="8" t="s">
        <v>154</v>
      </c>
      <c r="C242" s="10" t="n">
        <v>45811</v>
      </c>
      <c r="D242" s="8" t="s">
        <v>1377</v>
      </c>
      <c r="E242" s="8"/>
      <c r="F242" s="9"/>
      <c r="G242" s="8"/>
    </row>
    <row r="243" customFormat="false" ht="15" hidden="false" customHeight="false" outlineLevel="0" collapsed="false">
      <c r="A243" s="8" t="s">
        <v>1633</v>
      </c>
      <c r="B243" s="8" t="s">
        <v>323</v>
      </c>
      <c r="C243" s="10" t="n">
        <v>45961</v>
      </c>
      <c r="D243" s="8" t="s">
        <v>1377</v>
      </c>
      <c r="E243" s="8"/>
      <c r="F243" s="9"/>
      <c r="G243" s="8"/>
    </row>
    <row r="244" customFormat="false" ht="15" hidden="false" customHeight="false" outlineLevel="0" collapsed="false">
      <c r="A244" s="8" t="s">
        <v>1634</v>
      </c>
      <c r="B244" s="8" t="s">
        <v>214</v>
      </c>
      <c r="C244" s="10" t="n">
        <v>45998</v>
      </c>
      <c r="D244" s="8" t="s">
        <v>1377</v>
      </c>
      <c r="E244" s="8"/>
      <c r="F244" s="9"/>
      <c r="G244" s="8"/>
    </row>
    <row r="245" customFormat="false" ht="15" hidden="false" customHeight="false" outlineLevel="0" collapsed="false">
      <c r="A245" s="8" t="s">
        <v>1635</v>
      </c>
      <c r="B245" s="8" t="s">
        <v>52</v>
      </c>
      <c r="C245" s="10" t="n">
        <v>45965</v>
      </c>
      <c r="D245" s="8" t="s">
        <v>1560</v>
      </c>
      <c r="E245" s="10" t="n">
        <v>45975</v>
      </c>
      <c r="F245" s="9" t="n">
        <v>10</v>
      </c>
      <c r="G245" s="8" t="s">
        <v>1386</v>
      </c>
    </row>
    <row r="246" customFormat="false" ht="15" hidden="false" customHeight="false" outlineLevel="0" collapsed="false">
      <c r="A246" s="8" t="s">
        <v>1636</v>
      </c>
      <c r="B246" s="8" t="s">
        <v>650</v>
      </c>
      <c r="C246" s="10" t="n">
        <v>45796</v>
      </c>
      <c r="D246" s="8" t="s">
        <v>1584</v>
      </c>
      <c r="E246" s="10" t="n">
        <v>45799</v>
      </c>
      <c r="F246" s="9" t="n">
        <v>3</v>
      </c>
      <c r="G246" s="8" t="s">
        <v>1386</v>
      </c>
    </row>
    <row r="247" customFormat="false" ht="15" hidden="false" customHeight="false" outlineLevel="0" collapsed="false">
      <c r="A247" s="8" t="s">
        <v>1637</v>
      </c>
      <c r="B247" s="8" t="s">
        <v>323</v>
      </c>
      <c r="C247" s="10" t="n">
        <v>46099</v>
      </c>
      <c r="D247" s="8" t="s">
        <v>1377</v>
      </c>
      <c r="E247" s="8"/>
      <c r="F247" s="9"/>
      <c r="G247" s="8"/>
    </row>
    <row r="248" customFormat="false" ht="15" hidden="false" customHeight="false" outlineLevel="0" collapsed="false">
      <c r="A248" s="8" t="s">
        <v>1638</v>
      </c>
      <c r="B248" s="8" t="s">
        <v>277</v>
      </c>
      <c r="C248" s="10" t="n">
        <v>45685</v>
      </c>
      <c r="D248" s="8" t="s">
        <v>1381</v>
      </c>
      <c r="E248" s="10" t="n">
        <v>45727</v>
      </c>
      <c r="F248" s="9" t="n">
        <v>42</v>
      </c>
      <c r="G248" s="8" t="s">
        <v>1405</v>
      </c>
    </row>
    <row r="249" customFormat="false" ht="15" hidden="false" customHeight="false" outlineLevel="0" collapsed="false">
      <c r="A249" s="8" t="s">
        <v>1639</v>
      </c>
      <c r="B249" s="8" t="s">
        <v>262</v>
      </c>
      <c r="C249" s="10" t="n">
        <v>45831</v>
      </c>
      <c r="D249" s="8" t="s">
        <v>1377</v>
      </c>
      <c r="E249" s="8"/>
      <c r="F249" s="9"/>
      <c r="G249" s="8"/>
    </row>
    <row r="250" customFormat="false" ht="15" hidden="false" customHeight="false" outlineLevel="0" collapsed="false">
      <c r="A250" s="8" t="s">
        <v>1640</v>
      </c>
      <c r="B250" s="8" t="s">
        <v>52</v>
      </c>
      <c r="C250" s="10" t="n">
        <v>45837</v>
      </c>
      <c r="D250" s="8" t="s">
        <v>1377</v>
      </c>
      <c r="E250" s="8"/>
      <c r="F250" s="9"/>
      <c r="G250" s="8"/>
    </row>
    <row r="251" customFormat="false" ht="15" hidden="false" customHeight="false" outlineLevel="0" collapsed="false">
      <c r="A251" s="8" t="s">
        <v>1641</v>
      </c>
      <c r="B251" s="8" t="s">
        <v>166</v>
      </c>
      <c r="C251" s="10" t="n">
        <v>45715</v>
      </c>
      <c r="D251" s="8" t="s">
        <v>1381</v>
      </c>
      <c r="E251" s="10" t="n">
        <v>45717</v>
      </c>
      <c r="F251" s="9" t="n">
        <v>2</v>
      </c>
      <c r="G251" s="8" t="s">
        <v>1386</v>
      </c>
    </row>
    <row r="252" customFormat="false" ht="15" hidden="false" customHeight="false" outlineLevel="0" collapsed="false">
      <c r="A252" s="8" t="s">
        <v>1642</v>
      </c>
      <c r="B252" s="8" t="s">
        <v>323</v>
      </c>
      <c r="C252" s="10" t="n">
        <v>46022</v>
      </c>
      <c r="D252" s="8" t="s">
        <v>1377</v>
      </c>
      <c r="E252" s="8"/>
      <c r="F252" s="9"/>
      <c r="G252" s="8"/>
    </row>
    <row r="253" customFormat="false" ht="15" hidden="false" customHeight="false" outlineLevel="0" collapsed="false">
      <c r="A253" s="8" t="s">
        <v>1643</v>
      </c>
      <c r="B253" s="8" t="s">
        <v>214</v>
      </c>
      <c r="C253" s="10" t="n">
        <v>46132</v>
      </c>
      <c r="D253" s="8" t="s">
        <v>1560</v>
      </c>
      <c r="E253" s="10" t="n">
        <v>46145</v>
      </c>
      <c r="F253" s="9" t="n">
        <v>13</v>
      </c>
      <c r="G253" s="8" t="s">
        <v>1386</v>
      </c>
    </row>
    <row r="254" customFormat="false" ht="15" hidden="false" customHeight="false" outlineLevel="0" collapsed="false">
      <c r="A254" s="8" t="s">
        <v>1644</v>
      </c>
      <c r="B254" s="8" t="s">
        <v>52</v>
      </c>
      <c r="C254" s="10" t="n">
        <v>45924</v>
      </c>
      <c r="D254" s="8" t="s">
        <v>1560</v>
      </c>
      <c r="E254" s="10" t="n">
        <v>45926</v>
      </c>
      <c r="F254" s="9" t="n">
        <v>2</v>
      </c>
      <c r="G254" s="8" t="s">
        <v>1382</v>
      </c>
    </row>
    <row r="255" customFormat="false" ht="15" hidden="false" customHeight="false" outlineLevel="0" collapsed="false">
      <c r="A255" s="8" t="s">
        <v>1645</v>
      </c>
      <c r="B255" s="8" t="s">
        <v>52</v>
      </c>
      <c r="C255" s="10" t="n">
        <v>45687</v>
      </c>
      <c r="D255" s="8" t="s">
        <v>1377</v>
      </c>
      <c r="E255" s="8"/>
      <c r="F255" s="9"/>
      <c r="G255" s="8"/>
    </row>
    <row r="256" customFormat="false" ht="15" hidden="false" customHeight="false" outlineLevel="0" collapsed="false">
      <c r="A256" s="8" t="s">
        <v>1646</v>
      </c>
      <c r="B256" s="8" t="s">
        <v>650</v>
      </c>
      <c r="C256" s="10" t="n">
        <v>45667</v>
      </c>
      <c r="D256" s="8" t="s">
        <v>1377</v>
      </c>
      <c r="E256" s="8"/>
      <c r="F256" s="9"/>
      <c r="G256" s="8"/>
    </row>
    <row r="257" customFormat="false" ht="15" hidden="false" customHeight="false" outlineLevel="0" collapsed="false">
      <c r="A257" s="8" t="s">
        <v>1647</v>
      </c>
      <c r="B257" s="8" t="s">
        <v>323</v>
      </c>
      <c r="C257" s="10" t="n">
        <v>45682</v>
      </c>
      <c r="D257" s="8" t="s">
        <v>1377</v>
      </c>
      <c r="E257" s="8"/>
      <c r="F257" s="9"/>
      <c r="G257" s="8"/>
    </row>
    <row r="258" customFormat="false" ht="15" hidden="false" customHeight="false" outlineLevel="0" collapsed="false">
      <c r="A258" s="8" t="s">
        <v>1648</v>
      </c>
      <c r="B258" s="8" t="s">
        <v>52</v>
      </c>
      <c r="C258" s="10" t="n">
        <v>45690</v>
      </c>
      <c r="D258" s="8" t="s">
        <v>1377</v>
      </c>
      <c r="E258" s="8"/>
      <c r="F258" s="9"/>
      <c r="G258" s="8"/>
    </row>
    <row r="259" customFormat="false" ht="15" hidden="false" customHeight="false" outlineLevel="0" collapsed="false">
      <c r="A259" s="8" t="s">
        <v>1649</v>
      </c>
      <c r="B259" s="8" t="s">
        <v>323</v>
      </c>
      <c r="C259" s="10" t="n">
        <v>45797</v>
      </c>
      <c r="D259" s="8" t="s">
        <v>1377</v>
      </c>
      <c r="E259" s="8"/>
      <c r="F259" s="9"/>
      <c r="G259" s="8"/>
    </row>
    <row r="260" customFormat="false" ht="15" hidden="false" customHeight="false" outlineLevel="0" collapsed="false">
      <c r="A260" s="8" t="s">
        <v>1650</v>
      </c>
      <c r="B260" s="8" t="s">
        <v>262</v>
      </c>
      <c r="C260" s="10" t="n">
        <v>45704</v>
      </c>
      <c r="D260" s="8" t="s">
        <v>1377</v>
      </c>
      <c r="E260" s="8"/>
      <c r="F260" s="9"/>
      <c r="G260" s="8"/>
    </row>
    <row r="261" customFormat="false" ht="15" hidden="false" customHeight="false" outlineLevel="0" collapsed="false">
      <c r="A261" s="8" t="s">
        <v>1651</v>
      </c>
      <c r="B261" s="8" t="s">
        <v>277</v>
      </c>
      <c r="C261" s="10" t="n">
        <v>46147</v>
      </c>
      <c r="D261" s="8" t="s">
        <v>1616</v>
      </c>
      <c r="E261" s="10" t="n">
        <v>46157</v>
      </c>
      <c r="F261" s="9" t="n">
        <v>10</v>
      </c>
      <c r="G261" s="8" t="s">
        <v>1386</v>
      </c>
    </row>
    <row r="262" customFormat="false" ht="15" hidden="false" customHeight="false" outlineLevel="0" collapsed="false">
      <c r="A262" s="8" t="s">
        <v>1652</v>
      </c>
      <c r="B262" s="8" t="s">
        <v>154</v>
      </c>
      <c r="C262" s="10" t="n">
        <v>46122</v>
      </c>
      <c r="D262" s="8" t="s">
        <v>1377</v>
      </c>
      <c r="E262" s="8"/>
      <c r="F262" s="9"/>
      <c r="G262" s="8"/>
    </row>
    <row r="263" customFormat="false" ht="15" hidden="false" customHeight="false" outlineLevel="0" collapsed="false">
      <c r="A263" s="8" t="s">
        <v>1653</v>
      </c>
      <c r="B263" s="8" t="s">
        <v>650</v>
      </c>
      <c r="C263" s="10" t="n">
        <v>45691</v>
      </c>
      <c r="D263" s="8" t="s">
        <v>1377</v>
      </c>
      <c r="E263" s="8"/>
      <c r="F263" s="9"/>
      <c r="G263" s="8"/>
    </row>
    <row r="264" customFormat="false" ht="15" hidden="false" customHeight="false" outlineLevel="0" collapsed="false">
      <c r="A264" s="8" t="s">
        <v>1654</v>
      </c>
      <c r="B264" s="8" t="s">
        <v>214</v>
      </c>
      <c r="C264" s="10" t="n">
        <v>45805</v>
      </c>
      <c r="D264" s="8" t="s">
        <v>1377</v>
      </c>
      <c r="E264" s="8"/>
      <c r="F264" s="9"/>
      <c r="G264" s="8"/>
    </row>
    <row r="265" customFormat="false" ht="15" hidden="false" customHeight="false" outlineLevel="0" collapsed="false">
      <c r="A265" s="8" t="s">
        <v>1655</v>
      </c>
      <c r="B265" s="8" t="s">
        <v>145</v>
      </c>
      <c r="C265" s="10" t="n">
        <v>46003</v>
      </c>
      <c r="D265" s="8" t="s">
        <v>1377</v>
      </c>
      <c r="E265" s="8"/>
      <c r="F265" s="9"/>
      <c r="G265" s="8"/>
    </row>
    <row r="266" customFormat="false" ht="15" hidden="false" customHeight="false" outlineLevel="0" collapsed="false">
      <c r="A266" s="8" t="s">
        <v>1656</v>
      </c>
      <c r="B266" s="8" t="s">
        <v>166</v>
      </c>
      <c r="C266" s="10" t="n">
        <v>45790</v>
      </c>
      <c r="D266" s="8" t="s">
        <v>1377</v>
      </c>
      <c r="E266" s="8"/>
      <c r="F266" s="9"/>
      <c r="G266" s="8"/>
    </row>
    <row r="267" customFormat="false" ht="15" hidden="false" customHeight="false" outlineLevel="0" collapsed="false">
      <c r="A267" s="8" t="s">
        <v>1657</v>
      </c>
      <c r="B267" s="8" t="s">
        <v>650</v>
      </c>
      <c r="C267" s="10" t="n">
        <v>45680</v>
      </c>
      <c r="D267" s="8" t="s">
        <v>1584</v>
      </c>
      <c r="E267" s="10" t="n">
        <v>45689</v>
      </c>
      <c r="F267" s="9" t="n">
        <v>9</v>
      </c>
      <c r="G267" s="8" t="s">
        <v>1386</v>
      </c>
    </row>
    <row r="268" customFormat="false" ht="15" hidden="false" customHeight="false" outlineLevel="0" collapsed="false">
      <c r="A268" s="8" t="s">
        <v>1658</v>
      </c>
      <c r="B268" s="8" t="s">
        <v>115</v>
      </c>
      <c r="C268" s="10" t="n">
        <v>46038</v>
      </c>
      <c r="D268" s="8" t="s">
        <v>1377</v>
      </c>
      <c r="E268" s="8"/>
      <c r="F268" s="9"/>
      <c r="G268" s="8"/>
    </row>
    <row r="269" customFormat="false" ht="15" hidden="false" customHeight="false" outlineLevel="0" collapsed="false">
      <c r="A269" s="8" t="s">
        <v>1659</v>
      </c>
      <c r="B269" s="8" t="s">
        <v>323</v>
      </c>
      <c r="C269" s="10" t="n">
        <v>45757</v>
      </c>
      <c r="D269" s="8" t="s">
        <v>1584</v>
      </c>
      <c r="E269" s="10" t="n">
        <v>45766</v>
      </c>
      <c r="F269" s="9" t="n">
        <v>9</v>
      </c>
      <c r="G269" s="8" t="s">
        <v>1405</v>
      </c>
    </row>
    <row r="270" customFormat="false" ht="15" hidden="false" customHeight="false" outlineLevel="0" collapsed="false">
      <c r="A270" s="8" t="s">
        <v>1660</v>
      </c>
      <c r="B270" s="8" t="s">
        <v>166</v>
      </c>
      <c r="C270" s="10" t="n">
        <v>45900</v>
      </c>
      <c r="D270" s="8" t="s">
        <v>1404</v>
      </c>
      <c r="E270" s="10" t="n">
        <v>45911</v>
      </c>
      <c r="F270" s="9" t="n">
        <v>11</v>
      </c>
      <c r="G270" s="8" t="s">
        <v>1382</v>
      </c>
    </row>
    <row r="271" customFormat="false" ht="15" hidden="false" customHeight="false" outlineLevel="0" collapsed="false">
      <c r="A271" s="8" t="s">
        <v>1661</v>
      </c>
      <c r="B271" s="8" t="s">
        <v>145</v>
      </c>
      <c r="C271" s="10" t="n">
        <v>46123</v>
      </c>
      <c r="D271" s="8" t="s">
        <v>1377</v>
      </c>
      <c r="E271" s="8"/>
      <c r="F271" s="9"/>
      <c r="G271" s="8"/>
    </row>
    <row r="272" customFormat="false" ht="15" hidden="false" customHeight="false" outlineLevel="0" collapsed="false">
      <c r="A272" s="8" t="s">
        <v>1662</v>
      </c>
      <c r="B272" s="8" t="s">
        <v>69</v>
      </c>
      <c r="C272" s="10" t="n">
        <v>46071</v>
      </c>
      <c r="D272" s="8" t="s">
        <v>1377</v>
      </c>
      <c r="E272" s="8"/>
      <c r="F272" s="9"/>
      <c r="G272" s="8"/>
    </row>
    <row r="273" customFormat="false" ht="15" hidden="false" customHeight="false" outlineLevel="0" collapsed="false">
      <c r="A273" s="8" t="s">
        <v>1663</v>
      </c>
      <c r="B273" s="8" t="s">
        <v>52</v>
      </c>
      <c r="C273" s="10" t="n">
        <v>45942</v>
      </c>
      <c r="D273" s="8" t="s">
        <v>1377</v>
      </c>
      <c r="E273" s="8"/>
      <c r="F273" s="9"/>
      <c r="G273" s="8"/>
    </row>
    <row r="274" customFormat="false" ht="15" hidden="false" customHeight="false" outlineLevel="0" collapsed="false">
      <c r="A274" s="8" t="s">
        <v>1664</v>
      </c>
      <c r="B274" s="8" t="s">
        <v>52</v>
      </c>
      <c r="C274" s="10" t="n">
        <v>45736</v>
      </c>
      <c r="D274" s="8" t="s">
        <v>1377</v>
      </c>
      <c r="E274" s="8"/>
      <c r="F274" s="9"/>
      <c r="G274" s="8"/>
    </row>
    <row r="275" customFormat="false" ht="15" hidden="false" customHeight="false" outlineLevel="0" collapsed="false">
      <c r="A275" s="8" t="s">
        <v>1665</v>
      </c>
      <c r="B275" s="8" t="s">
        <v>154</v>
      </c>
      <c r="C275" s="10" t="n">
        <v>45929</v>
      </c>
      <c r="D275" s="8" t="s">
        <v>1377</v>
      </c>
      <c r="E275" s="8"/>
      <c r="F275" s="9"/>
      <c r="G275" s="8"/>
    </row>
    <row r="276" customFormat="false" ht="15" hidden="false" customHeight="false" outlineLevel="0" collapsed="false">
      <c r="A276" s="8" t="s">
        <v>1666</v>
      </c>
      <c r="B276" s="8" t="s">
        <v>646</v>
      </c>
      <c r="C276" s="10" t="n">
        <v>45747</v>
      </c>
      <c r="D276" s="8" t="s">
        <v>1377</v>
      </c>
      <c r="E276" s="8"/>
      <c r="F276" s="9"/>
      <c r="G276" s="8"/>
    </row>
    <row r="277" customFormat="false" ht="15" hidden="false" customHeight="false" outlineLevel="0" collapsed="false">
      <c r="A277" s="8" t="s">
        <v>1667</v>
      </c>
      <c r="B277" s="8" t="s">
        <v>145</v>
      </c>
      <c r="C277" s="10" t="n">
        <v>45941</v>
      </c>
      <c r="D277" s="8" t="s">
        <v>1377</v>
      </c>
      <c r="E277" s="8"/>
      <c r="F277" s="9"/>
      <c r="G277" s="8"/>
    </row>
    <row r="278" customFormat="false" ht="15" hidden="false" customHeight="false" outlineLevel="0" collapsed="false">
      <c r="A278" s="8" t="s">
        <v>1668</v>
      </c>
      <c r="B278" s="8" t="s">
        <v>154</v>
      </c>
      <c r="C278" s="10" t="n">
        <v>45828</v>
      </c>
      <c r="D278" s="8" t="s">
        <v>1377</v>
      </c>
      <c r="E278" s="8"/>
      <c r="F278" s="9"/>
      <c r="G278" s="8"/>
    </row>
    <row r="279" customFormat="false" ht="15" hidden="false" customHeight="false" outlineLevel="0" collapsed="false">
      <c r="A279" s="8" t="s">
        <v>1669</v>
      </c>
      <c r="B279" s="8" t="s">
        <v>646</v>
      </c>
      <c r="C279" s="10" t="n">
        <v>45766</v>
      </c>
      <c r="D279" s="8" t="s">
        <v>1377</v>
      </c>
      <c r="E279" s="8"/>
      <c r="F279" s="9"/>
      <c r="G279" s="8"/>
    </row>
    <row r="280" customFormat="false" ht="15" hidden="false" customHeight="false" outlineLevel="0" collapsed="false">
      <c r="A280" s="8" t="s">
        <v>1670</v>
      </c>
      <c r="B280" s="8" t="s">
        <v>390</v>
      </c>
      <c r="C280" s="10" t="n">
        <v>46114</v>
      </c>
      <c r="D280" s="8" t="s">
        <v>1377</v>
      </c>
      <c r="E280" s="8"/>
      <c r="F280" s="9"/>
      <c r="G280" s="8"/>
    </row>
    <row r="281" customFormat="false" ht="15" hidden="false" customHeight="false" outlineLevel="0" collapsed="false">
      <c r="A281" s="8" t="s">
        <v>1671</v>
      </c>
      <c r="B281" s="8" t="s">
        <v>154</v>
      </c>
      <c r="C281" s="10" t="n">
        <v>46037</v>
      </c>
      <c r="D281" s="8" t="s">
        <v>1377</v>
      </c>
      <c r="E281" s="8"/>
      <c r="F281" s="9"/>
      <c r="G281" s="8"/>
    </row>
    <row r="282" customFormat="false" ht="15" hidden="false" customHeight="false" outlineLevel="0" collapsed="false">
      <c r="A282" s="8" t="s">
        <v>1672</v>
      </c>
      <c r="B282" s="8" t="s">
        <v>52</v>
      </c>
      <c r="C282" s="10" t="n">
        <v>46058</v>
      </c>
      <c r="D282" s="8" t="s">
        <v>1377</v>
      </c>
      <c r="E282" s="8"/>
      <c r="F282" s="9"/>
      <c r="G282" s="8"/>
    </row>
    <row r="283" customFormat="false" ht="15" hidden="false" customHeight="false" outlineLevel="0" collapsed="false">
      <c r="A283" s="8" t="s">
        <v>1673</v>
      </c>
      <c r="B283" s="8" t="s">
        <v>52</v>
      </c>
      <c r="C283" s="10" t="n">
        <v>45690</v>
      </c>
      <c r="D283" s="8" t="s">
        <v>1377</v>
      </c>
      <c r="E283" s="8"/>
      <c r="F283" s="9"/>
      <c r="G283" s="8"/>
    </row>
    <row r="284" customFormat="false" ht="15" hidden="false" customHeight="false" outlineLevel="0" collapsed="false">
      <c r="A284" s="8" t="s">
        <v>1674</v>
      </c>
      <c r="B284" s="8" t="s">
        <v>154</v>
      </c>
      <c r="C284" s="10" t="n">
        <v>46047</v>
      </c>
      <c r="D284" s="8" t="s">
        <v>1377</v>
      </c>
      <c r="E284" s="8"/>
      <c r="F284" s="9"/>
      <c r="G284" s="8"/>
    </row>
    <row r="285" customFormat="false" ht="15" hidden="false" customHeight="false" outlineLevel="0" collapsed="false">
      <c r="A285" s="8" t="s">
        <v>1675</v>
      </c>
      <c r="B285" s="8" t="s">
        <v>52</v>
      </c>
      <c r="C285" s="10" t="n">
        <v>45955</v>
      </c>
      <c r="D285" s="8" t="s">
        <v>1377</v>
      </c>
      <c r="E285" s="8"/>
      <c r="F285" s="9"/>
      <c r="G285" s="8"/>
    </row>
    <row r="286" customFormat="false" ht="15" hidden="false" customHeight="false" outlineLevel="0" collapsed="false">
      <c r="A286" s="8" t="s">
        <v>1676</v>
      </c>
      <c r="B286" s="8" t="s">
        <v>69</v>
      </c>
      <c r="C286" s="10" t="n">
        <v>45919</v>
      </c>
      <c r="D286" s="8" t="s">
        <v>1377</v>
      </c>
      <c r="E286" s="8"/>
      <c r="F286" s="9"/>
      <c r="G286" s="8"/>
    </row>
    <row r="287" customFormat="false" ht="15" hidden="false" customHeight="false" outlineLevel="0" collapsed="false">
      <c r="A287" s="8" t="s">
        <v>1677</v>
      </c>
      <c r="B287" s="8" t="s">
        <v>69</v>
      </c>
      <c r="C287" s="10" t="n">
        <v>45946</v>
      </c>
      <c r="D287" s="8" t="s">
        <v>1377</v>
      </c>
      <c r="E287" s="8"/>
      <c r="F287" s="9"/>
      <c r="G287" s="8"/>
    </row>
    <row r="288" customFormat="false" ht="15" hidden="false" customHeight="false" outlineLevel="0" collapsed="false">
      <c r="A288" s="8" t="s">
        <v>1678</v>
      </c>
      <c r="B288" s="8" t="s">
        <v>52</v>
      </c>
      <c r="C288" s="10" t="n">
        <v>45781</v>
      </c>
      <c r="D288" s="8" t="s">
        <v>1377</v>
      </c>
      <c r="E288" s="8"/>
      <c r="F288" s="9"/>
      <c r="G288" s="8"/>
    </row>
    <row r="289" customFormat="false" ht="15" hidden="false" customHeight="false" outlineLevel="0" collapsed="false">
      <c r="A289" s="8" t="s">
        <v>1679</v>
      </c>
      <c r="B289" s="8" t="s">
        <v>214</v>
      </c>
      <c r="C289" s="10" t="n">
        <v>45785</v>
      </c>
      <c r="D289" s="8" t="s">
        <v>1377</v>
      </c>
      <c r="E289" s="8"/>
      <c r="F289" s="9"/>
      <c r="G289" s="8"/>
    </row>
    <row r="290" customFormat="false" ht="15" hidden="false" customHeight="false" outlineLevel="0" collapsed="false">
      <c r="A290" s="8" t="s">
        <v>1680</v>
      </c>
      <c r="B290" s="8" t="s">
        <v>145</v>
      </c>
      <c r="C290" s="10" t="n">
        <v>45825</v>
      </c>
      <c r="D290" s="8" t="s">
        <v>1513</v>
      </c>
      <c r="E290" s="10" t="n">
        <v>45858</v>
      </c>
      <c r="F290" s="9" t="n">
        <v>33</v>
      </c>
      <c r="G290" s="8" t="s">
        <v>1386</v>
      </c>
    </row>
    <row r="291" customFormat="false" ht="15" hidden="false" customHeight="false" outlineLevel="0" collapsed="false">
      <c r="A291" s="8" t="s">
        <v>1681</v>
      </c>
      <c r="B291" s="8" t="s">
        <v>166</v>
      </c>
      <c r="C291" s="10" t="n">
        <v>45781</v>
      </c>
      <c r="D291" s="8" t="s">
        <v>1572</v>
      </c>
      <c r="E291" s="10" t="n">
        <v>45827</v>
      </c>
      <c r="F291" s="9" t="n">
        <v>46</v>
      </c>
      <c r="G291" s="8" t="s">
        <v>1386</v>
      </c>
    </row>
    <row r="292" customFormat="false" ht="15" hidden="false" customHeight="false" outlineLevel="0" collapsed="false">
      <c r="A292" s="8" t="s">
        <v>1682</v>
      </c>
      <c r="B292" s="8" t="s">
        <v>646</v>
      </c>
      <c r="C292" s="10" t="n">
        <v>45994</v>
      </c>
      <c r="D292" s="8" t="s">
        <v>1377</v>
      </c>
      <c r="E292" s="8"/>
      <c r="F292" s="9"/>
      <c r="G292" s="8"/>
    </row>
    <row r="293" customFormat="false" ht="15" hidden="false" customHeight="false" outlineLevel="0" collapsed="false">
      <c r="A293" s="8" t="s">
        <v>1683</v>
      </c>
      <c r="B293" s="8" t="s">
        <v>650</v>
      </c>
      <c r="C293" s="10" t="n">
        <v>46148</v>
      </c>
      <c r="D293" s="8" t="s">
        <v>1584</v>
      </c>
      <c r="E293" s="10" t="n">
        <v>46154</v>
      </c>
      <c r="F293" s="9" t="n">
        <v>6</v>
      </c>
      <c r="G293" s="8" t="s">
        <v>1386</v>
      </c>
    </row>
    <row r="294" customFormat="false" ht="15" hidden="false" customHeight="false" outlineLevel="0" collapsed="false">
      <c r="A294" s="8" t="s">
        <v>1684</v>
      </c>
      <c r="B294" s="8" t="s">
        <v>69</v>
      </c>
      <c r="C294" s="10" t="n">
        <v>46026</v>
      </c>
      <c r="D294" s="8" t="s">
        <v>1377</v>
      </c>
      <c r="E294" s="8"/>
      <c r="F294" s="9"/>
      <c r="G294" s="8"/>
    </row>
    <row r="295" customFormat="false" ht="15" hidden="false" customHeight="false" outlineLevel="0" collapsed="false">
      <c r="A295" s="8" t="s">
        <v>1685</v>
      </c>
      <c r="B295" s="8" t="s">
        <v>650</v>
      </c>
      <c r="C295" s="10" t="n">
        <v>45959</v>
      </c>
      <c r="D295" s="8" t="s">
        <v>1434</v>
      </c>
      <c r="E295" s="10" t="n">
        <v>45988</v>
      </c>
      <c r="F295" s="9" t="n">
        <v>29</v>
      </c>
      <c r="G295" s="8" t="s">
        <v>1386</v>
      </c>
    </row>
    <row r="296" customFormat="false" ht="15" hidden="false" customHeight="false" outlineLevel="0" collapsed="false">
      <c r="A296" s="8" t="s">
        <v>1686</v>
      </c>
      <c r="B296" s="8" t="s">
        <v>323</v>
      </c>
      <c r="C296" s="10" t="n">
        <v>45758</v>
      </c>
      <c r="D296" s="8" t="s">
        <v>1377</v>
      </c>
      <c r="E296" s="8"/>
      <c r="F296" s="9"/>
      <c r="G296" s="8"/>
    </row>
    <row r="297" customFormat="false" ht="15" hidden="false" customHeight="false" outlineLevel="0" collapsed="false">
      <c r="A297" s="8" t="s">
        <v>1687</v>
      </c>
      <c r="B297" s="8" t="s">
        <v>115</v>
      </c>
      <c r="C297" s="10" t="n">
        <v>45787</v>
      </c>
      <c r="D297" s="8" t="s">
        <v>1377</v>
      </c>
      <c r="E297" s="8"/>
      <c r="F297" s="9"/>
      <c r="G297" s="8"/>
    </row>
    <row r="298" customFormat="false" ht="15" hidden="false" customHeight="false" outlineLevel="0" collapsed="false">
      <c r="A298" s="8" t="s">
        <v>1688</v>
      </c>
      <c r="B298" s="8" t="s">
        <v>262</v>
      </c>
      <c r="C298" s="10" t="n">
        <v>46126</v>
      </c>
      <c r="D298" s="8" t="s">
        <v>1377</v>
      </c>
      <c r="E298" s="8"/>
      <c r="F298" s="9"/>
      <c r="G298" s="8"/>
    </row>
    <row r="299" customFormat="false" ht="15" hidden="false" customHeight="false" outlineLevel="0" collapsed="false">
      <c r="A299" s="8" t="s">
        <v>1689</v>
      </c>
      <c r="B299" s="8" t="s">
        <v>115</v>
      </c>
      <c r="C299" s="10" t="n">
        <v>45747</v>
      </c>
      <c r="D299" s="8" t="s">
        <v>1377</v>
      </c>
      <c r="E299" s="8"/>
      <c r="F299" s="9"/>
      <c r="G299" s="8"/>
    </row>
    <row r="300" customFormat="false" ht="15" hidden="false" customHeight="false" outlineLevel="0" collapsed="false">
      <c r="A300" s="8" t="s">
        <v>1690</v>
      </c>
      <c r="B300" s="8" t="s">
        <v>145</v>
      </c>
      <c r="C300" s="10" t="n">
        <v>45766</v>
      </c>
      <c r="D300" s="8" t="s">
        <v>1377</v>
      </c>
      <c r="E300" s="8"/>
      <c r="F300" s="9"/>
      <c r="G300" s="8"/>
    </row>
    <row r="301" customFormat="false" ht="15" hidden="false" customHeight="false" outlineLevel="0" collapsed="false">
      <c r="A301" s="8" t="s">
        <v>1691</v>
      </c>
      <c r="B301" s="8" t="s">
        <v>262</v>
      </c>
      <c r="C301" s="10" t="n">
        <v>46168</v>
      </c>
      <c r="D301" s="8" t="s">
        <v>1377</v>
      </c>
      <c r="E301" s="8"/>
      <c r="F301" s="9"/>
      <c r="G301" s="8"/>
    </row>
    <row r="302" customFormat="false" ht="15" hidden="false" customHeight="false" outlineLevel="0" collapsed="false">
      <c r="A302" s="8" t="s">
        <v>1692</v>
      </c>
      <c r="B302" s="8" t="s">
        <v>166</v>
      </c>
      <c r="C302" s="10" t="n">
        <v>45669</v>
      </c>
      <c r="D302" s="8" t="s">
        <v>1377</v>
      </c>
      <c r="E302" s="8"/>
      <c r="F302" s="9"/>
      <c r="G302" s="8"/>
    </row>
    <row r="303" customFormat="false" ht="15" hidden="false" customHeight="false" outlineLevel="0" collapsed="false">
      <c r="A303" s="8" t="s">
        <v>1693</v>
      </c>
      <c r="B303" s="8" t="s">
        <v>166</v>
      </c>
      <c r="C303" s="10" t="n">
        <v>45976</v>
      </c>
      <c r="D303" s="8" t="s">
        <v>1377</v>
      </c>
      <c r="E303" s="8"/>
      <c r="F303" s="9"/>
      <c r="G303" s="8"/>
    </row>
    <row r="304" customFormat="false" ht="15" hidden="false" customHeight="false" outlineLevel="0" collapsed="false">
      <c r="A304" s="8" t="s">
        <v>1694</v>
      </c>
      <c r="B304" s="8" t="s">
        <v>52</v>
      </c>
      <c r="C304" s="10" t="n">
        <v>45817</v>
      </c>
      <c r="D304" s="8" t="s">
        <v>1377</v>
      </c>
      <c r="E304" s="8"/>
      <c r="F304" s="9"/>
      <c r="G304" s="8"/>
    </row>
    <row r="305" customFormat="false" ht="15" hidden="false" customHeight="false" outlineLevel="0" collapsed="false">
      <c r="A305" s="8" t="s">
        <v>1695</v>
      </c>
      <c r="B305" s="8" t="s">
        <v>69</v>
      </c>
      <c r="C305" s="10" t="n">
        <v>45941</v>
      </c>
      <c r="D305" s="8" t="s">
        <v>1385</v>
      </c>
      <c r="E305" s="10" t="n">
        <v>45947</v>
      </c>
      <c r="F305" s="9" t="n">
        <v>6</v>
      </c>
      <c r="G305" s="8" t="s">
        <v>1382</v>
      </c>
    </row>
    <row r="306" customFormat="false" ht="15" hidden="false" customHeight="false" outlineLevel="0" collapsed="false">
      <c r="A306" s="8" t="s">
        <v>1696</v>
      </c>
      <c r="B306" s="8" t="s">
        <v>214</v>
      </c>
      <c r="C306" s="10" t="n">
        <v>45849</v>
      </c>
      <c r="D306" s="8" t="s">
        <v>1491</v>
      </c>
      <c r="E306" s="10" t="n">
        <v>45872</v>
      </c>
      <c r="F306" s="9" t="n">
        <v>23</v>
      </c>
      <c r="G306" s="8" t="s">
        <v>1386</v>
      </c>
    </row>
    <row r="307" customFormat="false" ht="15" hidden="false" customHeight="false" outlineLevel="0" collapsed="false">
      <c r="A307" s="8" t="s">
        <v>1697</v>
      </c>
      <c r="B307" s="8" t="s">
        <v>154</v>
      </c>
      <c r="C307" s="10" t="n">
        <v>45999</v>
      </c>
      <c r="D307" s="8" t="s">
        <v>1377</v>
      </c>
      <c r="E307" s="8"/>
      <c r="F307" s="9"/>
      <c r="G307" s="8"/>
    </row>
    <row r="308" customFormat="false" ht="15" hidden="false" customHeight="false" outlineLevel="0" collapsed="false">
      <c r="A308" s="8" t="s">
        <v>1698</v>
      </c>
      <c r="B308" s="8" t="s">
        <v>650</v>
      </c>
      <c r="C308" s="10" t="n">
        <v>46006</v>
      </c>
      <c r="D308" s="8" t="s">
        <v>1377</v>
      </c>
      <c r="E308" s="8"/>
      <c r="F308" s="9"/>
      <c r="G308" s="8"/>
    </row>
    <row r="309" customFormat="false" ht="15" hidden="false" customHeight="false" outlineLevel="0" collapsed="false">
      <c r="A309" s="8" t="s">
        <v>1699</v>
      </c>
      <c r="B309" s="8" t="s">
        <v>115</v>
      </c>
      <c r="C309" s="10" t="n">
        <v>45989</v>
      </c>
      <c r="D309" s="8" t="s">
        <v>1377</v>
      </c>
      <c r="E309" s="8"/>
      <c r="F309" s="9"/>
      <c r="G309" s="8"/>
    </row>
    <row r="310" customFormat="false" ht="15" hidden="false" customHeight="false" outlineLevel="0" collapsed="false">
      <c r="A310" s="8" t="s">
        <v>1700</v>
      </c>
      <c r="B310" s="8" t="s">
        <v>154</v>
      </c>
      <c r="C310" s="10" t="n">
        <v>45924</v>
      </c>
      <c r="D310" s="8" t="s">
        <v>1520</v>
      </c>
      <c r="E310" s="10" t="n">
        <v>45927</v>
      </c>
      <c r="F310" s="9" t="n">
        <v>3</v>
      </c>
      <c r="G310" s="8" t="s">
        <v>1386</v>
      </c>
    </row>
    <row r="311" customFormat="false" ht="15" hidden="false" customHeight="false" outlineLevel="0" collapsed="false">
      <c r="A311" s="8" t="s">
        <v>1701</v>
      </c>
      <c r="B311" s="8" t="s">
        <v>166</v>
      </c>
      <c r="C311" s="10" t="n">
        <v>45691</v>
      </c>
      <c r="D311" s="8" t="s">
        <v>1572</v>
      </c>
      <c r="E311" s="10" t="n">
        <v>45757</v>
      </c>
      <c r="F311" s="9" t="n">
        <v>66</v>
      </c>
      <c r="G311" s="8" t="s">
        <v>1386</v>
      </c>
    </row>
    <row r="312" customFormat="false" ht="15" hidden="false" customHeight="false" outlineLevel="0" collapsed="false">
      <c r="A312" s="8" t="s">
        <v>1702</v>
      </c>
      <c r="B312" s="8" t="s">
        <v>52</v>
      </c>
      <c r="C312" s="10" t="n">
        <v>45664</v>
      </c>
      <c r="D312" s="8" t="s">
        <v>1560</v>
      </c>
      <c r="E312" s="10" t="n">
        <v>45665</v>
      </c>
      <c r="F312" s="9" t="n">
        <v>1</v>
      </c>
      <c r="G312" s="8" t="s">
        <v>1386</v>
      </c>
    </row>
    <row r="313" customFormat="false" ht="15" hidden="false" customHeight="false" outlineLevel="0" collapsed="false">
      <c r="A313" s="8" t="s">
        <v>1703</v>
      </c>
      <c r="B313" s="8" t="s">
        <v>52</v>
      </c>
      <c r="C313" s="10" t="n">
        <v>45766</v>
      </c>
      <c r="D313" s="8" t="s">
        <v>1377</v>
      </c>
      <c r="E313" s="8"/>
      <c r="F313" s="9"/>
      <c r="G313" s="8"/>
    </row>
    <row r="314" customFormat="false" ht="15" hidden="false" customHeight="false" outlineLevel="0" collapsed="false">
      <c r="A314" s="8" t="s">
        <v>1704</v>
      </c>
      <c r="B314" s="8" t="s">
        <v>154</v>
      </c>
      <c r="C314" s="10" t="n">
        <v>45720</v>
      </c>
      <c r="D314" s="8" t="s">
        <v>1377</v>
      </c>
      <c r="E314" s="8"/>
      <c r="F314" s="9"/>
      <c r="G314" s="8"/>
    </row>
    <row r="315" customFormat="false" ht="15" hidden="false" customHeight="false" outlineLevel="0" collapsed="false">
      <c r="A315" s="8" t="s">
        <v>1705</v>
      </c>
      <c r="B315" s="8" t="s">
        <v>154</v>
      </c>
      <c r="C315" s="10" t="n">
        <v>45926</v>
      </c>
      <c r="D315" s="8" t="s">
        <v>1377</v>
      </c>
      <c r="E315" s="8"/>
      <c r="F315" s="9"/>
      <c r="G315" s="8"/>
    </row>
    <row r="316" customFormat="false" ht="15" hidden="false" customHeight="false" outlineLevel="0" collapsed="false">
      <c r="A316" s="8" t="s">
        <v>1706</v>
      </c>
      <c r="B316" s="8" t="s">
        <v>52</v>
      </c>
      <c r="C316" s="10" t="n">
        <v>46106</v>
      </c>
      <c r="D316" s="8" t="s">
        <v>1377</v>
      </c>
      <c r="E316" s="8"/>
      <c r="F316" s="9"/>
      <c r="G316" s="8"/>
    </row>
    <row r="317" customFormat="false" ht="15" hidden="false" customHeight="false" outlineLevel="0" collapsed="false">
      <c r="A317" s="8" t="s">
        <v>1707</v>
      </c>
      <c r="B317" s="8" t="s">
        <v>262</v>
      </c>
      <c r="C317" s="10" t="n">
        <v>45818</v>
      </c>
      <c r="D317" s="8" t="s">
        <v>1444</v>
      </c>
      <c r="E317" s="10" t="n">
        <v>45821</v>
      </c>
      <c r="F317" s="9" t="n">
        <v>3</v>
      </c>
      <c r="G317" s="8" t="s">
        <v>1382</v>
      </c>
    </row>
    <row r="318" customFormat="false" ht="15" hidden="false" customHeight="false" outlineLevel="0" collapsed="false">
      <c r="A318" s="8" t="s">
        <v>1708</v>
      </c>
      <c r="B318" s="8" t="s">
        <v>166</v>
      </c>
      <c r="C318" s="10" t="n">
        <v>45915</v>
      </c>
      <c r="D318" s="8" t="s">
        <v>1377</v>
      </c>
      <c r="E318" s="8"/>
      <c r="F318" s="9"/>
      <c r="G318" s="8"/>
    </row>
    <row r="319" customFormat="false" ht="15" hidden="false" customHeight="false" outlineLevel="0" collapsed="false">
      <c r="A319" s="8" t="s">
        <v>1709</v>
      </c>
      <c r="B319" s="8" t="s">
        <v>166</v>
      </c>
      <c r="C319" s="10" t="n">
        <v>46017</v>
      </c>
      <c r="D319" s="8" t="s">
        <v>1381</v>
      </c>
      <c r="E319" s="10" t="n">
        <v>46018</v>
      </c>
      <c r="F319" s="9" t="n">
        <v>1</v>
      </c>
      <c r="G319" s="8" t="s">
        <v>1386</v>
      </c>
    </row>
    <row r="320" customFormat="false" ht="15" hidden="false" customHeight="false" outlineLevel="0" collapsed="false">
      <c r="A320" s="8" t="s">
        <v>1710</v>
      </c>
      <c r="B320" s="8" t="s">
        <v>390</v>
      </c>
      <c r="C320" s="10" t="n">
        <v>45781</v>
      </c>
      <c r="D320" s="8" t="s">
        <v>1377</v>
      </c>
      <c r="E320" s="8"/>
      <c r="F320" s="9"/>
      <c r="G320" s="8"/>
    </row>
    <row r="321" customFormat="false" ht="15" hidden="false" customHeight="false" outlineLevel="0" collapsed="false">
      <c r="A321" s="8" t="s">
        <v>1711</v>
      </c>
      <c r="B321" s="8" t="s">
        <v>646</v>
      </c>
      <c r="C321" s="10" t="n">
        <v>46048</v>
      </c>
      <c r="D321" s="8" t="s">
        <v>1377</v>
      </c>
      <c r="E321" s="8"/>
      <c r="F321" s="9"/>
      <c r="G321" s="8"/>
    </row>
    <row r="322" customFormat="false" ht="15" hidden="false" customHeight="false" outlineLevel="0" collapsed="false">
      <c r="A322" s="8" t="s">
        <v>1712</v>
      </c>
      <c r="B322" s="8" t="s">
        <v>650</v>
      </c>
      <c r="C322" s="10" t="n">
        <v>46025</v>
      </c>
      <c r="D322" s="8" t="s">
        <v>1377</v>
      </c>
      <c r="E322" s="8"/>
      <c r="F322" s="9"/>
      <c r="G322" s="8"/>
    </row>
    <row r="323" customFormat="false" ht="15" hidden="false" customHeight="false" outlineLevel="0" collapsed="false">
      <c r="A323" s="8" t="s">
        <v>1713</v>
      </c>
      <c r="B323" s="8" t="s">
        <v>69</v>
      </c>
      <c r="C323" s="10" t="n">
        <v>46104</v>
      </c>
      <c r="D323" s="8" t="s">
        <v>1385</v>
      </c>
      <c r="E323" s="10" t="n">
        <v>46109</v>
      </c>
      <c r="F323" s="9" t="n">
        <v>5</v>
      </c>
      <c r="G323" s="8" t="s">
        <v>1386</v>
      </c>
    </row>
    <row r="324" customFormat="false" ht="15" hidden="false" customHeight="false" outlineLevel="0" collapsed="false">
      <c r="A324" s="8" t="s">
        <v>1714</v>
      </c>
      <c r="B324" s="8" t="s">
        <v>390</v>
      </c>
      <c r="C324" s="10" t="n">
        <v>45887</v>
      </c>
      <c r="D324" s="8" t="s">
        <v>1377</v>
      </c>
      <c r="E324" s="8"/>
      <c r="F324" s="9"/>
      <c r="G324" s="8"/>
    </row>
    <row r="325" customFormat="false" ht="15" hidden="false" customHeight="false" outlineLevel="0" collapsed="false">
      <c r="A325" s="8" t="s">
        <v>1715</v>
      </c>
      <c r="B325" s="8" t="s">
        <v>154</v>
      </c>
      <c r="C325" s="10" t="n">
        <v>46000</v>
      </c>
      <c r="D325" s="8" t="s">
        <v>1520</v>
      </c>
      <c r="E325" s="10" t="n">
        <v>46012</v>
      </c>
      <c r="F325" s="9" t="n">
        <v>12</v>
      </c>
      <c r="G325" s="8" t="s">
        <v>1386</v>
      </c>
    </row>
    <row r="326" customFormat="false" ht="15" hidden="false" customHeight="false" outlineLevel="0" collapsed="false">
      <c r="A326" s="8" t="s">
        <v>1716</v>
      </c>
      <c r="B326" s="8" t="s">
        <v>214</v>
      </c>
      <c r="C326" s="10" t="n">
        <v>45920</v>
      </c>
      <c r="D326" s="8" t="s">
        <v>1377</v>
      </c>
      <c r="E326" s="8"/>
      <c r="F326" s="9"/>
      <c r="G326" s="8"/>
    </row>
    <row r="327" customFormat="false" ht="15" hidden="false" customHeight="false" outlineLevel="0" collapsed="false">
      <c r="A327" s="8" t="s">
        <v>1717</v>
      </c>
      <c r="B327" s="8" t="s">
        <v>69</v>
      </c>
      <c r="C327" s="10" t="n">
        <v>46131</v>
      </c>
      <c r="D327" s="8" t="s">
        <v>1491</v>
      </c>
      <c r="E327" s="10" t="n">
        <v>46221</v>
      </c>
      <c r="F327" s="9" t="n">
        <v>90</v>
      </c>
      <c r="G327" s="8" t="s">
        <v>1386</v>
      </c>
    </row>
    <row r="328" customFormat="false" ht="15" hidden="false" customHeight="false" outlineLevel="0" collapsed="false">
      <c r="A328" s="8" t="s">
        <v>1718</v>
      </c>
      <c r="B328" s="8" t="s">
        <v>394</v>
      </c>
      <c r="C328" s="10" t="n">
        <v>45838</v>
      </c>
      <c r="D328" s="8" t="s">
        <v>1377</v>
      </c>
      <c r="E328" s="8"/>
      <c r="F328" s="9"/>
      <c r="G328" s="8"/>
    </row>
    <row r="329" customFormat="false" ht="15" hidden="false" customHeight="false" outlineLevel="0" collapsed="false">
      <c r="A329" s="8" t="s">
        <v>1719</v>
      </c>
      <c r="B329" s="8" t="s">
        <v>650</v>
      </c>
      <c r="C329" s="10" t="n">
        <v>45976</v>
      </c>
      <c r="D329" s="8" t="s">
        <v>1377</v>
      </c>
      <c r="E329" s="8"/>
      <c r="F329" s="9"/>
      <c r="G329" s="8"/>
    </row>
    <row r="330" customFormat="false" ht="15" hidden="false" customHeight="false" outlineLevel="0" collapsed="false">
      <c r="A330" s="8" t="s">
        <v>1720</v>
      </c>
      <c r="B330" s="8" t="s">
        <v>277</v>
      </c>
      <c r="C330" s="10" t="n">
        <v>45826</v>
      </c>
      <c r="D330" s="8" t="s">
        <v>1377</v>
      </c>
      <c r="E330" s="8"/>
      <c r="F330" s="9"/>
      <c r="G330" s="8"/>
    </row>
    <row r="331" customFormat="false" ht="15" hidden="false" customHeight="false" outlineLevel="0" collapsed="false">
      <c r="A331" s="8" t="s">
        <v>1721</v>
      </c>
      <c r="B331" s="8" t="s">
        <v>262</v>
      </c>
      <c r="C331" s="10" t="n">
        <v>46070</v>
      </c>
      <c r="D331" s="8" t="s">
        <v>1377</v>
      </c>
      <c r="E331" s="8"/>
      <c r="F331" s="9"/>
      <c r="G331" s="8"/>
    </row>
    <row r="332" customFormat="false" ht="15" hidden="false" customHeight="false" outlineLevel="0" collapsed="false">
      <c r="A332" s="8" t="s">
        <v>1722</v>
      </c>
      <c r="B332" s="8" t="s">
        <v>214</v>
      </c>
      <c r="C332" s="10" t="n">
        <v>46116</v>
      </c>
      <c r="D332" s="8" t="s">
        <v>1385</v>
      </c>
      <c r="E332" s="10" t="n">
        <v>46126</v>
      </c>
      <c r="F332" s="9" t="n">
        <v>10</v>
      </c>
      <c r="G332" s="8" t="s">
        <v>1386</v>
      </c>
    </row>
    <row r="333" customFormat="false" ht="15" hidden="false" customHeight="false" outlineLevel="0" collapsed="false">
      <c r="A333" s="8" t="s">
        <v>1723</v>
      </c>
      <c r="B333" s="8" t="s">
        <v>390</v>
      </c>
      <c r="C333" s="10" t="n">
        <v>46132</v>
      </c>
      <c r="D333" s="8" t="s">
        <v>1377</v>
      </c>
      <c r="E333" s="8"/>
      <c r="F333" s="9"/>
      <c r="G333" s="8"/>
    </row>
    <row r="334" customFormat="false" ht="15" hidden="false" customHeight="false" outlineLevel="0" collapsed="false">
      <c r="A334" s="8" t="s">
        <v>1724</v>
      </c>
      <c r="B334" s="8" t="s">
        <v>145</v>
      </c>
      <c r="C334" s="10" t="n">
        <v>45741</v>
      </c>
      <c r="D334" s="8" t="s">
        <v>1377</v>
      </c>
      <c r="E334" s="8"/>
      <c r="F334" s="9"/>
      <c r="G334" s="8"/>
    </row>
    <row r="335" customFormat="false" ht="15" hidden="false" customHeight="false" outlineLevel="0" collapsed="false">
      <c r="A335" s="8" t="s">
        <v>1725</v>
      </c>
      <c r="B335" s="8" t="s">
        <v>394</v>
      </c>
      <c r="C335" s="10" t="n">
        <v>45980</v>
      </c>
      <c r="D335" s="8" t="s">
        <v>1377</v>
      </c>
      <c r="E335" s="8"/>
      <c r="F335" s="9"/>
      <c r="G335" s="8"/>
    </row>
    <row r="336" customFormat="false" ht="15" hidden="false" customHeight="false" outlineLevel="0" collapsed="false">
      <c r="A336" s="8" t="s">
        <v>1726</v>
      </c>
      <c r="B336" s="8" t="s">
        <v>69</v>
      </c>
      <c r="C336" s="10" t="n">
        <v>45794</v>
      </c>
      <c r="D336" s="8" t="s">
        <v>1377</v>
      </c>
      <c r="E336" s="8"/>
      <c r="F336" s="9"/>
      <c r="G336" s="8"/>
    </row>
    <row r="337" customFormat="false" ht="15" hidden="false" customHeight="false" outlineLevel="0" collapsed="false">
      <c r="A337" s="8" t="s">
        <v>1727</v>
      </c>
      <c r="B337" s="8" t="s">
        <v>52</v>
      </c>
      <c r="C337" s="10" t="n">
        <v>46075</v>
      </c>
      <c r="D337" s="8" t="s">
        <v>1412</v>
      </c>
      <c r="E337" s="10" t="n">
        <v>46092</v>
      </c>
      <c r="F337" s="9" t="n">
        <v>17</v>
      </c>
      <c r="G337" s="8" t="s">
        <v>1405</v>
      </c>
    </row>
    <row r="338" customFormat="false" ht="15" hidden="false" customHeight="false" outlineLevel="0" collapsed="false">
      <c r="A338" s="8" t="s">
        <v>1728</v>
      </c>
      <c r="B338" s="8" t="s">
        <v>277</v>
      </c>
      <c r="C338" s="10" t="n">
        <v>46130</v>
      </c>
      <c r="D338" s="8" t="s">
        <v>1377</v>
      </c>
      <c r="E338" s="8"/>
      <c r="F338" s="9"/>
      <c r="G338" s="8"/>
    </row>
    <row r="339" customFormat="false" ht="15" hidden="false" customHeight="false" outlineLevel="0" collapsed="false">
      <c r="A339" s="8" t="s">
        <v>1729</v>
      </c>
      <c r="B339" s="8" t="s">
        <v>323</v>
      </c>
      <c r="C339" s="10" t="n">
        <v>45926</v>
      </c>
      <c r="D339" s="8" t="s">
        <v>1377</v>
      </c>
      <c r="E339" s="8"/>
      <c r="F339" s="9"/>
      <c r="G339" s="8"/>
    </row>
    <row r="340" customFormat="false" ht="15" hidden="false" customHeight="false" outlineLevel="0" collapsed="false">
      <c r="A340" s="8" t="s">
        <v>1730</v>
      </c>
      <c r="B340" s="8" t="s">
        <v>166</v>
      </c>
      <c r="C340" s="10" t="n">
        <v>46134</v>
      </c>
      <c r="D340" s="8" t="s">
        <v>1377</v>
      </c>
      <c r="E340" s="8"/>
      <c r="F340" s="9"/>
      <c r="G340" s="8"/>
    </row>
    <row r="341" customFormat="false" ht="15" hidden="false" customHeight="false" outlineLevel="0" collapsed="false">
      <c r="A341" s="8" t="s">
        <v>1731</v>
      </c>
      <c r="B341" s="8" t="s">
        <v>262</v>
      </c>
      <c r="C341" s="10" t="n">
        <v>45833</v>
      </c>
      <c r="D341" s="8" t="s">
        <v>1377</v>
      </c>
      <c r="E341" s="8"/>
      <c r="F341" s="9"/>
      <c r="G341" s="8"/>
    </row>
    <row r="342" customFormat="false" ht="15" hidden="false" customHeight="false" outlineLevel="0" collapsed="false">
      <c r="A342" s="8" t="s">
        <v>1732</v>
      </c>
      <c r="B342" s="8" t="s">
        <v>69</v>
      </c>
      <c r="C342" s="10" t="n">
        <v>45779</v>
      </c>
      <c r="D342" s="8" t="s">
        <v>1377</v>
      </c>
      <c r="E342" s="8"/>
      <c r="F342" s="9"/>
      <c r="G342" s="8"/>
    </row>
    <row r="343" customFormat="false" ht="15" hidden="false" customHeight="false" outlineLevel="0" collapsed="false">
      <c r="A343" s="8" t="s">
        <v>1733</v>
      </c>
      <c r="B343" s="8" t="s">
        <v>115</v>
      </c>
      <c r="C343" s="10" t="n">
        <v>45959</v>
      </c>
      <c r="D343" s="8" t="s">
        <v>1377</v>
      </c>
      <c r="E343" s="8"/>
      <c r="F343" s="9"/>
      <c r="G343" s="8"/>
    </row>
    <row r="344" customFormat="false" ht="15" hidden="false" customHeight="false" outlineLevel="0" collapsed="false">
      <c r="A344" s="8" t="s">
        <v>1734</v>
      </c>
      <c r="B344" s="8" t="s">
        <v>650</v>
      </c>
      <c r="C344" s="10" t="n">
        <v>45999</v>
      </c>
      <c r="D344" s="8" t="s">
        <v>1377</v>
      </c>
      <c r="E344" s="8"/>
      <c r="F344" s="9"/>
      <c r="G344" s="8"/>
    </row>
    <row r="345" customFormat="false" ht="15" hidden="false" customHeight="false" outlineLevel="0" collapsed="false">
      <c r="A345" s="8" t="s">
        <v>1735</v>
      </c>
      <c r="B345" s="8" t="s">
        <v>154</v>
      </c>
      <c r="C345" s="10" t="n">
        <v>46055</v>
      </c>
      <c r="D345" s="8" t="s">
        <v>1377</v>
      </c>
      <c r="E345" s="8"/>
      <c r="F345" s="9"/>
      <c r="G345" s="8"/>
    </row>
    <row r="346" customFormat="false" ht="15" hidden="false" customHeight="false" outlineLevel="0" collapsed="false">
      <c r="A346" s="8" t="s">
        <v>1736</v>
      </c>
      <c r="B346" s="8" t="s">
        <v>145</v>
      </c>
      <c r="C346" s="10" t="n">
        <v>45957</v>
      </c>
      <c r="D346" s="8" t="s">
        <v>1560</v>
      </c>
      <c r="E346" s="10" t="n">
        <v>45975</v>
      </c>
      <c r="F346" s="9" t="n">
        <v>18</v>
      </c>
      <c r="G346" s="8" t="s">
        <v>1405</v>
      </c>
    </row>
    <row r="347" customFormat="false" ht="15" hidden="false" customHeight="false" outlineLevel="0" collapsed="false">
      <c r="A347" s="8" t="s">
        <v>1737</v>
      </c>
      <c r="B347" s="8" t="s">
        <v>69</v>
      </c>
      <c r="C347" s="10" t="n">
        <v>45756</v>
      </c>
      <c r="D347" s="8" t="s">
        <v>1385</v>
      </c>
      <c r="E347" s="10" t="n">
        <v>45766</v>
      </c>
      <c r="F347" s="9" t="n">
        <v>10</v>
      </c>
      <c r="G347" s="8" t="s">
        <v>1386</v>
      </c>
    </row>
    <row r="348" customFormat="false" ht="15" hidden="false" customHeight="false" outlineLevel="0" collapsed="false">
      <c r="A348" s="8" t="s">
        <v>1738</v>
      </c>
      <c r="B348" s="8" t="s">
        <v>115</v>
      </c>
      <c r="C348" s="10" t="n">
        <v>46056</v>
      </c>
      <c r="D348" s="8" t="s">
        <v>1377</v>
      </c>
      <c r="E348" s="8"/>
      <c r="F348" s="9"/>
      <c r="G348" s="8"/>
    </row>
    <row r="349" customFormat="false" ht="15" hidden="false" customHeight="false" outlineLevel="0" collapsed="false">
      <c r="A349" s="8" t="s">
        <v>1739</v>
      </c>
      <c r="B349" s="8" t="s">
        <v>69</v>
      </c>
      <c r="C349" s="10" t="n">
        <v>45763</v>
      </c>
      <c r="D349" s="8" t="s">
        <v>1377</v>
      </c>
      <c r="E349" s="8"/>
      <c r="F349" s="9"/>
      <c r="G349" s="8"/>
    </row>
    <row r="350" customFormat="false" ht="15" hidden="false" customHeight="false" outlineLevel="0" collapsed="false">
      <c r="A350" s="8" t="s">
        <v>1740</v>
      </c>
      <c r="B350" s="8" t="s">
        <v>214</v>
      </c>
      <c r="C350" s="10" t="n">
        <v>46112</v>
      </c>
      <c r="D350" s="8" t="s">
        <v>1377</v>
      </c>
      <c r="E350" s="8"/>
      <c r="F350" s="9"/>
      <c r="G350" s="8"/>
    </row>
    <row r="351" customFormat="false" ht="15" hidden="false" customHeight="false" outlineLevel="0" collapsed="false">
      <c r="A351" s="8" t="s">
        <v>1741</v>
      </c>
      <c r="B351" s="8" t="s">
        <v>323</v>
      </c>
      <c r="C351" s="10" t="n">
        <v>46160</v>
      </c>
      <c r="D351" s="8" t="s">
        <v>1377</v>
      </c>
      <c r="E351" s="8"/>
      <c r="F351" s="9"/>
      <c r="G351" s="8"/>
    </row>
    <row r="352" customFormat="false" ht="15" hidden="false" customHeight="false" outlineLevel="0" collapsed="false">
      <c r="A352" s="8" t="s">
        <v>1742</v>
      </c>
      <c r="B352" s="8" t="s">
        <v>650</v>
      </c>
      <c r="C352" s="10" t="n">
        <v>45693</v>
      </c>
      <c r="D352" s="8" t="s">
        <v>1385</v>
      </c>
      <c r="E352" s="10" t="n">
        <v>45702</v>
      </c>
      <c r="F352" s="9" t="n">
        <v>9</v>
      </c>
      <c r="G352" s="8" t="s">
        <v>1386</v>
      </c>
    </row>
    <row r="353" customFormat="false" ht="15" hidden="false" customHeight="false" outlineLevel="0" collapsed="false">
      <c r="A353" s="8" t="s">
        <v>1743</v>
      </c>
      <c r="B353" s="8" t="s">
        <v>390</v>
      </c>
      <c r="C353" s="10" t="n">
        <v>45836</v>
      </c>
      <c r="D353" s="8" t="s">
        <v>1377</v>
      </c>
      <c r="E353" s="8"/>
      <c r="F353" s="9"/>
      <c r="G353" s="8"/>
    </row>
    <row r="354" customFormat="false" ht="15" hidden="false" customHeight="false" outlineLevel="0" collapsed="false">
      <c r="A354" s="8" t="s">
        <v>1744</v>
      </c>
      <c r="B354" s="8" t="s">
        <v>166</v>
      </c>
      <c r="C354" s="10" t="n">
        <v>45819</v>
      </c>
      <c r="D354" s="8" t="s">
        <v>1377</v>
      </c>
      <c r="E354" s="8"/>
      <c r="F354" s="9"/>
      <c r="G354" s="8"/>
    </row>
    <row r="355" customFormat="false" ht="15" hidden="false" customHeight="false" outlineLevel="0" collapsed="false">
      <c r="A355" s="8" t="s">
        <v>1745</v>
      </c>
      <c r="B355" s="8" t="s">
        <v>646</v>
      </c>
      <c r="C355" s="10" t="n">
        <v>45818</v>
      </c>
      <c r="D355" s="8" t="s">
        <v>1377</v>
      </c>
      <c r="E355" s="8"/>
      <c r="F355" s="9"/>
      <c r="G355" s="8"/>
    </row>
    <row r="356" customFormat="false" ht="15" hidden="false" customHeight="false" outlineLevel="0" collapsed="false">
      <c r="A356" s="8" t="s">
        <v>1746</v>
      </c>
      <c r="B356" s="8" t="s">
        <v>277</v>
      </c>
      <c r="C356" s="10" t="n">
        <v>45937</v>
      </c>
      <c r="D356" s="8" t="s">
        <v>1377</v>
      </c>
      <c r="E356" s="8"/>
      <c r="F356" s="9"/>
      <c r="G356" s="8"/>
    </row>
    <row r="357" customFormat="false" ht="15" hidden="false" customHeight="false" outlineLevel="0" collapsed="false">
      <c r="A357" s="8" t="s">
        <v>1747</v>
      </c>
      <c r="B357" s="8" t="s">
        <v>262</v>
      </c>
      <c r="C357" s="10" t="n">
        <v>45868</v>
      </c>
      <c r="D357" s="8" t="s">
        <v>1377</v>
      </c>
      <c r="E357" s="8"/>
      <c r="F357" s="9"/>
      <c r="G357" s="8"/>
    </row>
    <row r="358" customFormat="false" ht="15" hidden="false" customHeight="false" outlineLevel="0" collapsed="false">
      <c r="A358" s="8" t="s">
        <v>1748</v>
      </c>
      <c r="B358" s="8" t="s">
        <v>145</v>
      </c>
      <c r="C358" s="10" t="n">
        <v>45687</v>
      </c>
      <c r="D358" s="8" t="s">
        <v>1377</v>
      </c>
      <c r="E358" s="8"/>
      <c r="F358" s="9"/>
      <c r="G358" s="8"/>
    </row>
    <row r="359" customFormat="false" ht="15" hidden="false" customHeight="false" outlineLevel="0" collapsed="false">
      <c r="A359" s="8" t="s">
        <v>1749</v>
      </c>
      <c r="B359" s="8" t="s">
        <v>115</v>
      </c>
      <c r="C359" s="10" t="n">
        <v>45688</v>
      </c>
      <c r="D359" s="8" t="s">
        <v>1377</v>
      </c>
      <c r="E359" s="8"/>
      <c r="F359" s="9"/>
      <c r="G359" s="8"/>
    </row>
    <row r="360" customFormat="false" ht="15" hidden="false" customHeight="false" outlineLevel="0" collapsed="false">
      <c r="A360" s="8" t="s">
        <v>1750</v>
      </c>
      <c r="B360" s="8" t="s">
        <v>394</v>
      </c>
      <c r="C360" s="10" t="n">
        <v>46009</v>
      </c>
      <c r="D360" s="8" t="s">
        <v>1377</v>
      </c>
      <c r="E360" s="8"/>
      <c r="F360" s="9"/>
      <c r="G360" s="8"/>
    </row>
    <row r="361" customFormat="false" ht="15" hidden="false" customHeight="false" outlineLevel="0" collapsed="false">
      <c r="A361" s="8" t="s">
        <v>1751</v>
      </c>
      <c r="B361" s="8" t="s">
        <v>115</v>
      </c>
      <c r="C361" s="10" t="n">
        <v>45960</v>
      </c>
      <c r="D361" s="8" t="s">
        <v>1377</v>
      </c>
      <c r="E361" s="8"/>
      <c r="F361" s="9"/>
      <c r="G361" s="8"/>
    </row>
    <row r="362" customFormat="false" ht="15" hidden="false" customHeight="false" outlineLevel="0" collapsed="false">
      <c r="A362" s="8" t="s">
        <v>1752</v>
      </c>
      <c r="B362" s="8" t="s">
        <v>262</v>
      </c>
      <c r="C362" s="10" t="n">
        <v>45718</v>
      </c>
      <c r="D362" s="8" t="s">
        <v>1377</v>
      </c>
      <c r="E362" s="8"/>
      <c r="F362" s="9"/>
      <c r="G362" s="8"/>
    </row>
    <row r="363" customFormat="false" ht="15" hidden="false" customHeight="false" outlineLevel="0" collapsed="false">
      <c r="A363" s="8" t="s">
        <v>1753</v>
      </c>
      <c r="B363" s="8" t="s">
        <v>52</v>
      </c>
      <c r="C363" s="10" t="n">
        <v>45851</v>
      </c>
      <c r="D363" s="8" t="s">
        <v>1377</v>
      </c>
      <c r="E363" s="8"/>
      <c r="F363" s="9"/>
      <c r="G363" s="8"/>
    </row>
    <row r="364" customFormat="false" ht="15" hidden="false" customHeight="false" outlineLevel="0" collapsed="false">
      <c r="A364" s="8" t="s">
        <v>1754</v>
      </c>
      <c r="B364" s="8" t="s">
        <v>166</v>
      </c>
      <c r="C364" s="10" t="n">
        <v>45724</v>
      </c>
      <c r="D364" s="8" t="s">
        <v>1377</v>
      </c>
      <c r="E364" s="8"/>
      <c r="F364" s="9"/>
      <c r="G364" s="8"/>
    </row>
    <row r="365" customFormat="false" ht="15" hidden="false" customHeight="false" outlineLevel="0" collapsed="false">
      <c r="A365" s="8" t="s">
        <v>1755</v>
      </c>
      <c r="B365" s="8" t="s">
        <v>69</v>
      </c>
      <c r="C365" s="10" t="n">
        <v>45871</v>
      </c>
      <c r="D365" s="8" t="s">
        <v>1385</v>
      </c>
      <c r="E365" s="10" t="n">
        <v>45878</v>
      </c>
      <c r="F365" s="9" t="n">
        <v>7</v>
      </c>
      <c r="G365" s="8" t="s">
        <v>1386</v>
      </c>
    </row>
    <row r="366" customFormat="false" ht="15" hidden="false" customHeight="false" outlineLevel="0" collapsed="false">
      <c r="A366" s="8" t="s">
        <v>1756</v>
      </c>
      <c r="B366" s="8" t="s">
        <v>145</v>
      </c>
      <c r="C366" s="10" t="n">
        <v>46173</v>
      </c>
      <c r="D366" s="8" t="s">
        <v>1377</v>
      </c>
      <c r="E366" s="8"/>
      <c r="F366" s="9"/>
      <c r="G366" s="8"/>
    </row>
    <row r="367" customFormat="false" ht="15" hidden="false" customHeight="false" outlineLevel="0" collapsed="false">
      <c r="A367" s="8" t="s">
        <v>1757</v>
      </c>
      <c r="B367" s="8" t="s">
        <v>323</v>
      </c>
      <c r="C367" s="10" t="n">
        <v>45663</v>
      </c>
      <c r="D367" s="8" t="s">
        <v>1572</v>
      </c>
      <c r="E367" s="10" t="n">
        <v>45725</v>
      </c>
      <c r="F367" s="9" t="n">
        <v>62</v>
      </c>
      <c r="G367" s="8" t="s">
        <v>1386</v>
      </c>
    </row>
    <row r="368" customFormat="false" ht="15" hidden="false" customHeight="false" outlineLevel="0" collapsed="false">
      <c r="A368" s="8" t="s">
        <v>1758</v>
      </c>
      <c r="B368" s="8" t="s">
        <v>214</v>
      </c>
      <c r="C368" s="10" t="n">
        <v>45804</v>
      </c>
      <c r="D368" s="8" t="s">
        <v>1377</v>
      </c>
      <c r="E368" s="8"/>
      <c r="F368" s="9"/>
      <c r="G368" s="8"/>
    </row>
    <row r="369" customFormat="false" ht="15" hidden="false" customHeight="false" outlineLevel="0" collapsed="false">
      <c r="A369" s="8" t="s">
        <v>1759</v>
      </c>
      <c r="B369" s="8" t="s">
        <v>650</v>
      </c>
      <c r="C369" s="10" t="n">
        <v>45802</v>
      </c>
      <c r="D369" s="8" t="s">
        <v>1377</v>
      </c>
      <c r="E369" s="8"/>
      <c r="F369" s="9"/>
      <c r="G369" s="8"/>
    </row>
    <row r="370" customFormat="false" ht="15" hidden="false" customHeight="false" outlineLevel="0" collapsed="false">
      <c r="A370" s="8" t="s">
        <v>1760</v>
      </c>
      <c r="B370" s="8" t="s">
        <v>52</v>
      </c>
      <c r="C370" s="10" t="n">
        <v>45926</v>
      </c>
      <c r="D370" s="8" t="s">
        <v>1377</v>
      </c>
      <c r="E370" s="8"/>
      <c r="F370" s="9"/>
      <c r="G370" s="8"/>
    </row>
    <row r="371" customFormat="false" ht="15" hidden="false" customHeight="false" outlineLevel="0" collapsed="false">
      <c r="A371" s="8" t="s">
        <v>1761</v>
      </c>
      <c r="B371" s="8" t="s">
        <v>323</v>
      </c>
      <c r="C371" s="10" t="n">
        <v>46059</v>
      </c>
      <c r="D371" s="8" t="s">
        <v>1377</v>
      </c>
      <c r="E371" s="8"/>
      <c r="F371" s="9"/>
      <c r="G371" s="8"/>
    </row>
    <row r="372" customFormat="false" ht="15" hidden="false" customHeight="false" outlineLevel="0" collapsed="false">
      <c r="A372" s="8" t="s">
        <v>1762</v>
      </c>
      <c r="B372" s="8" t="s">
        <v>166</v>
      </c>
      <c r="C372" s="10" t="n">
        <v>46148</v>
      </c>
      <c r="D372" s="8" t="s">
        <v>1381</v>
      </c>
      <c r="E372" s="10" t="n">
        <v>46154</v>
      </c>
      <c r="F372" s="9" t="n">
        <v>6</v>
      </c>
      <c r="G372" s="8" t="s">
        <v>1382</v>
      </c>
    </row>
    <row r="373" customFormat="false" ht="15" hidden="false" customHeight="false" outlineLevel="0" collapsed="false">
      <c r="A373" s="8" t="s">
        <v>1763</v>
      </c>
      <c r="B373" s="8" t="s">
        <v>214</v>
      </c>
      <c r="C373" s="10" t="n">
        <v>45839</v>
      </c>
      <c r="D373" s="8" t="s">
        <v>1377</v>
      </c>
      <c r="E373" s="8"/>
      <c r="F373" s="9"/>
      <c r="G373" s="8"/>
    </row>
    <row r="374" customFormat="false" ht="15" hidden="false" customHeight="false" outlineLevel="0" collapsed="false">
      <c r="A374" s="8" t="s">
        <v>1764</v>
      </c>
      <c r="B374" s="8" t="s">
        <v>115</v>
      </c>
      <c r="C374" s="10" t="n">
        <v>46116</v>
      </c>
      <c r="D374" s="8" t="s">
        <v>1377</v>
      </c>
      <c r="E374" s="8"/>
      <c r="F374" s="9"/>
      <c r="G374" s="8"/>
    </row>
    <row r="375" customFormat="false" ht="15" hidden="false" customHeight="false" outlineLevel="0" collapsed="false">
      <c r="A375" s="8" t="s">
        <v>1765</v>
      </c>
      <c r="B375" s="8" t="s">
        <v>115</v>
      </c>
      <c r="C375" s="10" t="n">
        <v>45680</v>
      </c>
      <c r="D375" s="8" t="s">
        <v>1381</v>
      </c>
      <c r="E375" s="10" t="n">
        <v>45696</v>
      </c>
      <c r="F375" s="9" t="n">
        <v>16</v>
      </c>
      <c r="G375" s="8" t="s">
        <v>1386</v>
      </c>
    </row>
    <row r="376" customFormat="false" ht="15" hidden="false" customHeight="false" outlineLevel="0" collapsed="false">
      <c r="A376" s="8" t="s">
        <v>1766</v>
      </c>
      <c r="B376" s="8" t="s">
        <v>394</v>
      </c>
      <c r="C376" s="10" t="n">
        <v>45988</v>
      </c>
      <c r="D376" s="8" t="s">
        <v>1377</v>
      </c>
      <c r="E376" s="8"/>
      <c r="F376" s="9"/>
      <c r="G376" s="8"/>
    </row>
    <row r="377" customFormat="false" ht="15" hidden="false" customHeight="false" outlineLevel="0" collapsed="false">
      <c r="A377" s="8" t="s">
        <v>1767</v>
      </c>
      <c r="B377" s="8" t="s">
        <v>323</v>
      </c>
      <c r="C377" s="10" t="n">
        <v>45935</v>
      </c>
      <c r="D377" s="8" t="s">
        <v>1377</v>
      </c>
      <c r="E377" s="8"/>
      <c r="F377" s="9"/>
      <c r="G377" s="8"/>
    </row>
    <row r="378" customFormat="false" ht="15" hidden="false" customHeight="false" outlineLevel="0" collapsed="false">
      <c r="A378" s="8" t="s">
        <v>1768</v>
      </c>
      <c r="B378" s="8" t="s">
        <v>277</v>
      </c>
      <c r="C378" s="10" t="n">
        <v>45886</v>
      </c>
      <c r="D378" s="8" t="s">
        <v>1377</v>
      </c>
      <c r="E378" s="8"/>
      <c r="F378" s="9"/>
      <c r="G378" s="8"/>
    </row>
    <row r="379" customFormat="false" ht="15" hidden="false" customHeight="false" outlineLevel="0" collapsed="false">
      <c r="A379" s="8" t="s">
        <v>1769</v>
      </c>
      <c r="B379" s="8" t="s">
        <v>154</v>
      </c>
      <c r="C379" s="10" t="n">
        <v>45907</v>
      </c>
      <c r="D379" s="8" t="s">
        <v>1520</v>
      </c>
      <c r="E379" s="10" t="n">
        <v>45914</v>
      </c>
      <c r="F379" s="9" t="n">
        <v>7</v>
      </c>
      <c r="G379" s="8" t="s">
        <v>1405</v>
      </c>
    </row>
    <row r="380" customFormat="false" ht="15" hidden="false" customHeight="false" outlineLevel="0" collapsed="false">
      <c r="A380" s="8" t="s">
        <v>1770</v>
      </c>
      <c r="B380" s="8" t="s">
        <v>277</v>
      </c>
      <c r="C380" s="10" t="n">
        <v>45664</v>
      </c>
      <c r="D380" s="8" t="s">
        <v>1377</v>
      </c>
      <c r="E380" s="8"/>
      <c r="F380" s="9"/>
      <c r="G380" s="8"/>
    </row>
    <row r="381" customFormat="false" ht="15" hidden="false" customHeight="false" outlineLevel="0" collapsed="false">
      <c r="A381" s="8" t="s">
        <v>1771</v>
      </c>
      <c r="B381" s="8" t="s">
        <v>650</v>
      </c>
      <c r="C381" s="10" t="n">
        <v>45761</v>
      </c>
      <c r="D381" s="8" t="s">
        <v>1377</v>
      </c>
      <c r="E381" s="8"/>
      <c r="F381" s="9"/>
      <c r="G381" s="8"/>
    </row>
    <row r="382" customFormat="false" ht="15" hidden="false" customHeight="false" outlineLevel="0" collapsed="false">
      <c r="A382" s="8" t="s">
        <v>1772</v>
      </c>
      <c r="B382" s="8" t="s">
        <v>650</v>
      </c>
      <c r="C382" s="10" t="n">
        <v>45705</v>
      </c>
      <c r="D382" s="8" t="s">
        <v>1377</v>
      </c>
      <c r="E382" s="8"/>
      <c r="F382" s="9"/>
      <c r="G382" s="8"/>
    </row>
    <row r="383" customFormat="false" ht="15" hidden="false" customHeight="false" outlineLevel="0" collapsed="false">
      <c r="A383" s="8" t="s">
        <v>1773</v>
      </c>
      <c r="B383" s="8" t="s">
        <v>650</v>
      </c>
      <c r="C383" s="10" t="n">
        <v>46023</v>
      </c>
      <c r="D383" s="8" t="s">
        <v>1377</v>
      </c>
      <c r="E383" s="8"/>
      <c r="F383" s="9"/>
      <c r="G383" s="8"/>
    </row>
    <row r="384" customFormat="false" ht="15" hidden="false" customHeight="false" outlineLevel="0" collapsed="false">
      <c r="A384" s="8" t="s">
        <v>1774</v>
      </c>
      <c r="B384" s="8" t="s">
        <v>52</v>
      </c>
      <c r="C384" s="10" t="n">
        <v>45785</v>
      </c>
      <c r="D384" s="8" t="s">
        <v>1377</v>
      </c>
      <c r="E384" s="8"/>
      <c r="F384" s="9"/>
      <c r="G384" s="8"/>
    </row>
    <row r="385" customFormat="false" ht="15" hidden="false" customHeight="false" outlineLevel="0" collapsed="false">
      <c r="A385" s="8" t="s">
        <v>1775</v>
      </c>
      <c r="B385" s="8" t="s">
        <v>166</v>
      </c>
      <c r="C385" s="10" t="n">
        <v>46142</v>
      </c>
      <c r="D385" s="8" t="s">
        <v>1377</v>
      </c>
      <c r="E385" s="8"/>
      <c r="F385" s="9"/>
      <c r="G385" s="8"/>
    </row>
    <row r="386" customFormat="false" ht="15" hidden="false" customHeight="false" outlineLevel="0" collapsed="false">
      <c r="A386" s="8" t="s">
        <v>1776</v>
      </c>
      <c r="B386" s="8" t="s">
        <v>646</v>
      </c>
      <c r="C386" s="10" t="n">
        <v>45820</v>
      </c>
      <c r="D386" s="8" t="s">
        <v>1444</v>
      </c>
      <c r="E386" s="10" t="n">
        <v>45830</v>
      </c>
      <c r="F386" s="9" t="n">
        <v>10</v>
      </c>
      <c r="G386" s="8" t="s">
        <v>1386</v>
      </c>
    </row>
    <row r="387" customFormat="false" ht="15" hidden="false" customHeight="false" outlineLevel="0" collapsed="false">
      <c r="A387" s="8" t="s">
        <v>1777</v>
      </c>
      <c r="B387" s="8" t="s">
        <v>166</v>
      </c>
      <c r="C387" s="10" t="n">
        <v>45859</v>
      </c>
      <c r="D387" s="8" t="s">
        <v>1377</v>
      </c>
      <c r="E387" s="8"/>
      <c r="F387" s="9"/>
      <c r="G387" s="8"/>
    </row>
    <row r="388" customFormat="false" ht="15" hidden="false" customHeight="false" outlineLevel="0" collapsed="false">
      <c r="A388" s="8" t="s">
        <v>1778</v>
      </c>
      <c r="B388" s="8" t="s">
        <v>69</v>
      </c>
      <c r="C388" s="10" t="n">
        <v>45716</v>
      </c>
      <c r="D388" s="8" t="s">
        <v>1377</v>
      </c>
      <c r="E388" s="8"/>
      <c r="F388" s="9"/>
      <c r="G388" s="8"/>
    </row>
    <row r="389" customFormat="false" ht="15" hidden="false" customHeight="false" outlineLevel="0" collapsed="false">
      <c r="A389" s="8" t="s">
        <v>1779</v>
      </c>
      <c r="B389" s="8" t="s">
        <v>394</v>
      </c>
      <c r="C389" s="10" t="n">
        <v>45945</v>
      </c>
      <c r="D389" s="8" t="s">
        <v>1377</v>
      </c>
      <c r="E389" s="8"/>
      <c r="F389" s="9"/>
      <c r="G389" s="8"/>
    </row>
    <row r="390" customFormat="false" ht="15" hidden="false" customHeight="false" outlineLevel="0" collapsed="false">
      <c r="A390" s="8" t="s">
        <v>1780</v>
      </c>
      <c r="B390" s="8" t="s">
        <v>154</v>
      </c>
      <c r="C390" s="10" t="n">
        <v>45886</v>
      </c>
      <c r="D390" s="8" t="s">
        <v>1377</v>
      </c>
      <c r="E390" s="8"/>
      <c r="F390" s="9"/>
      <c r="G390" s="8"/>
    </row>
    <row r="391" customFormat="false" ht="15" hidden="false" customHeight="false" outlineLevel="0" collapsed="false">
      <c r="A391" s="8" t="s">
        <v>1781</v>
      </c>
      <c r="B391" s="8" t="s">
        <v>323</v>
      </c>
      <c r="C391" s="10" t="n">
        <v>45863</v>
      </c>
      <c r="D391" s="8" t="s">
        <v>1385</v>
      </c>
      <c r="E391" s="10" t="n">
        <v>45869</v>
      </c>
      <c r="F391" s="9" t="n">
        <v>6</v>
      </c>
      <c r="G391" s="8" t="s">
        <v>1386</v>
      </c>
    </row>
    <row r="392" customFormat="false" ht="15" hidden="false" customHeight="false" outlineLevel="0" collapsed="false">
      <c r="A392" s="8" t="s">
        <v>1782</v>
      </c>
      <c r="B392" s="8" t="s">
        <v>262</v>
      </c>
      <c r="C392" s="10" t="n">
        <v>46155</v>
      </c>
      <c r="D392" s="8" t="s">
        <v>1377</v>
      </c>
      <c r="E392" s="8"/>
      <c r="F392" s="9"/>
      <c r="G392" s="8"/>
    </row>
    <row r="393" customFormat="false" ht="15" hidden="false" customHeight="false" outlineLevel="0" collapsed="false">
      <c r="A393" s="8" t="s">
        <v>1783</v>
      </c>
      <c r="B393" s="8" t="s">
        <v>390</v>
      </c>
      <c r="C393" s="10" t="n">
        <v>46110</v>
      </c>
      <c r="D393" s="8" t="s">
        <v>1377</v>
      </c>
      <c r="E393" s="8"/>
      <c r="F393" s="9"/>
      <c r="G393" s="8"/>
    </row>
    <row r="394" customFormat="false" ht="15" hidden="false" customHeight="false" outlineLevel="0" collapsed="false">
      <c r="A394" s="8" t="s">
        <v>1784</v>
      </c>
      <c r="B394" s="8" t="s">
        <v>262</v>
      </c>
      <c r="C394" s="10" t="n">
        <v>46037</v>
      </c>
      <c r="D394" s="8" t="s">
        <v>1377</v>
      </c>
      <c r="E394" s="8"/>
      <c r="F394" s="9"/>
      <c r="G394" s="8"/>
    </row>
    <row r="395" customFormat="false" ht="15" hidden="false" customHeight="false" outlineLevel="0" collapsed="false">
      <c r="A395" s="8" t="s">
        <v>1785</v>
      </c>
      <c r="B395" s="8" t="s">
        <v>52</v>
      </c>
      <c r="C395" s="10" t="n">
        <v>45675</v>
      </c>
      <c r="D395" s="8" t="s">
        <v>1412</v>
      </c>
      <c r="E395" s="10" t="n">
        <v>45677</v>
      </c>
      <c r="F395" s="9" t="n">
        <v>2</v>
      </c>
      <c r="G395" s="8" t="s">
        <v>1386</v>
      </c>
    </row>
    <row r="396" customFormat="false" ht="15" hidden="false" customHeight="false" outlineLevel="0" collapsed="false">
      <c r="A396" s="8" t="s">
        <v>1786</v>
      </c>
      <c r="B396" s="8" t="s">
        <v>69</v>
      </c>
      <c r="C396" s="10" t="n">
        <v>46116</v>
      </c>
      <c r="D396" s="8" t="s">
        <v>1377</v>
      </c>
      <c r="E396" s="8"/>
      <c r="F396" s="9"/>
      <c r="G396" s="8"/>
    </row>
    <row r="397" customFormat="false" ht="15" hidden="false" customHeight="false" outlineLevel="0" collapsed="false">
      <c r="A397" s="8" t="s">
        <v>1787</v>
      </c>
      <c r="B397" s="8" t="s">
        <v>646</v>
      </c>
      <c r="C397" s="10" t="n">
        <v>46158</v>
      </c>
      <c r="D397" s="8" t="s">
        <v>1444</v>
      </c>
      <c r="E397" s="10" t="n">
        <v>46161</v>
      </c>
      <c r="F397" s="9" t="n">
        <v>3</v>
      </c>
      <c r="G397" s="8" t="s">
        <v>1386</v>
      </c>
    </row>
    <row r="398" customFormat="false" ht="15" hidden="false" customHeight="false" outlineLevel="0" collapsed="false">
      <c r="A398" s="8" t="s">
        <v>1788</v>
      </c>
      <c r="B398" s="8" t="s">
        <v>69</v>
      </c>
      <c r="C398" s="10" t="n">
        <v>45801</v>
      </c>
      <c r="D398" s="8" t="s">
        <v>1491</v>
      </c>
      <c r="E398" s="10" t="n">
        <v>45814</v>
      </c>
      <c r="F398" s="9" t="n">
        <v>13</v>
      </c>
      <c r="G398" s="8" t="s">
        <v>1386</v>
      </c>
    </row>
    <row r="399" customFormat="false" ht="15" hidden="false" customHeight="false" outlineLevel="0" collapsed="false">
      <c r="A399" s="8" t="s">
        <v>1789</v>
      </c>
      <c r="B399" s="8" t="s">
        <v>166</v>
      </c>
      <c r="C399" s="10" t="n">
        <v>46156</v>
      </c>
      <c r="D399" s="8" t="s">
        <v>1404</v>
      </c>
      <c r="E399" s="10" t="n">
        <v>46166</v>
      </c>
      <c r="F399" s="9" t="n">
        <v>10</v>
      </c>
      <c r="G399" s="8" t="s">
        <v>1386</v>
      </c>
    </row>
    <row r="400" customFormat="false" ht="15" hidden="false" customHeight="false" outlineLevel="0" collapsed="false">
      <c r="A400" s="8" t="s">
        <v>1790</v>
      </c>
      <c r="B400" s="8" t="s">
        <v>646</v>
      </c>
      <c r="C400" s="10" t="n">
        <v>46116</v>
      </c>
      <c r="D400" s="8" t="s">
        <v>1377</v>
      </c>
      <c r="E400" s="8"/>
      <c r="F400" s="9"/>
      <c r="G400" s="8"/>
    </row>
    <row r="401" customFormat="false" ht="15" hidden="false" customHeight="false" outlineLevel="0" collapsed="false">
      <c r="A401" s="8" t="s">
        <v>1791</v>
      </c>
      <c r="B401" s="8" t="s">
        <v>115</v>
      </c>
      <c r="C401" s="10" t="n">
        <v>46092</v>
      </c>
      <c r="D401" s="8" t="s">
        <v>1397</v>
      </c>
      <c r="E401" s="10" t="n">
        <v>46162</v>
      </c>
      <c r="F401" s="9" t="n">
        <v>70</v>
      </c>
      <c r="G401" s="8" t="s">
        <v>1382</v>
      </c>
    </row>
    <row r="402" customFormat="false" ht="15" hidden="false" customHeight="false" outlineLevel="0" collapsed="false">
      <c r="A402" s="8" t="s">
        <v>1792</v>
      </c>
      <c r="B402" s="8" t="s">
        <v>277</v>
      </c>
      <c r="C402" s="10" t="n">
        <v>45813</v>
      </c>
      <c r="D402" s="8" t="s">
        <v>1377</v>
      </c>
      <c r="E402" s="8"/>
      <c r="F402" s="9"/>
      <c r="G402" s="8"/>
    </row>
    <row r="403" customFormat="false" ht="15" hidden="false" customHeight="false" outlineLevel="0" collapsed="false">
      <c r="A403" s="8" t="s">
        <v>1793</v>
      </c>
      <c r="B403" s="8" t="s">
        <v>394</v>
      </c>
      <c r="C403" s="10" t="n">
        <v>45695</v>
      </c>
      <c r="D403" s="8" t="s">
        <v>1377</v>
      </c>
      <c r="E403" s="8"/>
      <c r="F403" s="9"/>
      <c r="G403" s="8"/>
    </row>
    <row r="404" customFormat="false" ht="15" hidden="false" customHeight="false" outlineLevel="0" collapsed="false">
      <c r="A404" s="8" t="s">
        <v>1794</v>
      </c>
      <c r="B404" s="8" t="s">
        <v>262</v>
      </c>
      <c r="C404" s="10" t="n">
        <v>45892</v>
      </c>
      <c r="D404" s="8" t="s">
        <v>1377</v>
      </c>
      <c r="E404" s="8"/>
      <c r="F404" s="9"/>
      <c r="G404" s="8"/>
    </row>
    <row r="405" customFormat="false" ht="15" hidden="false" customHeight="false" outlineLevel="0" collapsed="false">
      <c r="A405" s="8" t="s">
        <v>1795</v>
      </c>
      <c r="B405" s="8" t="s">
        <v>69</v>
      </c>
      <c r="C405" s="10" t="n">
        <v>45665</v>
      </c>
      <c r="D405" s="8" t="s">
        <v>1377</v>
      </c>
      <c r="E405" s="8"/>
      <c r="F405" s="9"/>
      <c r="G405" s="8"/>
    </row>
    <row r="406" customFormat="false" ht="15" hidden="false" customHeight="false" outlineLevel="0" collapsed="false">
      <c r="A406" s="8" t="s">
        <v>1796</v>
      </c>
      <c r="B406" s="8" t="s">
        <v>650</v>
      </c>
      <c r="C406" s="10" t="n">
        <v>46015</v>
      </c>
      <c r="D406" s="8" t="s">
        <v>1377</v>
      </c>
      <c r="E406" s="8"/>
      <c r="F406" s="9"/>
      <c r="G406" s="8"/>
    </row>
    <row r="407" customFormat="false" ht="15" hidden="false" customHeight="false" outlineLevel="0" collapsed="false">
      <c r="A407" s="8" t="s">
        <v>1797</v>
      </c>
      <c r="B407" s="8" t="s">
        <v>154</v>
      </c>
      <c r="C407" s="10" t="n">
        <v>45696</v>
      </c>
      <c r="D407" s="8" t="s">
        <v>1377</v>
      </c>
      <c r="E407" s="8"/>
      <c r="F407" s="9"/>
      <c r="G407" s="8"/>
    </row>
    <row r="408" customFormat="false" ht="15" hidden="false" customHeight="false" outlineLevel="0" collapsed="false">
      <c r="A408" s="8" t="s">
        <v>1798</v>
      </c>
      <c r="B408" s="8" t="s">
        <v>214</v>
      </c>
      <c r="C408" s="10" t="n">
        <v>45795</v>
      </c>
      <c r="D408" s="8" t="s">
        <v>1560</v>
      </c>
      <c r="E408" s="10" t="n">
        <v>45854</v>
      </c>
      <c r="F408" s="9" t="n">
        <v>59</v>
      </c>
      <c r="G408" s="8" t="s">
        <v>1386</v>
      </c>
    </row>
    <row r="409" customFormat="false" ht="15" hidden="false" customHeight="false" outlineLevel="0" collapsed="false">
      <c r="A409" s="8" t="s">
        <v>1799</v>
      </c>
      <c r="B409" s="8" t="s">
        <v>52</v>
      </c>
      <c r="C409" s="10" t="n">
        <v>46050</v>
      </c>
      <c r="D409" s="8" t="s">
        <v>1377</v>
      </c>
      <c r="E409" s="8"/>
      <c r="F409" s="9"/>
      <c r="G409" s="8"/>
    </row>
    <row r="410" customFormat="false" ht="15" hidden="false" customHeight="false" outlineLevel="0" collapsed="false">
      <c r="A410" s="8" t="s">
        <v>1800</v>
      </c>
      <c r="B410" s="8" t="s">
        <v>277</v>
      </c>
      <c r="C410" s="10" t="n">
        <v>46109</v>
      </c>
      <c r="D410" s="8" t="s">
        <v>1616</v>
      </c>
      <c r="E410" s="10" t="n">
        <v>46115</v>
      </c>
      <c r="F410" s="9" t="n">
        <v>6</v>
      </c>
      <c r="G410" s="8" t="s">
        <v>1386</v>
      </c>
    </row>
    <row r="411" customFormat="false" ht="15" hidden="false" customHeight="false" outlineLevel="0" collapsed="false">
      <c r="A411" s="8" t="s">
        <v>1801</v>
      </c>
      <c r="B411" s="8" t="s">
        <v>214</v>
      </c>
      <c r="C411" s="10" t="n">
        <v>45768</v>
      </c>
      <c r="D411" s="8" t="s">
        <v>1381</v>
      </c>
      <c r="E411" s="10" t="n">
        <v>45769</v>
      </c>
      <c r="F411" s="9" t="n">
        <v>1</v>
      </c>
      <c r="G411" s="8" t="s">
        <v>1386</v>
      </c>
    </row>
    <row r="412" customFormat="false" ht="15" hidden="false" customHeight="false" outlineLevel="0" collapsed="false">
      <c r="A412" s="8" t="s">
        <v>1802</v>
      </c>
      <c r="B412" s="8" t="s">
        <v>277</v>
      </c>
      <c r="C412" s="10" t="n">
        <v>45961</v>
      </c>
      <c r="D412" s="8" t="s">
        <v>1377</v>
      </c>
      <c r="E412" s="8"/>
      <c r="F412" s="9"/>
      <c r="G412" s="8"/>
    </row>
    <row r="413" customFormat="false" ht="15" hidden="false" customHeight="false" outlineLevel="0" collapsed="false">
      <c r="A413" s="8" t="s">
        <v>1803</v>
      </c>
      <c r="B413" s="8" t="s">
        <v>323</v>
      </c>
      <c r="C413" s="10" t="n">
        <v>45944</v>
      </c>
      <c r="D413" s="8" t="s">
        <v>1377</v>
      </c>
      <c r="E413" s="8"/>
      <c r="F413" s="9"/>
      <c r="G413" s="8"/>
    </row>
    <row r="414" customFormat="false" ht="15" hidden="false" customHeight="false" outlineLevel="0" collapsed="false">
      <c r="A414" s="8" t="s">
        <v>1804</v>
      </c>
      <c r="B414" s="8" t="s">
        <v>277</v>
      </c>
      <c r="C414" s="10" t="n">
        <v>46101</v>
      </c>
      <c r="D414" s="8" t="s">
        <v>1377</v>
      </c>
      <c r="E414" s="8"/>
      <c r="F414" s="9"/>
      <c r="G414" s="8"/>
    </row>
    <row r="415" customFormat="false" ht="15" hidden="false" customHeight="false" outlineLevel="0" collapsed="false">
      <c r="A415" s="8" t="s">
        <v>1805</v>
      </c>
      <c r="B415" s="8" t="s">
        <v>650</v>
      </c>
      <c r="C415" s="10" t="n">
        <v>45866</v>
      </c>
      <c r="D415" s="8" t="s">
        <v>1377</v>
      </c>
      <c r="E415" s="8"/>
      <c r="F415" s="9"/>
      <c r="G415" s="8"/>
    </row>
    <row r="416" customFormat="false" ht="15" hidden="false" customHeight="false" outlineLevel="0" collapsed="false">
      <c r="A416" s="8" t="s">
        <v>1806</v>
      </c>
      <c r="B416" s="8" t="s">
        <v>69</v>
      </c>
      <c r="C416" s="10" t="n">
        <v>46035</v>
      </c>
      <c r="D416" s="8" t="s">
        <v>1377</v>
      </c>
      <c r="E416" s="8"/>
      <c r="F416" s="9"/>
      <c r="G416" s="8"/>
    </row>
    <row r="417" customFormat="false" ht="15" hidden="false" customHeight="false" outlineLevel="0" collapsed="false">
      <c r="A417" s="8" t="s">
        <v>1807</v>
      </c>
      <c r="B417" s="8" t="s">
        <v>646</v>
      </c>
      <c r="C417" s="10" t="n">
        <v>45997</v>
      </c>
      <c r="D417" s="8" t="s">
        <v>1377</v>
      </c>
      <c r="E417" s="8"/>
      <c r="F417" s="9"/>
      <c r="G417" s="8"/>
    </row>
    <row r="418" customFormat="false" ht="15" hidden="false" customHeight="false" outlineLevel="0" collapsed="false">
      <c r="A418" s="8" t="s">
        <v>1808</v>
      </c>
      <c r="B418" s="8" t="s">
        <v>394</v>
      </c>
      <c r="C418" s="10" t="n">
        <v>45951</v>
      </c>
      <c r="D418" s="8" t="s">
        <v>1377</v>
      </c>
      <c r="E418" s="8"/>
      <c r="F418" s="9"/>
      <c r="G418" s="8"/>
    </row>
    <row r="419" customFormat="false" ht="15" hidden="false" customHeight="false" outlineLevel="0" collapsed="false">
      <c r="A419" s="8" t="s">
        <v>1809</v>
      </c>
      <c r="B419" s="8" t="s">
        <v>52</v>
      </c>
      <c r="C419" s="10" t="n">
        <v>45780</v>
      </c>
      <c r="D419" s="8" t="s">
        <v>1377</v>
      </c>
      <c r="E419" s="8"/>
      <c r="F419" s="9"/>
      <c r="G419" s="8"/>
    </row>
    <row r="420" customFormat="false" ht="15" hidden="false" customHeight="false" outlineLevel="0" collapsed="false">
      <c r="A420" s="8" t="s">
        <v>1810</v>
      </c>
      <c r="B420" s="8" t="s">
        <v>145</v>
      </c>
      <c r="C420" s="10" t="n">
        <v>46008</v>
      </c>
      <c r="D420" s="8" t="s">
        <v>1377</v>
      </c>
      <c r="E420" s="8"/>
      <c r="F420" s="9"/>
      <c r="G420" s="8"/>
    </row>
    <row r="421" customFormat="false" ht="15" hidden="false" customHeight="false" outlineLevel="0" collapsed="false">
      <c r="A421" s="8" t="s">
        <v>1811</v>
      </c>
      <c r="B421" s="8" t="s">
        <v>69</v>
      </c>
      <c r="C421" s="10" t="n">
        <v>45698</v>
      </c>
      <c r="D421" s="8" t="s">
        <v>1377</v>
      </c>
      <c r="E421" s="8"/>
      <c r="F421" s="9"/>
      <c r="G421" s="8"/>
    </row>
    <row r="422" customFormat="false" ht="15" hidden="false" customHeight="false" outlineLevel="0" collapsed="false">
      <c r="A422" s="8" t="s">
        <v>1812</v>
      </c>
      <c r="B422" s="8" t="s">
        <v>166</v>
      </c>
      <c r="C422" s="10" t="n">
        <v>46165</v>
      </c>
      <c r="D422" s="8" t="s">
        <v>1434</v>
      </c>
      <c r="E422" s="10" t="n">
        <v>46186</v>
      </c>
      <c r="F422" s="9" t="n">
        <v>21</v>
      </c>
      <c r="G422" s="8" t="s">
        <v>1382</v>
      </c>
    </row>
    <row r="423" customFormat="false" ht="15" hidden="false" customHeight="false" outlineLevel="0" collapsed="false">
      <c r="A423" s="8" t="s">
        <v>1813</v>
      </c>
      <c r="B423" s="8" t="s">
        <v>262</v>
      </c>
      <c r="C423" s="10" t="n">
        <v>46109</v>
      </c>
      <c r="D423" s="8" t="s">
        <v>1377</v>
      </c>
      <c r="E423" s="8"/>
      <c r="F423" s="9"/>
      <c r="G423" s="8"/>
    </row>
    <row r="424" customFormat="false" ht="15" hidden="false" customHeight="false" outlineLevel="0" collapsed="false">
      <c r="A424" s="8" t="s">
        <v>1814</v>
      </c>
      <c r="B424" s="8" t="s">
        <v>277</v>
      </c>
      <c r="C424" s="10" t="n">
        <v>45951</v>
      </c>
      <c r="D424" s="8" t="s">
        <v>1377</v>
      </c>
      <c r="E424" s="8"/>
      <c r="F424" s="9"/>
      <c r="G424" s="8"/>
    </row>
    <row r="425" customFormat="false" ht="15" hidden="false" customHeight="false" outlineLevel="0" collapsed="false">
      <c r="A425" s="8" t="s">
        <v>1815</v>
      </c>
      <c r="B425" s="8" t="s">
        <v>390</v>
      </c>
      <c r="C425" s="10" t="n">
        <v>45780</v>
      </c>
      <c r="D425" s="8" t="s">
        <v>1397</v>
      </c>
      <c r="E425" s="10" t="n">
        <v>45855</v>
      </c>
      <c r="F425" s="9" t="n">
        <v>75</v>
      </c>
      <c r="G425" s="8" t="s">
        <v>1386</v>
      </c>
    </row>
    <row r="426" customFormat="false" ht="15" hidden="false" customHeight="false" outlineLevel="0" collapsed="false">
      <c r="A426" s="8" t="s">
        <v>1816</v>
      </c>
      <c r="B426" s="8" t="s">
        <v>390</v>
      </c>
      <c r="C426" s="10" t="n">
        <v>46124</v>
      </c>
      <c r="D426" s="8" t="s">
        <v>1377</v>
      </c>
      <c r="E426" s="8"/>
      <c r="F426" s="9"/>
      <c r="G426" s="8"/>
    </row>
    <row r="427" customFormat="false" ht="15" hidden="false" customHeight="false" outlineLevel="0" collapsed="false">
      <c r="A427" s="8" t="s">
        <v>1817</v>
      </c>
      <c r="B427" s="8" t="s">
        <v>145</v>
      </c>
      <c r="C427" s="10" t="n">
        <v>45833</v>
      </c>
      <c r="D427" s="8" t="s">
        <v>1377</v>
      </c>
      <c r="E427" s="8"/>
      <c r="F427" s="9"/>
      <c r="G427" s="8"/>
    </row>
    <row r="428" customFormat="false" ht="15" hidden="false" customHeight="false" outlineLevel="0" collapsed="false">
      <c r="A428" s="8" t="s">
        <v>1818</v>
      </c>
      <c r="B428" s="8" t="s">
        <v>262</v>
      </c>
      <c r="C428" s="10" t="n">
        <v>46076</v>
      </c>
      <c r="D428" s="8" t="s">
        <v>1377</v>
      </c>
      <c r="E428" s="8"/>
      <c r="F428" s="9"/>
      <c r="G428" s="8"/>
    </row>
    <row r="429" customFormat="false" ht="15" hidden="false" customHeight="false" outlineLevel="0" collapsed="false">
      <c r="A429" s="8" t="s">
        <v>1819</v>
      </c>
      <c r="B429" s="8" t="s">
        <v>115</v>
      </c>
      <c r="C429" s="10" t="n">
        <v>45755</v>
      </c>
      <c r="D429" s="8" t="s">
        <v>1377</v>
      </c>
      <c r="E429" s="8"/>
      <c r="F429" s="9"/>
      <c r="G429" s="8"/>
    </row>
    <row r="430" customFormat="false" ht="15" hidden="false" customHeight="false" outlineLevel="0" collapsed="false">
      <c r="A430" s="8" t="s">
        <v>1820</v>
      </c>
      <c r="B430" s="8" t="s">
        <v>323</v>
      </c>
      <c r="C430" s="10" t="n">
        <v>46036</v>
      </c>
      <c r="D430" s="8" t="s">
        <v>1377</v>
      </c>
      <c r="E430" s="8"/>
      <c r="F430" s="9"/>
      <c r="G430" s="8"/>
    </row>
    <row r="431" customFormat="false" ht="15" hidden="false" customHeight="false" outlineLevel="0" collapsed="false">
      <c r="A431" s="8" t="s">
        <v>1821</v>
      </c>
      <c r="B431" s="8" t="s">
        <v>154</v>
      </c>
      <c r="C431" s="10" t="n">
        <v>45752</v>
      </c>
      <c r="D431" s="8" t="s">
        <v>1377</v>
      </c>
      <c r="E431" s="8"/>
      <c r="F431" s="9"/>
      <c r="G431" s="8"/>
    </row>
    <row r="432" customFormat="false" ht="15" hidden="false" customHeight="false" outlineLevel="0" collapsed="false">
      <c r="A432" s="8" t="s">
        <v>1822</v>
      </c>
      <c r="B432" s="8" t="s">
        <v>52</v>
      </c>
      <c r="C432" s="10" t="n">
        <v>45659</v>
      </c>
      <c r="D432" s="8" t="s">
        <v>1377</v>
      </c>
      <c r="E432" s="8"/>
      <c r="F432" s="9"/>
      <c r="G432" s="8"/>
    </row>
    <row r="433" customFormat="false" ht="15" hidden="false" customHeight="false" outlineLevel="0" collapsed="false">
      <c r="A433" s="8" t="s">
        <v>1823</v>
      </c>
      <c r="B433" s="8" t="s">
        <v>323</v>
      </c>
      <c r="C433" s="10" t="n">
        <v>45989</v>
      </c>
      <c r="D433" s="8" t="s">
        <v>1377</v>
      </c>
      <c r="E433" s="8"/>
      <c r="F433" s="9"/>
      <c r="G433" s="8"/>
    </row>
    <row r="434" customFormat="false" ht="15" hidden="false" customHeight="false" outlineLevel="0" collapsed="false">
      <c r="A434" s="8" t="s">
        <v>1824</v>
      </c>
      <c r="B434" s="8" t="s">
        <v>154</v>
      </c>
      <c r="C434" s="10" t="n">
        <v>46083</v>
      </c>
      <c r="D434" s="8" t="s">
        <v>1377</v>
      </c>
      <c r="E434" s="8"/>
      <c r="F434" s="9"/>
      <c r="G434" s="8"/>
    </row>
    <row r="435" customFormat="false" ht="15" hidden="false" customHeight="false" outlineLevel="0" collapsed="false">
      <c r="A435" s="8" t="s">
        <v>1825</v>
      </c>
      <c r="B435" s="8" t="s">
        <v>650</v>
      </c>
      <c r="C435" s="10" t="n">
        <v>45794</v>
      </c>
      <c r="D435" s="8" t="s">
        <v>1377</v>
      </c>
      <c r="E435" s="8"/>
      <c r="F435" s="9"/>
      <c r="G435" s="8"/>
    </row>
    <row r="436" customFormat="false" ht="15" hidden="false" customHeight="false" outlineLevel="0" collapsed="false">
      <c r="A436" s="8" t="s">
        <v>1826</v>
      </c>
      <c r="B436" s="8" t="s">
        <v>323</v>
      </c>
      <c r="C436" s="10" t="n">
        <v>45946</v>
      </c>
      <c r="D436" s="8" t="s">
        <v>1377</v>
      </c>
      <c r="E436" s="8"/>
      <c r="F436" s="9"/>
      <c r="G436" s="8"/>
    </row>
    <row r="437" customFormat="false" ht="15" hidden="false" customHeight="false" outlineLevel="0" collapsed="false">
      <c r="A437" s="8" t="s">
        <v>1827</v>
      </c>
      <c r="B437" s="8" t="s">
        <v>262</v>
      </c>
      <c r="C437" s="10" t="n">
        <v>45941</v>
      </c>
      <c r="D437" s="8" t="s">
        <v>1377</v>
      </c>
      <c r="E437" s="8"/>
      <c r="F437" s="9"/>
      <c r="G437" s="8"/>
    </row>
    <row r="438" customFormat="false" ht="15" hidden="false" customHeight="false" outlineLevel="0" collapsed="false">
      <c r="A438" s="8" t="s">
        <v>1828</v>
      </c>
      <c r="B438" s="8" t="s">
        <v>262</v>
      </c>
      <c r="C438" s="10" t="n">
        <v>45681</v>
      </c>
      <c r="D438" s="8" t="s">
        <v>1377</v>
      </c>
      <c r="E438" s="8"/>
      <c r="F438" s="9"/>
      <c r="G438" s="8"/>
    </row>
    <row r="439" customFormat="false" ht="15" hidden="false" customHeight="false" outlineLevel="0" collapsed="false">
      <c r="A439" s="8" t="s">
        <v>1829</v>
      </c>
      <c r="B439" s="8" t="s">
        <v>214</v>
      </c>
      <c r="C439" s="10" t="n">
        <v>46129</v>
      </c>
      <c r="D439" s="8" t="s">
        <v>1377</v>
      </c>
      <c r="E439" s="8"/>
      <c r="F439" s="9"/>
      <c r="G439" s="8"/>
    </row>
    <row r="440" customFormat="false" ht="15" hidden="false" customHeight="false" outlineLevel="0" collapsed="false">
      <c r="A440" s="8" t="s">
        <v>1830</v>
      </c>
      <c r="B440" s="8" t="s">
        <v>69</v>
      </c>
      <c r="C440" s="10" t="n">
        <v>45945</v>
      </c>
      <c r="D440" s="8" t="s">
        <v>1377</v>
      </c>
      <c r="E440" s="8"/>
      <c r="F440" s="9"/>
      <c r="G440" s="8"/>
    </row>
    <row r="441" customFormat="false" ht="15" hidden="false" customHeight="false" outlineLevel="0" collapsed="false">
      <c r="A441" s="8" t="s">
        <v>1831</v>
      </c>
      <c r="B441" s="8" t="s">
        <v>390</v>
      </c>
      <c r="C441" s="10" t="n">
        <v>45860</v>
      </c>
      <c r="D441" s="8" t="s">
        <v>1377</v>
      </c>
      <c r="E441" s="8"/>
      <c r="F441" s="9"/>
      <c r="G441" s="8"/>
    </row>
    <row r="442" customFormat="false" ht="15" hidden="false" customHeight="false" outlineLevel="0" collapsed="false">
      <c r="A442" s="8" t="s">
        <v>1832</v>
      </c>
      <c r="B442" s="8" t="s">
        <v>214</v>
      </c>
      <c r="C442" s="10" t="n">
        <v>46159</v>
      </c>
      <c r="D442" s="8" t="s">
        <v>1377</v>
      </c>
      <c r="E442" s="8"/>
      <c r="F442" s="9"/>
      <c r="G442" s="8"/>
    </row>
    <row r="443" customFormat="false" ht="15" hidden="false" customHeight="false" outlineLevel="0" collapsed="false">
      <c r="A443" s="8" t="s">
        <v>1833</v>
      </c>
      <c r="B443" s="8" t="s">
        <v>145</v>
      </c>
      <c r="C443" s="10" t="n">
        <v>46140</v>
      </c>
      <c r="D443" s="8" t="s">
        <v>1377</v>
      </c>
      <c r="E443" s="8"/>
      <c r="F443" s="9"/>
      <c r="G443" s="8"/>
    </row>
    <row r="444" customFormat="false" ht="15" hidden="false" customHeight="false" outlineLevel="0" collapsed="false">
      <c r="A444" s="8" t="s">
        <v>1834</v>
      </c>
      <c r="B444" s="8" t="s">
        <v>52</v>
      </c>
      <c r="C444" s="10" t="n">
        <v>46002</v>
      </c>
      <c r="D444" s="8" t="s">
        <v>1377</v>
      </c>
      <c r="E444" s="8"/>
      <c r="F444" s="9"/>
      <c r="G444" s="8"/>
    </row>
    <row r="445" customFormat="false" ht="15" hidden="false" customHeight="false" outlineLevel="0" collapsed="false">
      <c r="A445" s="8" t="s">
        <v>1835</v>
      </c>
      <c r="B445" s="8" t="s">
        <v>323</v>
      </c>
      <c r="C445" s="10" t="n">
        <v>45803</v>
      </c>
      <c r="D445" s="8" t="s">
        <v>1377</v>
      </c>
      <c r="E445" s="8"/>
      <c r="F445" s="9"/>
      <c r="G445" s="8"/>
    </row>
    <row r="446" customFormat="false" ht="15" hidden="false" customHeight="false" outlineLevel="0" collapsed="false">
      <c r="A446" s="8" t="s">
        <v>1836</v>
      </c>
      <c r="B446" s="8" t="s">
        <v>115</v>
      </c>
      <c r="C446" s="10" t="n">
        <v>45846</v>
      </c>
      <c r="D446" s="8" t="s">
        <v>1377</v>
      </c>
      <c r="E446" s="8"/>
      <c r="F446" s="9"/>
      <c r="G446" s="8"/>
    </row>
    <row r="447" customFormat="false" ht="15" hidden="false" customHeight="false" outlineLevel="0" collapsed="false">
      <c r="A447" s="8" t="s">
        <v>1837</v>
      </c>
      <c r="B447" s="8" t="s">
        <v>646</v>
      </c>
      <c r="C447" s="10" t="n">
        <v>45775</v>
      </c>
      <c r="D447" s="8" t="s">
        <v>1377</v>
      </c>
      <c r="E447" s="8"/>
      <c r="F447" s="9"/>
      <c r="G447" s="8"/>
    </row>
    <row r="448" customFormat="false" ht="15" hidden="false" customHeight="false" outlineLevel="0" collapsed="false">
      <c r="A448" s="8" t="s">
        <v>1838</v>
      </c>
      <c r="B448" s="8" t="s">
        <v>69</v>
      </c>
      <c r="C448" s="10" t="n">
        <v>46079</v>
      </c>
      <c r="D448" s="8" t="s">
        <v>1377</v>
      </c>
      <c r="E448" s="8"/>
      <c r="F448" s="9"/>
      <c r="G448" s="8"/>
    </row>
    <row r="449" customFormat="false" ht="15" hidden="false" customHeight="false" outlineLevel="0" collapsed="false">
      <c r="A449" s="8" t="s">
        <v>1839</v>
      </c>
      <c r="B449" s="8" t="s">
        <v>277</v>
      </c>
      <c r="C449" s="10" t="n">
        <v>46074</v>
      </c>
      <c r="D449" s="8" t="s">
        <v>1377</v>
      </c>
      <c r="E449" s="8"/>
      <c r="F449" s="9"/>
      <c r="G449" s="8"/>
    </row>
    <row r="450" customFormat="false" ht="15" hidden="false" customHeight="false" outlineLevel="0" collapsed="false">
      <c r="A450" s="8" t="s">
        <v>1840</v>
      </c>
      <c r="B450" s="8" t="s">
        <v>69</v>
      </c>
      <c r="C450" s="10" t="n">
        <v>46140</v>
      </c>
      <c r="D450" s="8" t="s">
        <v>1377</v>
      </c>
      <c r="E450" s="8"/>
      <c r="F450" s="9"/>
      <c r="G450" s="8"/>
    </row>
    <row r="451" customFormat="false" ht="15" hidden="false" customHeight="false" outlineLevel="0" collapsed="false">
      <c r="A451" s="8" t="s">
        <v>1841</v>
      </c>
      <c r="B451" s="8" t="s">
        <v>394</v>
      </c>
      <c r="C451" s="10" t="n">
        <v>45930</v>
      </c>
      <c r="D451" s="8" t="s">
        <v>1377</v>
      </c>
      <c r="E451" s="8"/>
      <c r="F451" s="9"/>
      <c r="G451" s="8"/>
    </row>
    <row r="452" customFormat="false" ht="15" hidden="false" customHeight="false" outlineLevel="0" collapsed="false">
      <c r="A452" s="8" t="s">
        <v>1842</v>
      </c>
      <c r="B452" s="8" t="s">
        <v>154</v>
      </c>
      <c r="C452" s="10" t="n">
        <v>46099</v>
      </c>
      <c r="D452" s="8" t="s">
        <v>1377</v>
      </c>
      <c r="E452" s="8"/>
      <c r="F452" s="9"/>
      <c r="G452" s="8"/>
    </row>
    <row r="453" customFormat="false" ht="15" hidden="false" customHeight="false" outlineLevel="0" collapsed="false">
      <c r="A453" s="8" t="s">
        <v>1843</v>
      </c>
      <c r="B453" s="8" t="s">
        <v>277</v>
      </c>
      <c r="C453" s="10" t="n">
        <v>45698</v>
      </c>
      <c r="D453" s="8" t="s">
        <v>1377</v>
      </c>
      <c r="E453" s="8"/>
      <c r="F453" s="9"/>
      <c r="G453" s="8"/>
    </row>
    <row r="454" customFormat="false" ht="15" hidden="false" customHeight="false" outlineLevel="0" collapsed="false">
      <c r="A454" s="8" t="s">
        <v>1844</v>
      </c>
      <c r="B454" s="8" t="s">
        <v>323</v>
      </c>
      <c r="C454" s="10" t="n">
        <v>46102</v>
      </c>
      <c r="D454" s="8" t="s">
        <v>1377</v>
      </c>
      <c r="E454" s="8"/>
      <c r="F454" s="9"/>
      <c r="G454" s="8"/>
    </row>
    <row r="455" customFormat="false" ht="15" hidden="false" customHeight="false" outlineLevel="0" collapsed="false">
      <c r="A455" s="8" t="s">
        <v>1845</v>
      </c>
      <c r="B455" s="8" t="s">
        <v>52</v>
      </c>
      <c r="C455" s="10" t="n">
        <v>46128</v>
      </c>
      <c r="D455" s="8" t="s">
        <v>1560</v>
      </c>
      <c r="E455" s="10" t="n">
        <v>46129</v>
      </c>
      <c r="F455" s="9" t="n">
        <v>1</v>
      </c>
      <c r="G455" s="8" t="s">
        <v>1382</v>
      </c>
    </row>
    <row r="456" customFormat="false" ht="15" hidden="false" customHeight="false" outlineLevel="0" collapsed="false">
      <c r="A456" s="8" t="s">
        <v>1846</v>
      </c>
      <c r="B456" s="8" t="s">
        <v>394</v>
      </c>
      <c r="C456" s="10" t="n">
        <v>45788</v>
      </c>
      <c r="D456" s="8" t="s">
        <v>1377</v>
      </c>
      <c r="E456" s="8"/>
      <c r="F456" s="9"/>
      <c r="G456" s="8"/>
    </row>
    <row r="457" customFormat="false" ht="15" hidden="false" customHeight="false" outlineLevel="0" collapsed="false">
      <c r="A457" s="8" t="s">
        <v>1847</v>
      </c>
      <c r="B457" s="8" t="s">
        <v>154</v>
      </c>
      <c r="C457" s="10" t="n">
        <v>45852</v>
      </c>
      <c r="D457" s="8" t="s">
        <v>1377</v>
      </c>
      <c r="E457" s="8"/>
      <c r="F457" s="9"/>
      <c r="G457" s="8"/>
    </row>
    <row r="458" customFormat="false" ht="15" hidden="false" customHeight="false" outlineLevel="0" collapsed="false">
      <c r="A458" s="8" t="s">
        <v>1848</v>
      </c>
      <c r="B458" s="8" t="s">
        <v>323</v>
      </c>
      <c r="C458" s="10" t="n">
        <v>46091</v>
      </c>
      <c r="D458" s="8" t="s">
        <v>1377</v>
      </c>
      <c r="E458" s="8"/>
      <c r="F458" s="9"/>
      <c r="G458" s="8"/>
    </row>
    <row r="459" customFormat="false" ht="15" hidden="false" customHeight="false" outlineLevel="0" collapsed="false">
      <c r="A459" s="8" t="s">
        <v>1849</v>
      </c>
      <c r="B459" s="8" t="s">
        <v>390</v>
      </c>
      <c r="C459" s="10" t="n">
        <v>45685</v>
      </c>
      <c r="D459" s="8" t="s">
        <v>1377</v>
      </c>
      <c r="E459" s="8"/>
      <c r="F459" s="9"/>
      <c r="G459" s="8"/>
    </row>
    <row r="460" customFormat="false" ht="15" hidden="false" customHeight="false" outlineLevel="0" collapsed="false">
      <c r="A460" s="8" t="s">
        <v>1850</v>
      </c>
      <c r="B460" s="8" t="s">
        <v>390</v>
      </c>
      <c r="C460" s="10" t="n">
        <v>45867</v>
      </c>
      <c r="D460" s="8" t="s">
        <v>1377</v>
      </c>
      <c r="E460" s="8"/>
      <c r="F460" s="9"/>
      <c r="G460" s="8"/>
    </row>
    <row r="461" customFormat="false" ht="15" hidden="false" customHeight="false" outlineLevel="0" collapsed="false">
      <c r="A461" s="8" t="s">
        <v>1851</v>
      </c>
      <c r="B461" s="8" t="s">
        <v>154</v>
      </c>
      <c r="C461" s="10" t="n">
        <v>45703</v>
      </c>
      <c r="D461" s="8" t="s">
        <v>1385</v>
      </c>
      <c r="E461" s="10" t="n">
        <v>45709</v>
      </c>
      <c r="F461" s="9" t="n">
        <v>6</v>
      </c>
      <c r="G461" s="8" t="s">
        <v>1386</v>
      </c>
    </row>
    <row r="462" customFormat="false" ht="15" hidden="false" customHeight="false" outlineLevel="0" collapsed="false">
      <c r="A462" s="8" t="s">
        <v>1852</v>
      </c>
      <c r="B462" s="8" t="s">
        <v>277</v>
      </c>
      <c r="C462" s="10" t="n">
        <v>45927</v>
      </c>
      <c r="D462" s="8" t="s">
        <v>1377</v>
      </c>
      <c r="E462" s="8"/>
      <c r="F462" s="9"/>
      <c r="G462" s="8"/>
    </row>
    <row r="463" customFormat="false" ht="15" hidden="false" customHeight="false" outlineLevel="0" collapsed="false">
      <c r="A463" s="8" t="s">
        <v>1853</v>
      </c>
      <c r="B463" s="8" t="s">
        <v>390</v>
      </c>
      <c r="C463" s="10" t="n">
        <v>45718</v>
      </c>
      <c r="D463" s="8" t="s">
        <v>1377</v>
      </c>
      <c r="E463" s="8"/>
      <c r="F463" s="9"/>
      <c r="G463" s="8"/>
    </row>
    <row r="464" customFormat="false" ht="15" hidden="false" customHeight="false" outlineLevel="0" collapsed="false">
      <c r="A464" s="8" t="s">
        <v>1854</v>
      </c>
      <c r="B464" s="8" t="s">
        <v>214</v>
      </c>
      <c r="C464" s="10" t="n">
        <v>45689</v>
      </c>
      <c r="D464" s="8" t="s">
        <v>1377</v>
      </c>
      <c r="E464" s="8"/>
      <c r="F464" s="9"/>
      <c r="G464" s="8"/>
    </row>
    <row r="465" customFormat="false" ht="15" hidden="false" customHeight="false" outlineLevel="0" collapsed="false">
      <c r="A465" s="8" t="s">
        <v>1855</v>
      </c>
      <c r="B465" s="8" t="s">
        <v>646</v>
      </c>
      <c r="C465" s="10" t="n">
        <v>45658</v>
      </c>
      <c r="D465" s="8" t="s">
        <v>1377</v>
      </c>
      <c r="E465" s="8"/>
      <c r="F465" s="9"/>
      <c r="G465" s="8"/>
    </row>
    <row r="466" customFormat="false" ht="15" hidden="false" customHeight="false" outlineLevel="0" collapsed="false">
      <c r="A466" s="8" t="s">
        <v>1856</v>
      </c>
      <c r="B466" s="8" t="s">
        <v>390</v>
      </c>
      <c r="C466" s="10" t="n">
        <v>45911</v>
      </c>
      <c r="D466" s="8" t="s">
        <v>1377</v>
      </c>
      <c r="E466" s="8"/>
      <c r="F466" s="9"/>
      <c r="G466" s="8"/>
    </row>
    <row r="467" customFormat="false" ht="15" hidden="false" customHeight="false" outlineLevel="0" collapsed="false">
      <c r="A467" s="8" t="s">
        <v>1857</v>
      </c>
      <c r="B467" s="8" t="s">
        <v>646</v>
      </c>
      <c r="C467" s="10" t="n">
        <v>45797</v>
      </c>
      <c r="D467" s="8" t="s">
        <v>1377</v>
      </c>
      <c r="E467" s="8"/>
      <c r="F467" s="9"/>
      <c r="G467" s="8"/>
    </row>
    <row r="468" customFormat="false" ht="15" hidden="false" customHeight="false" outlineLevel="0" collapsed="false">
      <c r="A468" s="8" t="s">
        <v>1858</v>
      </c>
      <c r="B468" s="8" t="s">
        <v>323</v>
      </c>
      <c r="C468" s="10" t="n">
        <v>45711</v>
      </c>
      <c r="D468" s="8" t="s">
        <v>1377</v>
      </c>
      <c r="E468" s="8"/>
      <c r="F468" s="9"/>
      <c r="G468" s="8"/>
    </row>
    <row r="469" customFormat="false" ht="15" hidden="false" customHeight="false" outlineLevel="0" collapsed="false">
      <c r="A469" s="8" t="s">
        <v>1859</v>
      </c>
      <c r="B469" s="8" t="s">
        <v>145</v>
      </c>
      <c r="C469" s="10" t="n">
        <v>46034</v>
      </c>
      <c r="D469" s="8" t="s">
        <v>1377</v>
      </c>
      <c r="E469" s="8"/>
      <c r="F469" s="9"/>
      <c r="G469" s="8"/>
    </row>
    <row r="470" customFormat="false" ht="15" hidden="false" customHeight="false" outlineLevel="0" collapsed="false">
      <c r="A470" s="8" t="s">
        <v>1860</v>
      </c>
      <c r="B470" s="8" t="s">
        <v>145</v>
      </c>
      <c r="C470" s="10" t="n">
        <v>45835</v>
      </c>
      <c r="D470" s="8" t="s">
        <v>1377</v>
      </c>
      <c r="E470" s="8"/>
      <c r="F470" s="9"/>
      <c r="G470" s="8"/>
    </row>
    <row r="471" customFormat="false" ht="15" hidden="false" customHeight="false" outlineLevel="0" collapsed="false">
      <c r="A471" s="8" t="s">
        <v>1861</v>
      </c>
      <c r="B471" s="8" t="s">
        <v>115</v>
      </c>
      <c r="C471" s="10" t="n">
        <v>46121</v>
      </c>
      <c r="D471" s="8" t="s">
        <v>1377</v>
      </c>
      <c r="E471" s="8"/>
      <c r="F471" s="9"/>
      <c r="G471" s="8"/>
    </row>
    <row r="472" customFormat="false" ht="15" hidden="false" customHeight="false" outlineLevel="0" collapsed="false">
      <c r="A472" s="8" t="s">
        <v>1862</v>
      </c>
      <c r="B472" s="8" t="s">
        <v>154</v>
      </c>
      <c r="C472" s="10" t="n">
        <v>45698</v>
      </c>
      <c r="D472" s="8" t="s">
        <v>1385</v>
      </c>
      <c r="E472" s="10" t="n">
        <v>45699</v>
      </c>
      <c r="F472" s="9" t="n">
        <v>1</v>
      </c>
      <c r="G472" s="8"/>
    </row>
    <row r="473" customFormat="false" ht="15" hidden="false" customHeight="false" outlineLevel="0" collapsed="false">
      <c r="A473" s="8" t="s">
        <v>1863</v>
      </c>
      <c r="B473" s="8" t="s">
        <v>154</v>
      </c>
      <c r="C473" s="10" t="n">
        <v>45954</v>
      </c>
      <c r="D473" s="8" t="s">
        <v>1385</v>
      </c>
      <c r="E473" s="10" t="n">
        <v>45958</v>
      </c>
      <c r="F473" s="9" t="n">
        <v>4</v>
      </c>
      <c r="G473" s="8" t="s">
        <v>1386</v>
      </c>
    </row>
    <row r="474" customFormat="false" ht="15" hidden="false" customHeight="false" outlineLevel="0" collapsed="false">
      <c r="A474" s="8" t="s">
        <v>1864</v>
      </c>
      <c r="B474" s="8" t="s">
        <v>154</v>
      </c>
      <c r="C474" s="10" t="n">
        <v>45814</v>
      </c>
      <c r="D474" s="8" t="s">
        <v>1377</v>
      </c>
      <c r="E474" s="8"/>
      <c r="F474" s="9"/>
      <c r="G474" s="8"/>
    </row>
    <row r="475" customFormat="false" ht="15" hidden="false" customHeight="false" outlineLevel="0" collapsed="false">
      <c r="A475" s="8" t="s">
        <v>1865</v>
      </c>
      <c r="B475" s="8" t="s">
        <v>390</v>
      </c>
      <c r="C475" s="10" t="n">
        <v>46008</v>
      </c>
      <c r="D475" s="8" t="s">
        <v>1377</v>
      </c>
      <c r="E475" s="8"/>
      <c r="F475" s="9"/>
      <c r="G475" s="8"/>
    </row>
    <row r="476" customFormat="false" ht="15" hidden="false" customHeight="false" outlineLevel="0" collapsed="false">
      <c r="A476" s="8" t="s">
        <v>1866</v>
      </c>
      <c r="B476" s="8" t="s">
        <v>650</v>
      </c>
      <c r="C476" s="10" t="n">
        <v>45880</v>
      </c>
      <c r="D476" s="8" t="s">
        <v>1385</v>
      </c>
      <c r="E476" s="10" t="n">
        <v>45892</v>
      </c>
      <c r="F476" s="9" t="n">
        <v>12</v>
      </c>
      <c r="G476" s="8" t="s">
        <v>1386</v>
      </c>
    </row>
    <row r="477" customFormat="false" ht="15" hidden="false" customHeight="false" outlineLevel="0" collapsed="false">
      <c r="A477" s="8" t="s">
        <v>1867</v>
      </c>
      <c r="B477" s="8" t="s">
        <v>323</v>
      </c>
      <c r="C477" s="10" t="n">
        <v>46100</v>
      </c>
      <c r="D477" s="8" t="s">
        <v>1377</v>
      </c>
      <c r="E477" s="8"/>
      <c r="F477" s="9"/>
      <c r="G477" s="8"/>
    </row>
    <row r="478" customFormat="false" ht="15" hidden="false" customHeight="false" outlineLevel="0" collapsed="false">
      <c r="A478" s="8" t="s">
        <v>1868</v>
      </c>
      <c r="B478" s="8" t="s">
        <v>277</v>
      </c>
      <c r="C478" s="10" t="n">
        <v>45793</v>
      </c>
      <c r="D478" s="8" t="s">
        <v>1377</v>
      </c>
      <c r="E478" s="8"/>
      <c r="F478" s="9"/>
      <c r="G478" s="8"/>
    </row>
    <row r="479" customFormat="false" ht="15" hidden="false" customHeight="false" outlineLevel="0" collapsed="false">
      <c r="A479" s="8" t="s">
        <v>1869</v>
      </c>
      <c r="B479" s="8" t="s">
        <v>52</v>
      </c>
      <c r="C479" s="10" t="n">
        <v>45829</v>
      </c>
      <c r="D479" s="8" t="s">
        <v>1377</v>
      </c>
      <c r="E479" s="8"/>
      <c r="F479" s="9"/>
      <c r="G479" s="8"/>
    </row>
    <row r="480" customFormat="false" ht="15" hidden="false" customHeight="false" outlineLevel="0" collapsed="false">
      <c r="A480" s="8" t="s">
        <v>1870</v>
      </c>
      <c r="B480" s="8" t="s">
        <v>262</v>
      </c>
      <c r="C480" s="10" t="n">
        <v>46062</v>
      </c>
      <c r="D480" s="8" t="s">
        <v>1377</v>
      </c>
      <c r="E480" s="8"/>
      <c r="F480" s="9"/>
      <c r="G480" s="8"/>
    </row>
    <row r="481" customFormat="false" ht="15" hidden="false" customHeight="false" outlineLevel="0" collapsed="false">
      <c r="A481" s="8" t="s">
        <v>1871</v>
      </c>
      <c r="B481" s="8" t="s">
        <v>145</v>
      </c>
      <c r="C481" s="10" t="n">
        <v>46148</v>
      </c>
      <c r="D481" s="8" t="s">
        <v>1377</v>
      </c>
      <c r="E481" s="8"/>
      <c r="F481" s="9"/>
      <c r="G481" s="8"/>
    </row>
    <row r="482" customFormat="false" ht="15" hidden="false" customHeight="false" outlineLevel="0" collapsed="false">
      <c r="A482" s="8" t="s">
        <v>1872</v>
      </c>
      <c r="B482" s="8" t="s">
        <v>646</v>
      </c>
      <c r="C482" s="10" t="n">
        <v>45712</v>
      </c>
      <c r="D482" s="8" t="s">
        <v>1397</v>
      </c>
      <c r="E482" s="10" t="n">
        <v>45717</v>
      </c>
      <c r="F482" s="9" t="n">
        <v>5</v>
      </c>
      <c r="G482" s="8" t="s">
        <v>1386</v>
      </c>
    </row>
    <row r="483" customFormat="false" ht="15" hidden="false" customHeight="false" outlineLevel="0" collapsed="false">
      <c r="A483" s="8" t="s">
        <v>1873</v>
      </c>
      <c r="B483" s="8" t="s">
        <v>650</v>
      </c>
      <c r="C483" s="10" t="n">
        <v>45799</v>
      </c>
      <c r="D483" s="8" t="s">
        <v>1377</v>
      </c>
      <c r="E483" s="8"/>
      <c r="F483" s="9"/>
      <c r="G483" s="8"/>
    </row>
    <row r="484" customFormat="false" ht="15" hidden="false" customHeight="false" outlineLevel="0" collapsed="false">
      <c r="A484" s="8" t="s">
        <v>1874</v>
      </c>
      <c r="B484" s="8" t="s">
        <v>390</v>
      </c>
      <c r="C484" s="10" t="n">
        <v>45774</v>
      </c>
      <c r="D484" s="8" t="s">
        <v>1377</v>
      </c>
      <c r="E484" s="8"/>
      <c r="F484" s="9"/>
      <c r="G484" s="8"/>
    </row>
    <row r="485" customFormat="false" ht="15" hidden="false" customHeight="false" outlineLevel="0" collapsed="false">
      <c r="A485" s="8" t="s">
        <v>1875</v>
      </c>
      <c r="B485" s="8" t="s">
        <v>145</v>
      </c>
      <c r="C485" s="10" t="n">
        <v>45929</v>
      </c>
      <c r="D485" s="8" t="s">
        <v>1377</v>
      </c>
      <c r="E485" s="8"/>
      <c r="F485" s="9"/>
      <c r="G485" s="8"/>
    </row>
    <row r="486" customFormat="false" ht="15" hidden="false" customHeight="false" outlineLevel="0" collapsed="false">
      <c r="A486" s="8" t="s">
        <v>1876</v>
      </c>
      <c r="B486" s="8" t="s">
        <v>166</v>
      </c>
      <c r="C486" s="10" t="n">
        <v>45877</v>
      </c>
      <c r="D486" s="8" t="s">
        <v>1381</v>
      </c>
      <c r="E486" s="10" t="n">
        <v>45884</v>
      </c>
      <c r="F486" s="9" t="n">
        <v>7</v>
      </c>
      <c r="G486" s="8" t="s">
        <v>1405</v>
      </c>
    </row>
    <row r="487" customFormat="false" ht="15" hidden="false" customHeight="false" outlineLevel="0" collapsed="false">
      <c r="A487" s="8" t="s">
        <v>1877</v>
      </c>
      <c r="B487" s="8" t="s">
        <v>214</v>
      </c>
      <c r="C487" s="10" t="n">
        <v>46061</v>
      </c>
      <c r="D487" s="8" t="s">
        <v>1377</v>
      </c>
      <c r="E487" s="8"/>
      <c r="F487" s="9"/>
      <c r="G487" s="8"/>
    </row>
    <row r="488" customFormat="false" ht="15" hidden="false" customHeight="false" outlineLevel="0" collapsed="false">
      <c r="A488" s="8" t="s">
        <v>1878</v>
      </c>
      <c r="B488" s="8" t="s">
        <v>145</v>
      </c>
      <c r="C488" s="10" t="n">
        <v>45687</v>
      </c>
      <c r="D488" s="8" t="s">
        <v>1377</v>
      </c>
      <c r="E488" s="8"/>
      <c r="F488" s="9"/>
      <c r="G488" s="8"/>
    </row>
    <row r="489" customFormat="false" ht="15" hidden="false" customHeight="false" outlineLevel="0" collapsed="false">
      <c r="A489" s="8" t="s">
        <v>1879</v>
      </c>
      <c r="B489" s="8" t="s">
        <v>145</v>
      </c>
      <c r="C489" s="10" t="n">
        <v>45847</v>
      </c>
      <c r="D489" s="8" t="s">
        <v>1560</v>
      </c>
      <c r="E489" s="10" t="n">
        <v>45854</v>
      </c>
      <c r="F489" s="9" t="n">
        <v>7</v>
      </c>
      <c r="G489" s="8" t="s">
        <v>1405</v>
      </c>
    </row>
    <row r="490" customFormat="false" ht="15" hidden="false" customHeight="false" outlineLevel="0" collapsed="false">
      <c r="A490" s="8" t="s">
        <v>1880</v>
      </c>
      <c r="B490" s="8" t="s">
        <v>154</v>
      </c>
      <c r="C490" s="10" t="n">
        <v>46100</v>
      </c>
      <c r="D490" s="8" t="s">
        <v>1377</v>
      </c>
      <c r="E490" s="8"/>
      <c r="F490" s="9"/>
      <c r="G490" s="8"/>
    </row>
    <row r="491" customFormat="false" ht="15" hidden="false" customHeight="false" outlineLevel="0" collapsed="false">
      <c r="A491" s="8" t="s">
        <v>1881</v>
      </c>
      <c r="B491" s="8" t="s">
        <v>145</v>
      </c>
      <c r="C491" s="10" t="n">
        <v>46038</v>
      </c>
      <c r="D491" s="8" t="s">
        <v>1377</v>
      </c>
      <c r="E491" s="8"/>
      <c r="F491" s="9"/>
      <c r="G491" s="8"/>
    </row>
    <row r="492" customFormat="false" ht="15" hidden="false" customHeight="false" outlineLevel="0" collapsed="false">
      <c r="A492" s="8" t="s">
        <v>1882</v>
      </c>
      <c r="B492" s="8" t="s">
        <v>115</v>
      </c>
      <c r="C492" s="10" t="n">
        <v>45858</v>
      </c>
      <c r="D492" s="8" t="s">
        <v>1377</v>
      </c>
      <c r="E492" s="8"/>
      <c r="F492" s="9"/>
      <c r="G492" s="8"/>
    </row>
    <row r="493" customFormat="false" ht="15" hidden="false" customHeight="false" outlineLevel="0" collapsed="false">
      <c r="A493" s="8" t="s">
        <v>1883</v>
      </c>
      <c r="B493" s="8" t="s">
        <v>214</v>
      </c>
      <c r="C493" s="10" t="n">
        <v>46056</v>
      </c>
      <c r="D493" s="8" t="s">
        <v>1377</v>
      </c>
      <c r="E493" s="8"/>
      <c r="F493" s="9"/>
      <c r="G493" s="8"/>
    </row>
    <row r="494" customFormat="false" ht="15" hidden="false" customHeight="false" outlineLevel="0" collapsed="false">
      <c r="A494" s="8" t="s">
        <v>1884</v>
      </c>
      <c r="B494" s="8" t="s">
        <v>650</v>
      </c>
      <c r="C494" s="10" t="n">
        <v>45747</v>
      </c>
      <c r="D494" s="8" t="s">
        <v>1377</v>
      </c>
      <c r="E494" s="8"/>
      <c r="F494" s="9"/>
      <c r="G494" s="8"/>
    </row>
    <row r="495" customFormat="false" ht="15" hidden="false" customHeight="false" outlineLevel="0" collapsed="false">
      <c r="A495" s="8" t="s">
        <v>1885</v>
      </c>
      <c r="B495" s="8" t="s">
        <v>277</v>
      </c>
      <c r="C495" s="10" t="n">
        <v>46158</v>
      </c>
      <c r="D495" s="8" t="s">
        <v>1616</v>
      </c>
      <c r="E495" s="10" t="n">
        <v>46159</v>
      </c>
      <c r="F495" s="9" t="n">
        <v>1</v>
      </c>
      <c r="G495" s="8" t="s">
        <v>1386</v>
      </c>
    </row>
    <row r="496" customFormat="false" ht="15" hidden="false" customHeight="false" outlineLevel="0" collapsed="false">
      <c r="A496" s="8" t="s">
        <v>1886</v>
      </c>
      <c r="B496" s="8" t="s">
        <v>145</v>
      </c>
      <c r="C496" s="10" t="n">
        <v>45770</v>
      </c>
      <c r="D496" s="8" t="s">
        <v>1377</v>
      </c>
      <c r="E496" s="8"/>
      <c r="F496" s="9"/>
      <c r="G496" s="8"/>
    </row>
    <row r="497" customFormat="false" ht="15" hidden="false" customHeight="false" outlineLevel="0" collapsed="false">
      <c r="A497" s="8" t="s">
        <v>1887</v>
      </c>
      <c r="B497" s="8" t="s">
        <v>650</v>
      </c>
      <c r="C497" s="10" t="n">
        <v>45686</v>
      </c>
      <c r="D497" s="8" t="s">
        <v>1377</v>
      </c>
      <c r="E497" s="8"/>
      <c r="F497" s="9"/>
      <c r="G497" s="8"/>
    </row>
    <row r="498" customFormat="false" ht="15" hidden="false" customHeight="false" outlineLevel="0" collapsed="false">
      <c r="A498" s="8" t="s">
        <v>1888</v>
      </c>
      <c r="B498" s="8" t="s">
        <v>69</v>
      </c>
      <c r="C498" s="10" t="n">
        <v>45986</v>
      </c>
      <c r="D498" s="8" t="s">
        <v>1377</v>
      </c>
      <c r="E498" s="8"/>
      <c r="F498" s="9"/>
      <c r="G498" s="8"/>
    </row>
    <row r="499" customFormat="false" ht="15" hidden="false" customHeight="false" outlineLevel="0" collapsed="false">
      <c r="A499" s="8" t="s">
        <v>1889</v>
      </c>
      <c r="B499" s="8" t="s">
        <v>52</v>
      </c>
      <c r="C499" s="10" t="n">
        <v>45845</v>
      </c>
      <c r="D499" s="8" t="s">
        <v>1560</v>
      </c>
      <c r="E499" s="10" t="n">
        <v>45854</v>
      </c>
      <c r="F499" s="9" t="n">
        <v>9</v>
      </c>
      <c r="G499" s="8"/>
    </row>
    <row r="500" customFormat="false" ht="15" hidden="false" customHeight="false" outlineLevel="0" collapsed="false">
      <c r="A500" s="8" t="s">
        <v>1890</v>
      </c>
      <c r="B500" s="8" t="s">
        <v>650</v>
      </c>
      <c r="C500" s="10" t="n">
        <v>46109</v>
      </c>
      <c r="D500" s="8" t="s">
        <v>1377</v>
      </c>
      <c r="E500" s="8"/>
      <c r="F500" s="9"/>
      <c r="G500" s="8"/>
    </row>
    <row r="501" customFormat="false" ht="15" hidden="false" customHeight="false" outlineLevel="0" collapsed="false">
      <c r="A501" s="8" t="s">
        <v>1891</v>
      </c>
      <c r="B501" s="8" t="s">
        <v>650</v>
      </c>
      <c r="C501" s="10" t="n">
        <v>46048</v>
      </c>
      <c r="D501" s="8" t="s">
        <v>1377</v>
      </c>
      <c r="E501" s="8"/>
      <c r="F501" s="9"/>
      <c r="G501" s="8"/>
    </row>
    <row r="502" customFormat="false" ht="15" hidden="false" customHeight="false" outlineLevel="0" collapsed="false">
      <c r="A502" s="8" t="s">
        <v>1892</v>
      </c>
      <c r="B502" s="8" t="s">
        <v>52</v>
      </c>
      <c r="C502" s="10" t="n">
        <v>45847</v>
      </c>
      <c r="D502" s="8" t="s">
        <v>1412</v>
      </c>
      <c r="E502" s="10" t="n">
        <v>45851</v>
      </c>
      <c r="F502" s="9" t="n">
        <v>4</v>
      </c>
      <c r="G502" s="8" t="s">
        <v>1386</v>
      </c>
    </row>
    <row r="503" customFormat="false" ht="15" hidden="false" customHeight="false" outlineLevel="0" collapsed="false">
      <c r="A503" s="8" t="s">
        <v>1893</v>
      </c>
      <c r="B503" s="8" t="s">
        <v>115</v>
      </c>
      <c r="C503" s="10" t="n">
        <v>45975</v>
      </c>
      <c r="D503" s="8" t="s">
        <v>1377</v>
      </c>
      <c r="E503" s="8"/>
      <c r="F503" s="9"/>
      <c r="G503" s="8"/>
    </row>
    <row r="504" customFormat="false" ht="15" hidden="false" customHeight="false" outlineLevel="0" collapsed="false">
      <c r="A504" s="8" t="s">
        <v>1894</v>
      </c>
      <c r="B504" s="8" t="s">
        <v>69</v>
      </c>
      <c r="C504" s="10" t="n">
        <v>45755</v>
      </c>
      <c r="D504" s="8" t="s">
        <v>1377</v>
      </c>
      <c r="E504" s="8"/>
      <c r="F504" s="9"/>
      <c r="G504" s="8"/>
    </row>
    <row r="505" customFormat="false" ht="15" hidden="false" customHeight="false" outlineLevel="0" collapsed="false">
      <c r="A505" s="8" t="s">
        <v>1895</v>
      </c>
      <c r="B505" s="8" t="s">
        <v>214</v>
      </c>
      <c r="C505" s="10" t="n">
        <v>45771</v>
      </c>
      <c r="D505" s="8" t="s">
        <v>1381</v>
      </c>
      <c r="E505" s="10" t="n">
        <v>45776</v>
      </c>
      <c r="F505" s="9" t="n">
        <v>5</v>
      </c>
      <c r="G505" s="8" t="s">
        <v>1405</v>
      </c>
    </row>
    <row r="506" customFormat="false" ht="15" hidden="false" customHeight="false" outlineLevel="0" collapsed="false">
      <c r="A506" s="8" t="s">
        <v>1896</v>
      </c>
      <c r="B506" s="8" t="s">
        <v>646</v>
      </c>
      <c r="C506" s="10" t="n">
        <v>46134</v>
      </c>
      <c r="D506" s="8" t="s">
        <v>1560</v>
      </c>
      <c r="E506" s="10" t="n">
        <v>46202</v>
      </c>
      <c r="F506" s="9" t="n">
        <v>68</v>
      </c>
      <c r="G506" s="8" t="s">
        <v>1386</v>
      </c>
    </row>
    <row r="507" customFormat="false" ht="15" hidden="false" customHeight="false" outlineLevel="0" collapsed="false">
      <c r="A507" s="8" t="s">
        <v>1897</v>
      </c>
      <c r="B507" s="8" t="s">
        <v>214</v>
      </c>
      <c r="C507" s="10" t="n">
        <v>45774</v>
      </c>
      <c r="D507" s="8" t="s">
        <v>1397</v>
      </c>
      <c r="E507" s="10" t="n">
        <v>45808</v>
      </c>
      <c r="F507" s="9" t="n">
        <v>34</v>
      </c>
      <c r="G507" s="8" t="s">
        <v>1386</v>
      </c>
    </row>
    <row r="508" customFormat="false" ht="15" hidden="false" customHeight="false" outlineLevel="0" collapsed="false">
      <c r="A508" s="8" t="s">
        <v>1898</v>
      </c>
      <c r="B508" s="8" t="s">
        <v>52</v>
      </c>
      <c r="C508" s="10" t="n">
        <v>45703</v>
      </c>
      <c r="D508" s="8" t="s">
        <v>1377</v>
      </c>
      <c r="E508" s="8"/>
      <c r="F508" s="9"/>
      <c r="G508" s="8"/>
    </row>
    <row r="509" customFormat="false" ht="15" hidden="false" customHeight="false" outlineLevel="0" collapsed="false">
      <c r="A509" s="8" t="s">
        <v>1899</v>
      </c>
      <c r="B509" s="8" t="s">
        <v>154</v>
      </c>
      <c r="C509" s="10" t="n">
        <v>46124</v>
      </c>
      <c r="D509" s="8" t="s">
        <v>1385</v>
      </c>
      <c r="E509" s="10" t="n">
        <v>46125</v>
      </c>
      <c r="F509" s="9" t="n">
        <v>1</v>
      </c>
      <c r="G509" s="8" t="s">
        <v>1405</v>
      </c>
    </row>
    <row r="510" customFormat="false" ht="15" hidden="false" customHeight="false" outlineLevel="0" collapsed="false">
      <c r="A510" s="8" t="s">
        <v>1900</v>
      </c>
      <c r="B510" s="8" t="s">
        <v>166</v>
      </c>
      <c r="C510" s="10" t="n">
        <v>45671</v>
      </c>
      <c r="D510" s="8" t="s">
        <v>1377</v>
      </c>
      <c r="E510" s="8"/>
      <c r="F510" s="9"/>
      <c r="G510" s="8"/>
    </row>
    <row r="511" customFormat="false" ht="15" hidden="false" customHeight="false" outlineLevel="0" collapsed="false">
      <c r="A511" s="8" t="s">
        <v>1901</v>
      </c>
      <c r="B511" s="8" t="s">
        <v>115</v>
      </c>
      <c r="C511" s="10" t="n">
        <v>45932</v>
      </c>
      <c r="D511" s="8" t="s">
        <v>1377</v>
      </c>
      <c r="E511" s="8"/>
      <c r="F511" s="9"/>
      <c r="G511" s="8"/>
    </row>
    <row r="512" customFormat="false" ht="15" hidden="false" customHeight="false" outlineLevel="0" collapsed="false">
      <c r="A512" s="8" t="s">
        <v>1902</v>
      </c>
      <c r="B512" s="8" t="s">
        <v>214</v>
      </c>
      <c r="C512" s="10" t="n">
        <v>45836</v>
      </c>
      <c r="D512" s="8" t="s">
        <v>1377</v>
      </c>
      <c r="E512" s="8"/>
      <c r="F512" s="9"/>
      <c r="G512" s="8"/>
    </row>
    <row r="513" customFormat="false" ht="15" hidden="false" customHeight="false" outlineLevel="0" collapsed="false">
      <c r="A513" s="8" t="s">
        <v>1903</v>
      </c>
      <c r="B513" s="8" t="s">
        <v>646</v>
      </c>
      <c r="C513" s="10" t="n">
        <v>45753</v>
      </c>
      <c r="D513" s="8" t="s">
        <v>1412</v>
      </c>
      <c r="E513" s="10" t="n">
        <v>45831</v>
      </c>
      <c r="F513" s="9" t="n">
        <v>78</v>
      </c>
      <c r="G513" s="8" t="s">
        <v>1382</v>
      </c>
    </row>
    <row r="514" customFormat="false" ht="15" hidden="false" customHeight="false" outlineLevel="0" collapsed="false">
      <c r="A514" s="8" t="s">
        <v>1904</v>
      </c>
      <c r="B514" s="8" t="s">
        <v>262</v>
      </c>
      <c r="C514" s="10" t="n">
        <v>45834</v>
      </c>
      <c r="D514" s="8" t="s">
        <v>1385</v>
      </c>
      <c r="E514" s="10" t="n">
        <v>45836</v>
      </c>
      <c r="F514" s="9" t="n">
        <v>2</v>
      </c>
      <c r="G514" s="8" t="s">
        <v>1386</v>
      </c>
    </row>
    <row r="515" customFormat="false" ht="15" hidden="false" customHeight="false" outlineLevel="0" collapsed="false">
      <c r="A515" s="8" t="s">
        <v>1905</v>
      </c>
      <c r="B515" s="8" t="s">
        <v>650</v>
      </c>
      <c r="C515" s="10" t="n">
        <v>46031</v>
      </c>
      <c r="D515" s="8" t="s">
        <v>1584</v>
      </c>
      <c r="E515" s="10" t="n">
        <v>46034</v>
      </c>
      <c r="F515" s="9" t="n">
        <v>3</v>
      </c>
      <c r="G515" s="8" t="s">
        <v>1386</v>
      </c>
    </row>
    <row r="516" customFormat="false" ht="15" hidden="false" customHeight="false" outlineLevel="0" collapsed="false">
      <c r="A516" s="8" t="s">
        <v>1906</v>
      </c>
      <c r="B516" s="8" t="s">
        <v>650</v>
      </c>
      <c r="C516" s="10" t="n">
        <v>45663</v>
      </c>
      <c r="D516" s="8" t="s">
        <v>1377</v>
      </c>
      <c r="E516" s="8"/>
      <c r="F516" s="9"/>
      <c r="G516" s="8"/>
    </row>
    <row r="517" customFormat="false" ht="15" hidden="false" customHeight="false" outlineLevel="0" collapsed="false">
      <c r="A517" s="8" t="s">
        <v>1907</v>
      </c>
      <c r="B517" s="8" t="s">
        <v>145</v>
      </c>
      <c r="C517" s="10" t="n">
        <v>45849</v>
      </c>
      <c r="D517" s="8" t="s">
        <v>1377</v>
      </c>
      <c r="E517" s="8"/>
      <c r="F517" s="9"/>
      <c r="G517" s="8"/>
    </row>
    <row r="518" customFormat="false" ht="15" hidden="false" customHeight="false" outlineLevel="0" collapsed="false">
      <c r="A518" s="8" t="s">
        <v>1908</v>
      </c>
      <c r="B518" s="8" t="s">
        <v>166</v>
      </c>
      <c r="C518" s="10" t="n">
        <v>46050</v>
      </c>
      <c r="D518" s="8" t="s">
        <v>1412</v>
      </c>
      <c r="E518" s="10" t="n">
        <v>46058</v>
      </c>
      <c r="F518" s="9" t="n">
        <v>8</v>
      </c>
      <c r="G518" s="8"/>
    </row>
    <row r="519" customFormat="false" ht="15" hidden="false" customHeight="false" outlineLevel="0" collapsed="false">
      <c r="A519" s="8" t="s">
        <v>1909</v>
      </c>
      <c r="B519" s="8" t="s">
        <v>323</v>
      </c>
      <c r="C519" s="10" t="n">
        <v>46043</v>
      </c>
      <c r="D519" s="8" t="s">
        <v>1377</v>
      </c>
      <c r="E519" s="8"/>
      <c r="F519" s="9"/>
      <c r="G519" s="8"/>
    </row>
    <row r="520" customFormat="false" ht="15" hidden="false" customHeight="false" outlineLevel="0" collapsed="false">
      <c r="A520" s="8" t="s">
        <v>1910</v>
      </c>
      <c r="B520" s="8" t="s">
        <v>154</v>
      </c>
      <c r="C520" s="10" t="n">
        <v>46109</v>
      </c>
      <c r="D520" s="8" t="s">
        <v>1377</v>
      </c>
      <c r="E520" s="8"/>
      <c r="F520" s="9"/>
      <c r="G520" s="8"/>
    </row>
    <row r="521" customFormat="false" ht="15" hidden="false" customHeight="false" outlineLevel="0" collapsed="false">
      <c r="A521" s="8" t="s">
        <v>1911</v>
      </c>
      <c r="B521" s="8" t="s">
        <v>69</v>
      </c>
      <c r="C521" s="10" t="n">
        <v>45811</v>
      </c>
      <c r="D521" s="8" t="s">
        <v>1377</v>
      </c>
      <c r="E521" s="8"/>
      <c r="F521" s="9"/>
      <c r="G521" s="8"/>
    </row>
    <row r="522" customFormat="false" ht="15" hidden="false" customHeight="false" outlineLevel="0" collapsed="false">
      <c r="A522" s="8" t="s">
        <v>1912</v>
      </c>
      <c r="B522" s="8" t="s">
        <v>214</v>
      </c>
      <c r="C522" s="10" t="n">
        <v>45753</v>
      </c>
      <c r="D522" s="8" t="s">
        <v>1381</v>
      </c>
      <c r="E522" s="10" t="n">
        <v>45756</v>
      </c>
      <c r="F522" s="9" t="n">
        <v>3</v>
      </c>
      <c r="G522" s="8" t="s">
        <v>1405</v>
      </c>
    </row>
    <row r="523" customFormat="false" ht="15" hidden="false" customHeight="false" outlineLevel="0" collapsed="false">
      <c r="A523" s="8" t="s">
        <v>1913</v>
      </c>
      <c r="B523" s="8" t="s">
        <v>145</v>
      </c>
      <c r="C523" s="10" t="n">
        <v>46160</v>
      </c>
      <c r="D523" s="8" t="s">
        <v>1377</v>
      </c>
      <c r="E523" s="8"/>
      <c r="F523" s="9"/>
      <c r="G523" s="8"/>
    </row>
    <row r="524" customFormat="false" ht="15" hidden="false" customHeight="false" outlineLevel="0" collapsed="false">
      <c r="A524" s="8" t="s">
        <v>1914</v>
      </c>
      <c r="B524" s="8" t="s">
        <v>166</v>
      </c>
      <c r="C524" s="10" t="n">
        <v>46091</v>
      </c>
      <c r="D524" s="8" t="s">
        <v>1381</v>
      </c>
      <c r="E524" s="10" t="n">
        <v>46092</v>
      </c>
      <c r="F524" s="9" t="n">
        <v>1</v>
      </c>
      <c r="G524" s="8" t="s">
        <v>1386</v>
      </c>
    </row>
  </sheetData>
  <mergeCells count="1">
    <mergeCell ref="A2:G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4" min="3" style="0" width="17"/>
    <col collapsed="false" customWidth="true" hidden="false" outlineLevel="0" max="5" min="5" style="0" width="18"/>
    <col collapsed="false" customWidth="true" hidden="false" outlineLevel="0" max="6" min="6" style="0" width="40"/>
    <col collapsed="false" customWidth="true" hidden="false" outlineLevel="0" max="7" min="7" style="0" width="18"/>
    <col collapsed="false" customWidth="true" hidden="false" outlineLevel="0" max="8" min="8" style="0" width="9"/>
    <col collapsed="false" customWidth="true" hidden="false" outlineLevel="0" max="9" min="9" style="0" width="19"/>
    <col collapsed="false" customWidth="true" hidden="false" outlineLevel="0" max="10" min="10" style="0" width="3"/>
  </cols>
  <sheetData>
    <row r="2" customFormat="false" ht="19.7" hidden="false" customHeight="false" outlineLevel="0" collapsed="false">
      <c r="B2" s="1" t="s">
        <v>1915</v>
      </c>
    </row>
    <row r="3" customFormat="false" ht="15" hidden="false" customHeight="false" outlineLevel="0" collapsed="false">
      <c r="B3" s="2" t="s">
        <v>1916</v>
      </c>
    </row>
    <row r="5" customFormat="false" ht="61.5" hidden="false" customHeight="true" outlineLevel="0" collapsed="false">
      <c r="B5" s="26" t="s">
        <v>1917</v>
      </c>
      <c r="C5" s="26"/>
      <c r="D5" s="26"/>
      <c r="E5" s="26"/>
      <c r="F5" s="26"/>
      <c r="G5" s="26"/>
      <c r="H5" s="26"/>
      <c r="I5" s="26"/>
    </row>
    <row r="7" customFormat="false" ht="15" hidden="false" customHeight="false" outlineLevel="0" collapsed="false">
      <c r="B7" s="11" t="s">
        <v>1918</v>
      </c>
      <c r="C7" s="11"/>
      <c r="D7" s="11"/>
      <c r="E7" s="11"/>
    </row>
    <row r="8" customFormat="false" ht="15" hidden="false" customHeight="false" outlineLevel="0" collapsed="false">
      <c r="B8" s="5" t="s">
        <v>50</v>
      </c>
      <c r="C8" s="5" t="s">
        <v>1919</v>
      </c>
      <c r="D8" s="5" t="s">
        <v>1920</v>
      </c>
      <c r="E8" s="5" t="s">
        <v>1921</v>
      </c>
    </row>
    <row r="9" customFormat="false" ht="15" hidden="false" customHeight="false" outlineLevel="0" collapsed="false">
      <c r="B9" s="13" t="s">
        <v>166</v>
      </c>
      <c r="C9" s="13" t="n">
        <f aca="false">COUNTIF('ADR Patient Data'!$B$5:$B$524,B9)</f>
        <v>41</v>
      </c>
      <c r="D9" s="13" t="n">
        <f aca="false">COUNTIFS('ADR Patient Data'!$B$5:$B$524,B9,'ADR Patient Data'!$D$5:$D$524,"&lt;&gt;None")</f>
        <v>20</v>
      </c>
      <c r="E9" s="14" t="n">
        <f aca="false">D9/C9</f>
        <v>0.487804878048781</v>
      </c>
    </row>
    <row r="10" customFormat="false" ht="15" hidden="false" customHeight="false" outlineLevel="0" collapsed="false">
      <c r="B10" s="13" t="s">
        <v>214</v>
      </c>
      <c r="C10" s="13" t="n">
        <f aca="false">COUNTIF('ADR Patient Data'!$B$5:$B$524,B10)</f>
        <v>34</v>
      </c>
      <c r="D10" s="13" t="n">
        <f aca="false">COUNTIFS('ADR Patient Data'!$B$5:$B$524,B10,'ADR Patient Data'!$D$5:$D$524,"&lt;&gt;None")</f>
        <v>12</v>
      </c>
      <c r="E10" s="14" t="n">
        <f aca="false">D10/C10</f>
        <v>0.352941176470588</v>
      </c>
    </row>
    <row r="11" customFormat="false" ht="15" hidden="false" customHeight="false" outlineLevel="0" collapsed="false">
      <c r="B11" s="13" t="s">
        <v>154</v>
      </c>
      <c r="C11" s="13" t="n">
        <f aca="false">COUNTIF('ADR Patient Data'!$B$5:$B$524,B11)</f>
        <v>45</v>
      </c>
      <c r="D11" s="13" t="n">
        <f aca="false">COUNTIFS('ADR Patient Data'!$B$5:$B$524,B11,'ADR Patient Data'!$D$5:$D$524,"&lt;&gt;None")</f>
        <v>15</v>
      </c>
      <c r="E11" s="14" t="n">
        <f aca="false">D11/C11</f>
        <v>0.333333333333333</v>
      </c>
    </row>
    <row r="12" customFormat="false" ht="15" hidden="false" customHeight="false" outlineLevel="0" collapsed="false">
      <c r="B12" s="13" t="s">
        <v>52</v>
      </c>
      <c r="C12" s="13" t="n">
        <f aca="false">COUNTIF('ADR Patient Data'!$B$5:$B$524,B12)</f>
        <v>45</v>
      </c>
      <c r="D12" s="13" t="n">
        <f aca="false">COUNTIFS('ADR Patient Data'!$B$5:$B$524,B12,'ADR Patient Data'!$D$5:$D$524,"&lt;&gt;None")</f>
        <v>14</v>
      </c>
      <c r="E12" s="14" t="n">
        <f aca="false">D12/C12</f>
        <v>0.311111111111111</v>
      </c>
    </row>
    <row r="13" customFormat="false" ht="15" hidden="false" customHeight="false" outlineLevel="0" collapsed="false">
      <c r="B13" s="13" t="s">
        <v>646</v>
      </c>
      <c r="C13" s="13" t="n">
        <f aca="false">COUNTIF('ADR Patient Data'!$B$5:$B$524,B13)</f>
        <v>27</v>
      </c>
      <c r="D13" s="13" t="n">
        <f aca="false">COUNTIFS('ADR Patient Data'!$B$5:$B$524,B13,'ADR Patient Data'!$D$5:$D$524,"&lt;&gt;None")</f>
        <v>8</v>
      </c>
      <c r="E13" s="14" t="n">
        <f aca="false">D13/C13</f>
        <v>0.296296296296296</v>
      </c>
    </row>
    <row r="14" customFormat="false" ht="15" hidden="false" customHeight="false" outlineLevel="0" collapsed="false">
      <c r="B14" s="13" t="s">
        <v>277</v>
      </c>
      <c r="C14" s="13" t="n">
        <f aca="false">COUNTIF('ADR Patient Data'!$B$5:$B$524,B14)</f>
        <v>29</v>
      </c>
      <c r="D14" s="13" t="n">
        <f aca="false">COUNTIFS('ADR Patient Data'!$B$5:$B$524,B14,'ADR Patient Data'!$D$5:$D$524,"&lt;&gt;None")</f>
        <v>7</v>
      </c>
      <c r="E14" s="14" t="n">
        <f aca="false">D14/C14</f>
        <v>0.241379310344828</v>
      </c>
    </row>
    <row r="15" customFormat="false" ht="15" hidden="false" customHeight="false" outlineLevel="0" collapsed="false">
      <c r="B15" s="13" t="s">
        <v>650</v>
      </c>
      <c r="C15" s="13" t="n">
        <f aca="false">COUNTIF('ADR Patient Data'!$B$5:$B$524,B15)</f>
        <v>34</v>
      </c>
      <c r="D15" s="13" t="n">
        <f aca="false">COUNTIFS('ADR Patient Data'!$B$5:$B$524,B15,'ADR Patient Data'!$D$5:$D$524,"&lt;&gt;None")</f>
        <v>8</v>
      </c>
      <c r="E15" s="14" t="n">
        <f aca="false">D15/C15</f>
        <v>0.235294117647059</v>
      </c>
    </row>
    <row r="16" customFormat="false" ht="15" hidden="false" customHeight="false" outlineLevel="0" collapsed="false">
      <c r="B16" s="13" t="s">
        <v>69</v>
      </c>
      <c r="C16" s="13" t="n">
        <f aca="false">COUNTIF('ADR Patient Data'!$B$5:$B$524,B16)</f>
        <v>35</v>
      </c>
      <c r="D16" s="13" t="n">
        <f aca="false">COUNTIFS('ADR Patient Data'!$B$5:$B$524,B16,'ADR Patient Data'!$D$5:$D$524,"&lt;&gt;None")</f>
        <v>7</v>
      </c>
      <c r="E16" s="14" t="n">
        <f aca="false">D16/C16</f>
        <v>0.2</v>
      </c>
    </row>
    <row r="17" customFormat="false" ht="15" hidden="false" customHeight="false" outlineLevel="0" collapsed="false">
      <c r="B17" s="13" t="s">
        <v>115</v>
      </c>
      <c r="C17" s="13" t="n">
        <f aca="false">COUNTIF('ADR Patient Data'!$B$5:$B$524,B17)</f>
        <v>37</v>
      </c>
      <c r="D17" s="13" t="n">
        <f aca="false">COUNTIFS('ADR Patient Data'!$B$5:$B$524,B17,'ADR Patient Data'!$D$5:$D$524,"&lt;&gt;None")</f>
        <v>7</v>
      </c>
      <c r="E17" s="14" t="n">
        <f aca="false">D17/C17</f>
        <v>0.189189189189189</v>
      </c>
    </row>
    <row r="18" customFormat="false" ht="15" hidden="false" customHeight="false" outlineLevel="0" collapsed="false">
      <c r="B18" s="13" t="s">
        <v>262</v>
      </c>
      <c r="C18" s="13" t="n">
        <f aca="false">COUNTIF('ADR Patient Data'!$B$5:$B$524,B18)</f>
        <v>40</v>
      </c>
      <c r="D18" s="13" t="n">
        <f aca="false">COUNTIFS('ADR Patient Data'!$B$5:$B$524,B18,'ADR Patient Data'!$D$5:$D$524,"&lt;&gt;None")</f>
        <v>7</v>
      </c>
      <c r="E18" s="14" t="n">
        <f aca="false">D18/C18</f>
        <v>0.175</v>
      </c>
    </row>
    <row r="19" customFormat="false" ht="15" hidden="false" customHeight="false" outlineLevel="0" collapsed="false">
      <c r="B19" s="13" t="s">
        <v>323</v>
      </c>
      <c r="C19" s="13" t="n">
        <f aca="false">COUNTIF('ADR Patient Data'!$B$5:$B$524,B19)</f>
        <v>42</v>
      </c>
      <c r="D19" s="13" t="n">
        <f aca="false">COUNTIFS('ADR Patient Data'!$B$5:$B$524,B19,'ADR Patient Data'!$D$5:$D$524,"&lt;&gt;None")</f>
        <v>7</v>
      </c>
      <c r="E19" s="14" t="n">
        <f aca="false">D19/C19</f>
        <v>0.166666666666667</v>
      </c>
    </row>
    <row r="20" customFormat="false" ht="15" hidden="false" customHeight="false" outlineLevel="0" collapsed="false">
      <c r="B20" s="13" t="s">
        <v>145</v>
      </c>
      <c r="C20" s="13" t="n">
        <f aca="false">COUNTIF('ADR Patient Data'!$B$5:$B$524,B20)</f>
        <v>38</v>
      </c>
      <c r="D20" s="13" t="n">
        <f aca="false">COUNTIFS('ADR Patient Data'!$B$5:$B$524,B20,'ADR Patient Data'!$D$5:$D$524,"&lt;&gt;None")</f>
        <v>4</v>
      </c>
      <c r="E20" s="14" t="n">
        <f aca="false">D20/C20</f>
        <v>0.105263157894737</v>
      </c>
    </row>
    <row r="21" customFormat="false" ht="15" hidden="false" customHeight="false" outlineLevel="0" collapsed="false">
      <c r="B21" s="13" t="s">
        <v>390</v>
      </c>
      <c r="C21" s="13" t="n">
        <f aca="false">COUNTIF('ADR Patient Data'!$B$5:$B$524,B21)</f>
        <v>40</v>
      </c>
      <c r="D21" s="13" t="n">
        <f aca="false">COUNTIFS('ADR Patient Data'!$B$5:$B$524,B21,'ADR Patient Data'!$D$5:$D$524,"&lt;&gt;None")</f>
        <v>4</v>
      </c>
      <c r="E21" s="14" t="n">
        <f aca="false">D21/C21</f>
        <v>0.1</v>
      </c>
    </row>
    <row r="22" customFormat="false" ht="15" hidden="false" customHeight="false" outlineLevel="0" collapsed="false">
      <c r="B22" s="13" t="s">
        <v>394</v>
      </c>
      <c r="C22" s="13" t="n">
        <f aca="false">COUNTIF('ADR Patient Data'!$B$5:$B$524,B22)</f>
        <v>33</v>
      </c>
      <c r="D22" s="13" t="n">
        <f aca="false">COUNTIFS('ADR Patient Data'!$B$5:$B$524,B22,'ADR Patient Data'!$D$5:$D$524,"&lt;&gt;None")</f>
        <v>2</v>
      </c>
      <c r="E22" s="14" t="n">
        <f aca="false">D22/C22</f>
        <v>0.0606060606060606</v>
      </c>
    </row>
    <row r="25" customFormat="false" ht="15" hidden="false" customHeight="false" outlineLevel="0" collapsed="false">
      <c r="B25" s="11" t="s">
        <v>1922</v>
      </c>
      <c r="C25" s="11"/>
      <c r="D25" s="11"/>
      <c r="E25" s="11"/>
      <c r="F25" s="11"/>
      <c r="G25" s="11"/>
      <c r="H25" s="11"/>
      <c r="I25" s="11"/>
    </row>
    <row r="26" customFormat="false" ht="15" hidden="false" customHeight="false" outlineLevel="0" collapsed="false">
      <c r="B26" s="5" t="s">
        <v>50</v>
      </c>
      <c r="C26" s="5" t="s">
        <v>1372</v>
      </c>
      <c r="D26" s="5" t="s">
        <v>1923</v>
      </c>
      <c r="E26" s="5" t="s">
        <v>1924</v>
      </c>
      <c r="F26" s="5" t="s">
        <v>1925</v>
      </c>
      <c r="G26" s="5" t="s">
        <v>1926</v>
      </c>
      <c r="H26" s="5" t="s">
        <v>1927</v>
      </c>
      <c r="I26" s="5" t="s">
        <v>1928</v>
      </c>
    </row>
    <row r="27" customFormat="false" ht="15" hidden="false" customHeight="false" outlineLevel="0" collapsed="false">
      <c r="B27" s="13" t="s">
        <v>154</v>
      </c>
      <c r="C27" s="13" t="s">
        <v>1520</v>
      </c>
      <c r="D27" s="13" t="n">
        <f aca="false">COUNTIFS('ADR Patient Data'!$B$5:$B$524,B27,'ADR Patient Data'!$D$5:$D$524,C27)</f>
        <v>5</v>
      </c>
      <c r="E27" s="13" t="n">
        <f aca="false">COUNTIF('ADR Patient Data'!$B$5:$B$524,B27)</f>
        <v>45</v>
      </c>
      <c r="F27" s="14" t="n">
        <f aca="false">D27/E27</f>
        <v>0.111111111111111</v>
      </c>
      <c r="G27" s="14" t="n">
        <f aca="false">(COUNTIF('ADR Patient Data'!$D$5:$D$524,C27)-D27)/(520-E27)</f>
        <v>0</v>
      </c>
      <c r="H27" s="13" t="str">
        <f aca="false">IF(G27=0,"—",ROUND(F27/G27,2))</f>
        <v>—</v>
      </c>
      <c r="I27" s="13" t="str">
        <f aca="false">IF(G27=0,"Possible Signal *",IF(AND(D27&gt;=3,F27/G27&gt;=2),"Possible Signal","Inconclusive"))</f>
        <v>Possible Signal *</v>
      </c>
      <c r="J27" s="0" t="str">
        <f aca="false">B27&amp;" – "&amp;C27</f>
        <v>Ferrous Sulfate – Constipation</v>
      </c>
    </row>
    <row r="28" customFormat="false" ht="15" hidden="false" customHeight="false" outlineLevel="0" collapsed="false">
      <c r="B28" s="13" t="s">
        <v>277</v>
      </c>
      <c r="C28" s="13" t="s">
        <v>1616</v>
      </c>
      <c r="D28" s="13" t="n">
        <f aca="false">COUNTIFS('ADR Patient Data'!$B$5:$B$524,B28,'ADR Patient Data'!$D$5:$D$524,C28)</f>
        <v>4</v>
      </c>
      <c r="E28" s="13" t="n">
        <f aca="false">COUNTIF('ADR Patient Data'!$B$5:$B$524,B28)</f>
        <v>29</v>
      </c>
      <c r="F28" s="14" t="n">
        <f aca="false">D28/E28</f>
        <v>0.137931034482759</v>
      </c>
      <c r="G28" s="14" t="n">
        <f aca="false">(COUNTIF('ADR Patient Data'!$D$5:$D$524,C28)-D28)/(520-E28)</f>
        <v>0</v>
      </c>
      <c r="H28" s="13" t="str">
        <f aca="false">IF(G28=0,"—",ROUND(F28/G28,2))</f>
        <v>—</v>
      </c>
      <c r="I28" s="13" t="str">
        <f aca="false">IF(G28=0,"Possible Signal *",IF(AND(D28&gt;=3,F28/G28&gt;=2),"Possible Signal","Inconclusive"))</f>
        <v>Possible Signal *</v>
      </c>
      <c r="J28" s="0" t="str">
        <f aca="false">B28&amp;" – "&amp;C28</f>
        <v>Salbutamol – Tremor</v>
      </c>
    </row>
    <row r="29" customFormat="false" ht="15" hidden="false" customHeight="false" outlineLevel="0" collapsed="false">
      <c r="B29" s="13" t="s">
        <v>166</v>
      </c>
      <c r="C29" s="13" t="s">
        <v>1404</v>
      </c>
      <c r="D29" s="13" t="n">
        <f aca="false">COUNTIFS('ADR Patient Data'!$B$5:$B$524,B29,'ADR Patient Data'!$D$5:$D$524,C29)</f>
        <v>5</v>
      </c>
      <c r="E29" s="13" t="n">
        <f aca="false">COUNTIF('ADR Patient Data'!$B$5:$B$524,B29)</f>
        <v>41</v>
      </c>
      <c r="F29" s="14" t="n">
        <f aca="false">D29/E29</f>
        <v>0.121951219512195</v>
      </c>
      <c r="G29" s="14" t="n">
        <f aca="false">(COUNTIF('ADR Patient Data'!$D$5:$D$524,C29)-D29)/(520-E29)</f>
        <v>0.00208768267223382</v>
      </c>
      <c r="H29" s="13" t="n">
        <f aca="false">IF(G29=0,"—",ROUND(F29/G29,2))</f>
        <v>58.41</v>
      </c>
      <c r="I29" s="13" t="str">
        <f aca="false">IF(G29=0,"Possible Signal *",IF(AND(D29&gt;=3,F29/G29&gt;=2),"Possible Signal","Inconclusive"))</f>
        <v>Possible Signal</v>
      </c>
      <c r="J29" s="0" t="str">
        <f aca="false">B29&amp;" – "&amp;C29</f>
        <v>Orlistat – Vomiting</v>
      </c>
    </row>
    <row r="30" customFormat="false" ht="15" hidden="false" customHeight="false" outlineLevel="0" collapsed="false">
      <c r="B30" s="13" t="s">
        <v>650</v>
      </c>
      <c r="C30" s="13" t="s">
        <v>1584</v>
      </c>
      <c r="D30" s="13" t="n">
        <f aca="false">COUNTIFS('ADR Patient Data'!$B$5:$B$524,B30,'ADR Patient Data'!$D$5:$D$524,C30)</f>
        <v>4</v>
      </c>
      <c r="E30" s="13" t="n">
        <f aca="false">COUNTIF('ADR Patient Data'!$B$5:$B$524,B30)</f>
        <v>34</v>
      </c>
      <c r="F30" s="14" t="n">
        <f aca="false">D30/E30</f>
        <v>0.117647058823529</v>
      </c>
      <c r="G30" s="14" t="n">
        <f aca="false">(COUNTIF('ADR Patient Data'!$D$5:$D$524,C30)-D30)/(520-E30)</f>
        <v>0.00411522633744856</v>
      </c>
      <c r="H30" s="13" t="n">
        <f aca="false">IF(G30=0,"—",ROUND(F30/G30,2))</f>
        <v>28.59</v>
      </c>
      <c r="I30" s="13" t="str">
        <f aca="false">IF(G30=0,"Possible Signal *",IF(AND(D30&gt;=3,F30/G30&gt;=2),"Possible Signal","Inconclusive"))</f>
        <v>Possible Signal</v>
      </c>
      <c r="J30" s="0" t="str">
        <f aca="false">B30&amp;" – "&amp;C30</f>
        <v>Omeprazole – Headache</v>
      </c>
    </row>
    <row r="31" customFormat="false" ht="15" hidden="false" customHeight="false" outlineLevel="0" collapsed="false">
      <c r="B31" s="13" t="s">
        <v>646</v>
      </c>
      <c r="C31" s="13" t="s">
        <v>1444</v>
      </c>
      <c r="D31" s="13" t="n">
        <f aca="false">COUNTIFS('ADR Patient Data'!$B$5:$B$524,B31,'ADR Patient Data'!$D$5:$D$524,C31)</f>
        <v>4</v>
      </c>
      <c r="E31" s="13" t="n">
        <f aca="false">COUNTIF('ADR Patient Data'!$B$5:$B$524,B31)</f>
        <v>27</v>
      </c>
      <c r="F31" s="14" t="n">
        <f aca="false">D31/E31</f>
        <v>0.148148148148148</v>
      </c>
      <c r="G31" s="14" t="n">
        <f aca="false">(COUNTIF('ADR Patient Data'!$D$5:$D$524,C31)-D31)/(520-E31)</f>
        <v>0.00608519269776876</v>
      </c>
      <c r="H31" s="13" t="n">
        <f aca="false">IF(G31=0,"—",ROUND(F31/G31,2))</f>
        <v>24.35</v>
      </c>
      <c r="I31" s="13" t="str">
        <f aca="false">IF(G31=0,"Possible Signal *",IF(AND(D31&gt;=3,F31/G31&gt;=2),"Possible Signal","Inconclusive"))</f>
        <v>Possible Signal</v>
      </c>
      <c r="J31" s="0" t="str">
        <f aca="false">B31&amp;" – "&amp;C31</f>
        <v>Sertraline – Dry Mouth</v>
      </c>
    </row>
    <row r="32" customFormat="false" ht="15" hidden="false" customHeight="false" outlineLevel="0" collapsed="false">
      <c r="B32" s="13" t="s">
        <v>262</v>
      </c>
      <c r="C32" s="13" t="s">
        <v>1513</v>
      </c>
      <c r="D32" s="13" t="n">
        <f aca="false">COUNTIFS('ADR Patient Data'!$B$5:$B$524,B32,'ADR Patient Data'!$D$5:$D$524,C32)</f>
        <v>3</v>
      </c>
      <c r="E32" s="13" t="n">
        <f aca="false">COUNTIF('ADR Patient Data'!$B$5:$B$524,B32)</f>
        <v>40</v>
      </c>
      <c r="F32" s="14" t="n">
        <f aca="false">D32/E32</f>
        <v>0.075</v>
      </c>
      <c r="G32" s="14" t="n">
        <f aca="false">(COUNTIF('ADR Patient Data'!$D$5:$D$524,C32)-D32)/(520-E32)</f>
        <v>0.00416666666666667</v>
      </c>
      <c r="H32" s="13" t="n">
        <f aca="false">IF(G32=0,"—",ROUND(F32/G32,2))</f>
        <v>18</v>
      </c>
      <c r="I32" s="13" t="str">
        <f aca="false">IF(G32=0,"Possible Signal *",IF(AND(D32&gt;=3,F32/G32&gt;=2),"Possible Signal","Inconclusive"))</f>
        <v>Possible Signal</v>
      </c>
      <c r="J32" s="0" t="str">
        <f aca="false">B32&amp;" – "&amp;C32</f>
        <v>Cetirizine – Drowsiness</v>
      </c>
    </row>
    <row r="33" customFormat="false" ht="15" hidden="false" customHeight="false" outlineLevel="0" collapsed="false">
      <c r="B33" s="13" t="s">
        <v>52</v>
      </c>
      <c r="C33" s="13" t="s">
        <v>1412</v>
      </c>
      <c r="D33" s="13" t="n">
        <f aca="false">COUNTIFS('ADR Patient Data'!$B$5:$B$524,B33,'ADR Patient Data'!$D$5:$D$524,C33)</f>
        <v>5</v>
      </c>
      <c r="E33" s="13" t="n">
        <f aca="false">COUNTIF('ADR Patient Data'!$B$5:$B$524,B33)</f>
        <v>45</v>
      </c>
      <c r="F33" s="14" t="n">
        <f aca="false">D33/E33</f>
        <v>0.111111111111111</v>
      </c>
      <c r="G33" s="14" t="n">
        <f aca="false">(COUNTIF('ADR Patient Data'!$D$5:$D$524,C33)-D33)/(520-E33)</f>
        <v>0.00631578947368421</v>
      </c>
      <c r="H33" s="13" t="n">
        <f aca="false">IF(G33=0,"—",ROUND(F33/G33,2))</f>
        <v>17.59</v>
      </c>
      <c r="I33" s="13" t="str">
        <f aca="false">IF(G33=0,"Possible Signal *",IF(AND(D33&gt;=3,F33/G33&gt;=2),"Possible Signal","Inconclusive"))</f>
        <v>Possible Signal</v>
      </c>
      <c r="J33" s="0" t="str">
        <f aca="false">B33&amp;" – "&amp;C33</f>
        <v>Amlodipine – Swelling</v>
      </c>
    </row>
    <row r="34" customFormat="false" ht="15" hidden="false" customHeight="false" outlineLevel="0" collapsed="false">
      <c r="B34" s="13" t="s">
        <v>166</v>
      </c>
      <c r="C34" s="13" t="s">
        <v>1572</v>
      </c>
      <c r="D34" s="13" t="n">
        <f aca="false">COUNTIFS('ADR Patient Data'!$B$5:$B$524,B34,'ADR Patient Data'!$D$5:$D$524,C34)</f>
        <v>3</v>
      </c>
      <c r="E34" s="13" t="n">
        <f aca="false">COUNTIF('ADR Patient Data'!$B$5:$B$524,B34)</f>
        <v>41</v>
      </c>
      <c r="F34" s="14" t="n">
        <f aca="false">D34/E34</f>
        <v>0.0731707317073171</v>
      </c>
      <c r="G34" s="14" t="n">
        <f aca="false">(COUNTIF('ADR Patient Data'!$D$5:$D$524,C34)-D34)/(520-E34)</f>
        <v>0.00417536534446764</v>
      </c>
      <c r="H34" s="13" t="n">
        <f aca="false">IF(G34=0,"—",ROUND(F34/G34,2))</f>
        <v>17.52</v>
      </c>
      <c r="I34" s="13" t="str">
        <f aca="false">IF(G34=0,"Possible Signal *",IF(AND(D34&gt;=3,F34/G34&gt;=2),"Possible Signal","Inconclusive"))</f>
        <v>Possible Signal</v>
      </c>
      <c r="J34" s="0" t="str">
        <f aca="false">B34&amp;" – "&amp;C34</f>
        <v>Orlistat – Fatigue</v>
      </c>
    </row>
    <row r="35" customFormat="false" ht="15" hidden="false" customHeight="false" outlineLevel="0" collapsed="false">
      <c r="B35" s="13" t="s">
        <v>166</v>
      </c>
      <c r="C35" s="13" t="s">
        <v>1381</v>
      </c>
      <c r="D35" s="13" t="n">
        <f aca="false">COUNTIFS('ADR Patient Data'!$B$5:$B$524,B35,'ADR Patient Data'!$D$5:$D$524,C35)</f>
        <v>9</v>
      </c>
      <c r="E35" s="13" t="n">
        <f aca="false">COUNTIF('ADR Patient Data'!$B$5:$B$524,B35)</f>
        <v>41</v>
      </c>
      <c r="F35" s="14" t="n">
        <f aca="false">D35/E35</f>
        <v>0.219512195121951</v>
      </c>
      <c r="G35" s="14" t="n">
        <f aca="false">(COUNTIF('ADR Patient Data'!$D$5:$D$524,C35)-D35)/(520-E35)</f>
        <v>0.022964509394572</v>
      </c>
      <c r="H35" s="13" t="n">
        <f aca="false">IF(G35=0,"—",ROUND(F35/G35,2))</f>
        <v>9.56</v>
      </c>
      <c r="I35" s="13" t="str">
        <f aca="false">IF(G35=0,"Possible Signal *",IF(AND(D35&gt;=3,F35/G35&gt;=2),"Possible Signal","Inconclusive"))</f>
        <v>Possible Signal</v>
      </c>
      <c r="J35" s="0" t="str">
        <f aca="false">B35&amp;" – "&amp;C35</f>
        <v>Orlistat – Diarrhea</v>
      </c>
    </row>
    <row r="36" customFormat="false" ht="15" hidden="false" customHeight="false" outlineLevel="0" collapsed="false">
      <c r="B36" s="13" t="s">
        <v>52</v>
      </c>
      <c r="C36" s="13" t="s">
        <v>1560</v>
      </c>
      <c r="D36" s="13" t="n">
        <f aca="false">COUNTIFS('ADR Patient Data'!$B$5:$B$524,B36,'ADR Patient Data'!$D$5:$D$524,C36)</f>
        <v>6</v>
      </c>
      <c r="E36" s="13" t="n">
        <f aca="false">COUNTIF('ADR Patient Data'!$B$5:$B$524,B36)</f>
        <v>45</v>
      </c>
      <c r="F36" s="14" t="n">
        <f aca="false">D36/E36</f>
        <v>0.133333333333333</v>
      </c>
      <c r="G36" s="14" t="n">
        <f aca="false">(COUNTIF('ADR Patient Data'!$D$5:$D$524,C36)-D36)/(520-E36)</f>
        <v>0.0147368421052632</v>
      </c>
      <c r="H36" s="13" t="n">
        <f aca="false">IF(G36=0,"—",ROUND(F36/G36,2))</f>
        <v>9.05</v>
      </c>
      <c r="I36" s="13" t="str">
        <f aca="false">IF(G36=0,"Possible Signal *",IF(AND(D36&gt;=3,F36/G36&gt;=2),"Possible Signal","Inconclusive"))</f>
        <v>Possible Signal</v>
      </c>
      <c r="J36" s="0" t="str">
        <f aca="false">B36&amp;" – "&amp;C36</f>
        <v>Amlodipine – Dizziness</v>
      </c>
    </row>
    <row r="37" customFormat="false" ht="15" hidden="false" customHeight="false" outlineLevel="0" collapsed="false">
      <c r="B37" s="13" t="s">
        <v>154</v>
      </c>
      <c r="C37" s="13" t="s">
        <v>1385</v>
      </c>
      <c r="D37" s="13" t="n">
        <f aca="false">COUNTIFS('ADR Patient Data'!$B$5:$B$524,B37,'ADR Patient Data'!$D$5:$D$524,C37)</f>
        <v>9</v>
      </c>
      <c r="E37" s="13" t="n">
        <f aca="false">COUNTIF('ADR Patient Data'!$B$5:$B$524,B37)</f>
        <v>45</v>
      </c>
      <c r="F37" s="14" t="n">
        <f aca="false">D37/E37</f>
        <v>0.2</v>
      </c>
      <c r="G37" s="14" t="n">
        <f aca="false">(COUNTIF('ADR Patient Data'!$D$5:$D$524,C37)-D37)/(520-E37)</f>
        <v>0.0378947368421053</v>
      </c>
      <c r="H37" s="13" t="n">
        <f aca="false">IF(G37=0,"—",ROUND(F37/G37,2))</f>
        <v>5.28</v>
      </c>
      <c r="I37" s="13" t="str">
        <f aca="false">IF(G37=0,"Possible Signal *",IF(AND(D37&gt;=3,F37/G37&gt;=2),"Possible Signal","Inconclusive"))</f>
        <v>Possible Signal</v>
      </c>
      <c r="J37" s="0" t="str">
        <f aca="false">B37&amp;" – "&amp;C37</f>
        <v>Ferrous Sulfate – Nausea</v>
      </c>
    </row>
    <row r="38" customFormat="false" ht="15" hidden="false" customHeight="false" outlineLevel="0" collapsed="false">
      <c r="B38" s="13" t="s">
        <v>214</v>
      </c>
      <c r="C38" s="13" t="s">
        <v>1381</v>
      </c>
      <c r="D38" s="13" t="n">
        <f aca="false">COUNTIFS('ADR Patient Data'!$B$5:$B$524,B38,'ADR Patient Data'!$D$5:$D$524,C38)</f>
        <v>5</v>
      </c>
      <c r="E38" s="13" t="n">
        <f aca="false">COUNTIF('ADR Patient Data'!$B$5:$B$524,B38)</f>
        <v>34</v>
      </c>
      <c r="F38" s="14" t="n">
        <f aca="false">D38/E38</f>
        <v>0.147058823529412</v>
      </c>
      <c r="G38" s="14" t="n">
        <f aca="false">(COUNTIF('ADR Patient Data'!$D$5:$D$524,C38)-D38)/(520-E38)</f>
        <v>0.0308641975308642</v>
      </c>
      <c r="H38" s="13" t="n">
        <f aca="false">IF(G38=0,"—",ROUND(F38/G38,2))</f>
        <v>4.76</v>
      </c>
      <c r="I38" s="13" t="str">
        <f aca="false">IF(G38=0,"Possible Signal *",IF(AND(D38&gt;=3,F38/G38&gt;=2),"Possible Signal","Inconclusive"))</f>
        <v>Possible Signal</v>
      </c>
      <c r="J38" s="0" t="str">
        <f aca="false">B38&amp;" – "&amp;C38</f>
        <v>Metformin – Diarrhea</v>
      </c>
    </row>
    <row r="39" customFormat="false" ht="15" hidden="false" customHeight="false" outlineLevel="0" collapsed="false">
      <c r="B39" s="13" t="s">
        <v>115</v>
      </c>
      <c r="C39" s="13" t="s">
        <v>1381</v>
      </c>
      <c r="D39" s="13" t="n">
        <f aca="false">COUNTIFS('ADR Patient Data'!$B$5:$B$524,B39,'ADR Patient Data'!$D$5:$D$524,C39)</f>
        <v>4</v>
      </c>
      <c r="E39" s="13" t="n">
        <f aca="false">COUNTIF('ADR Patient Data'!$B$5:$B$524,B39)</f>
        <v>37</v>
      </c>
      <c r="F39" s="14" t="n">
        <f aca="false">D39/E39</f>
        <v>0.108108108108108</v>
      </c>
      <c r="G39" s="14" t="n">
        <f aca="false">(COUNTIF('ADR Patient Data'!$D$5:$D$524,C39)-D39)/(520-E39)</f>
        <v>0.0331262939958592</v>
      </c>
      <c r="H39" s="13" t="n">
        <f aca="false">IF(G39=0,"—",ROUND(F39/G39,2))</f>
        <v>3.26</v>
      </c>
      <c r="I39" s="13" t="str">
        <f aca="false">IF(G39=0,"Possible Signal *",IF(AND(D39&gt;=3,F39/G39&gt;=2),"Possible Signal","Inconclusive"))</f>
        <v>Possible Signal</v>
      </c>
      <c r="J39" s="0" t="str">
        <f aca="false">B39&amp;" – "&amp;C39</f>
        <v>Azithromycin – Diarrhea</v>
      </c>
    </row>
    <row r="40" customFormat="false" ht="15" hidden="false" customHeight="false" outlineLevel="0" collapsed="false">
      <c r="B40" s="13" t="s">
        <v>69</v>
      </c>
      <c r="C40" s="13" t="s">
        <v>1385</v>
      </c>
      <c r="D40" s="13" t="n">
        <f aca="false">COUNTIFS('ADR Patient Data'!$B$5:$B$524,B40,'ADR Patient Data'!$D$5:$D$524,C40)</f>
        <v>5</v>
      </c>
      <c r="E40" s="13" t="n">
        <f aca="false">COUNTIF('ADR Patient Data'!$B$5:$B$524,B40)</f>
        <v>35</v>
      </c>
      <c r="F40" s="14" t="n">
        <f aca="false">D40/E40</f>
        <v>0.142857142857143</v>
      </c>
      <c r="G40" s="14" t="n">
        <f aca="false">(COUNTIF('ADR Patient Data'!$D$5:$D$524,C40)-D40)/(520-E40)</f>
        <v>0.045360824742268</v>
      </c>
      <c r="H40" s="13" t="n">
        <f aca="false">IF(G40=0,"—",ROUND(F40/G40,2))</f>
        <v>3.15</v>
      </c>
      <c r="I40" s="13" t="str">
        <f aca="false">IF(G40=0,"Possible Signal *",IF(AND(D40&gt;=3,F40/G40&gt;=2),"Possible Signal","Inconclusive"))</f>
        <v>Possible Signal</v>
      </c>
      <c r="J40" s="0" t="str">
        <f aca="false">B40&amp;" – "&amp;C40</f>
        <v>Ibuprofen – Nausea</v>
      </c>
    </row>
    <row r="41" customFormat="false" ht="15" hidden="false" customHeight="false" outlineLevel="0" collapsed="false">
      <c r="B41" s="13" t="s">
        <v>214</v>
      </c>
      <c r="C41" s="13" t="s">
        <v>1385</v>
      </c>
      <c r="D41" s="13" t="n">
        <f aca="false">COUNTIFS('ADR Patient Data'!$B$5:$B$524,B41,'ADR Patient Data'!$D$5:$D$524,C41)</f>
        <v>3</v>
      </c>
      <c r="E41" s="13" t="n">
        <f aca="false">COUNTIF('ADR Patient Data'!$B$5:$B$524,B41)</f>
        <v>34</v>
      </c>
      <c r="F41" s="14" t="n">
        <f aca="false">D41/E41</f>
        <v>0.0882352941176471</v>
      </c>
      <c r="G41" s="14" t="n">
        <f aca="false">(COUNTIF('ADR Patient Data'!$D$5:$D$524,C41)-D41)/(520-E41)</f>
        <v>0.0493827160493827</v>
      </c>
      <c r="H41" s="13" t="n">
        <f aca="false">IF(G41=0,"—",ROUND(F41/G41,2))</f>
        <v>1.79</v>
      </c>
      <c r="I41" s="13" t="str">
        <f aca="false">IF(G41=0,"Possible Signal *",IF(AND(D41&gt;=3,F41/G41&gt;=2),"Possible Signal","Inconclusive"))</f>
        <v>Inconclusive</v>
      </c>
      <c r="J41" s="0" t="str">
        <f aca="false">B41&amp;" – "&amp;C41</f>
        <v>Metformin – Nausea</v>
      </c>
    </row>
    <row r="42" customFormat="false" ht="15" hidden="false" customHeight="false" outlineLevel="0" collapsed="false">
      <c r="B42" s="13" t="s">
        <v>650</v>
      </c>
      <c r="C42" s="13" t="s">
        <v>1385</v>
      </c>
      <c r="D42" s="13" t="n">
        <f aca="false">COUNTIFS('ADR Patient Data'!$B$5:$B$524,B42,'ADR Patient Data'!$D$5:$D$524,C42)</f>
        <v>3</v>
      </c>
      <c r="E42" s="13" t="n">
        <f aca="false">COUNTIF('ADR Patient Data'!$B$5:$B$524,B42)</f>
        <v>34</v>
      </c>
      <c r="F42" s="14" t="n">
        <f aca="false">D42/E42</f>
        <v>0.0882352941176471</v>
      </c>
      <c r="G42" s="14" t="n">
        <f aca="false">(COUNTIF('ADR Patient Data'!$D$5:$D$524,C42)-D42)/(520-E42)</f>
        <v>0.0493827160493827</v>
      </c>
      <c r="H42" s="13" t="n">
        <f aca="false">IF(G42=0,"—",ROUND(F42/G42,2))</f>
        <v>1.79</v>
      </c>
      <c r="I42" s="13" t="str">
        <f aca="false">IF(G42=0,"Possible Signal *",IF(AND(D42&gt;=3,F42/G42&gt;=2),"Possible Signal","Inconclusive"))</f>
        <v>Inconclusive</v>
      </c>
      <c r="J42" s="0" t="str">
        <f aca="false">B42&amp;" – "&amp;C42</f>
        <v>Omeprazole – Nausea</v>
      </c>
    </row>
    <row r="43" customFormat="false" ht="15" hidden="false" customHeight="false" outlineLevel="0" collapsed="false">
      <c r="B43" s="13" t="s">
        <v>323</v>
      </c>
      <c r="C43" s="13" t="s">
        <v>1385</v>
      </c>
      <c r="D43" s="13" t="n">
        <f aca="false">COUNTIFS('ADR Patient Data'!$B$5:$B$524,B43,'ADR Patient Data'!$D$5:$D$524,C43)</f>
        <v>3</v>
      </c>
      <c r="E43" s="13" t="n">
        <f aca="false">COUNTIF('ADR Patient Data'!$B$5:$B$524,B43)</f>
        <v>42</v>
      </c>
      <c r="F43" s="14" t="n">
        <f aca="false">D43/E43</f>
        <v>0.0714285714285714</v>
      </c>
      <c r="G43" s="14" t="n">
        <f aca="false">(COUNTIF('ADR Patient Data'!$D$5:$D$524,C43)-D43)/(520-E43)</f>
        <v>0.0502092050209205</v>
      </c>
      <c r="H43" s="13" t="n">
        <f aca="false">IF(G43=0,"—",ROUND(F43/G43,2))</f>
        <v>1.42</v>
      </c>
      <c r="I43" s="13" t="str">
        <f aca="false">IF(G43=0,"Possible Signal *",IF(AND(D43&gt;=3,F43/G43&gt;=2),"Possible Signal","Inconclusive"))</f>
        <v>Inconclusive</v>
      </c>
      <c r="J43" s="0" t="str">
        <f aca="false">B43&amp;" – "&amp;C43</f>
        <v>Favipiravir – Nausea</v>
      </c>
    </row>
    <row r="44" customFormat="false" ht="15" hidden="false" customHeight="false" outlineLevel="0" collapsed="false">
      <c r="B44" s="27" t="s">
        <v>1929</v>
      </c>
      <c r="C44" s="27"/>
      <c r="D44" s="27"/>
      <c r="E44" s="27"/>
      <c r="F44" s="27"/>
      <c r="G44" s="27"/>
      <c r="H44" s="27"/>
      <c r="I44" s="27"/>
    </row>
    <row r="46" customFormat="false" ht="15" hidden="false" customHeight="false" outlineLevel="0" collapsed="false">
      <c r="B46" s="11" t="s">
        <v>1930</v>
      </c>
      <c r="C46" s="11"/>
      <c r="D46" s="11"/>
      <c r="E46" s="11"/>
      <c r="F46" s="11"/>
    </row>
    <row r="47" customFormat="false" ht="15" hidden="false" customHeight="false" outlineLevel="0" collapsed="false">
      <c r="B47" s="5" t="s">
        <v>50</v>
      </c>
      <c r="C47" s="5" t="s">
        <v>1372</v>
      </c>
      <c r="D47" s="5" t="s">
        <v>1923</v>
      </c>
      <c r="E47" s="5" t="s">
        <v>1931</v>
      </c>
      <c r="F47" s="5" t="s">
        <v>1932</v>
      </c>
    </row>
    <row r="48" customFormat="false" ht="15" hidden="false" customHeight="false" outlineLevel="0" collapsed="false">
      <c r="B48" s="13" t="s">
        <v>154</v>
      </c>
      <c r="C48" s="13" t="s">
        <v>1520</v>
      </c>
      <c r="D48" s="13" t="n">
        <f aca="false">COUNTIFS('ADR Patient Data'!$B$5:$B$524,B48,'ADR Patient Data'!$D$5:$D$524,C48)</f>
        <v>5</v>
      </c>
      <c r="E48" s="13" t="n">
        <f aca="false">ROUND(AVERAGEIFS('ADR Patient Data'!$F$5:$F$524,'ADR Patient Data'!$B$5:$B$524,B48,'ADR Patient Data'!$D$5:$D$524,C48),1)</f>
        <v>7.4</v>
      </c>
      <c r="F48" s="13" t="str">
        <f aca="false">IF(E48&lt;=14,"Rapid &amp; consistent — supports a link","Delayed/variable — weaker evidence")</f>
        <v>Rapid &amp; consistent — supports a link</v>
      </c>
      <c r="J48" s="0" t="str">
        <f aca="false">B48&amp;" – "&amp;C48</f>
        <v>Ferrous Sulfate – Constipation</v>
      </c>
    </row>
    <row r="49" customFormat="false" ht="15" hidden="false" customHeight="false" outlineLevel="0" collapsed="false">
      <c r="B49" s="13" t="s">
        <v>277</v>
      </c>
      <c r="C49" s="13" t="s">
        <v>1616</v>
      </c>
      <c r="D49" s="13" t="n">
        <f aca="false">COUNTIFS('ADR Patient Data'!$B$5:$B$524,B49,'ADR Patient Data'!$D$5:$D$524,C49)</f>
        <v>4</v>
      </c>
      <c r="E49" s="13" t="n">
        <f aca="false">ROUND(AVERAGEIFS('ADR Patient Data'!$F$5:$F$524,'ADR Patient Data'!$B$5:$B$524,B49,'ADR Patient Data'!$D$5:$D$524,C49),1)</f>
        <v>7</v>
      </c>
      <c r="F49" s="13" t="str">
        <f aca="false">IF(E49&lt;=14,"Rapid &amp; consistent — supports a link","Delayed/variable — weaker evidence")</f>
        <v>Rapid &amp; consistent — supports a link</v>
      </c>
      <c r="J49" s="0" t="str">
        <f aca="false">B49&amp;" – "&amp;C49</f>
        <v>Salbutamol – Tremor</v>
      </c>
    </row>
    <row r="50" customFormat="false" ht="15" hidden="false" customHeight="false" outlineLevel="0" collapsed="false">
      <c r="B50" s="13" t="s">
        <v>166</v>
      </c>
      <c r="C50" s="13" t="s">
        <v>1404</v>
      </c>
      <c r="D50" s="13" t="n">
        <f aca="false">COUNTIFS('ADR Patient Data'!$B$5:$B$524,B50,'ADR Patient Data'!$D$5:$D$524,C50)</f>
        <v>5</v>
      </c>
      <c r="E50" s="13" t="n">
        <f aca="false">ROUND(AVERAGEIFS('ADR Patient Data'!$F$5:$F$524,'ADR Patient Data'!$B$5:$B$524,B50,'ADR Patient Data'!$D$5:$D$524,C50),1)</f>
        <v>8.4</v>
      </c>
      <c r="F50" s="13" t="str">
        <f aca="false">IF(E50&lt;=14,"Rapid &amp; consistent — supports a link","Delayed/variable — weaker evidence")</f>
        <v>Rapid &amp; consistent — supports a link</v>
      </c>
      <c r="J50" s="0" t="str">
        <f aca="false">B50&amp;" – "&amp;C50</f>
        <v>Orlistat – Vomiting</v>
      </c>
    </row>
    <row r="51" customFormat="false" ht="15" hidden="false" customHeight="false" outlineLevel="0" collapsed="false">
      <c r="B51" s="13" t="s">
        <v>650</v>
      </c>
      <c r="C51" s="13" t="s">
        <v>1584</v>
      </c>
      <c r="D51" s="13" t="n">
        <f aca="false">COUNTIFS('ADR Patient Data'!$B$5:$B$524,B51,'ADR Patient Data'!$D$5:$D$524,C51)</f>
        <v>4</v>
      </c>
      <c r="E51" s="13" t="n">
        <f aca="false">ROUND(AVERAGEIFS('ADR Patient Data'!$F$5:$F$524,'ADR Patient Data'!$B$5:$B$524,B51,'ADR Patient Data'!$D$5:$D$524,C51),1)</f>
        <v>5.3</v>
      </c>
      <c r="F51" s="13" t="str">
        <f aca="false">IF(E51&lt;=14,"Rapid &amp; consistent — supports a link","Delayed/variable — weaker evidence")</f>
        <v>Rapid &amp; consistent — supports a link</v>
      </c>
      <c r="J51" s="0" t="str">
        <f aca="false">B51&amp;" – "&amp;C51</f>
        <v>Omeprazole – Headache</v>
      </c>
    </row>
    <row r="52" customFormat="false" ht="15" hidden="false" customHeight="false" outlineLevel="0" collapsed="false">
      <c r="B52" s="13" t="s">
        <v>646</v>
      </c>
      <c r="C52" s="13" t="s">
        <v>1444</v>
      </c>
      <c r="D52" s="13" t="n">
        <f aca="false">COUNTIFS('ADR Patient Data'!$B$5:$B$524,B52,'ADR Patient Data'!$D$5:$D$524,C52)</f>
        <v>4</v>
      </c>
      <c r="E52" s="13" t="n">
        <f aca="false">ROUND(AVERAGEIFS('ADR Patient Data'!$F$5:$F$524,'ADR Patient Data'!$B$5:$B$524,B52,'ADR Patient Data'!$D$5:$D$524,C52),1)</f>
        <v>6.5</v>
      </c>
      <c r="F52" s="13" t="str">
        <f aca="false">IF(E52&lt;=14,"Rapid &amp; consistent — supports a link","Delayed/variable — weaker evidence")</f>
        <v>Rapid &amp; consistent — supports a link</v>
      </c>
      <c r="J52" s="0" t="str">
        <f aca="false">B52&amp;" – "&amp;C52</f>
        <v>Sertraline – Dry Mouth</v>
      </c>
    </row>
    <row r="53" customFormat="false" ht="15" hidden="false" customHeight="false" outlineLevel="0" collapsed="false">
      <c r="B53" s="13" t="s">
        <v>262</v>
      </c>
      <c r="C53" s="13" t="s">
        <v>1513</v>
      </c>
      <c r="D53" s="13" t="n">
        <f aca="false">COUNTIFS('ADR Patient Data'!$B$5:$B$524,B53,'ADR Patient Data'!$D$5:$D$524,C53)</f>
        <v>3</v>
      </c>
      <c r="E53" s="13" t="n">
        <f aca="false">ROUND(AVERAGEIFS('ADR Patient Data'!$F$5:$F$524,'ADR Patient Data'!$B$5:$B$524,B53,'ADR Patient Data'!$D$5:$D$524,C53),1)</f>
        <v>10</v>
      </c>
      <c r="F53" s="13" t="str">
        <f aca="false">IF(E53&lt;=14,"Rapid &amp; consistent — supports a link","Delayed/variable — weaker evidence")</f>
        <v>Rapid &amp; consistent — supports a link</v>
      </c>
      <c r="J53" s="0" t="str">
        <f aca="false">B53&amp;" – "&amp;C53</f>
        <v>Cetirizine – Drowsiness</v>
      </c>
    </row>
    <row r="54" customFormat="false" ht="15" hidden="false" customHeight="false" outlineLevel="0" collapsed="false">
      <c r="B54" s="13" t="s">
        <v>52</v>
      </c>
      <c r="C54" s="13" t="s">
        <v>1412</v>
      </c>
      <c r="D54" s="13" t="n">
        <f aca="false">COUNTIFS('ADR Patient Data'!$B$5:$B$524,B54,'ADR Patient Data'!$D$5:$D$524,C54)</f>
        <v>5</v>
      </c>
      <c r="E54" s="13" t="n">
        <f aca="false">ROUND(AVERAGEIFS('ADR Patient Data'!$F$5:$F$524,'ADR Patient Data'!$B$5:$B$524,B54,'ADR Patient Data'!$D$5:$D$524,C54),1)</f>
        <v>7.2</v>
      </c>
      <c r="F54" s="13" t="str">
        <f aca="false">IF(E54&lt;=14,"Rapid &amp; consistent — supports a link","Delayed/variable — weaker evidence")</f>
        <v>Rapid &amp; consistent — supports a link</v>
      </c>
      <c r="J54" s="0" t="str">
        <f aca="false">B54&amp;" – "&amp;C54</f>
        <v>Amlodipine – Swelling</v>
      </c>
    </row>
    <row r="55" customFormat="false" ht="15" hidden="false" customHeight="false" outlineLevel="0" collapsed="false">
      <c r="B55" s="13" t="s">
        <v>166</v>
      </c>
      <c r="C55" s="13" t="s">
        <v>1572</v>
      </c>
      <c r="D55" s="13" t="n">
        <f aca="false">COUNTIFS('ADR Patient Data'!$B$5:$B$524,B55,'ADR Patient Data'!$D$5:$D$524,C55)</f>
        <v>3</v>
      </c>
      <c r="E55" s="13" t="n">
        <f aca="false">ROUND(AVERAGEIFS('ADR Patient Data'!$F$5:$F$524,'ADR Patient Data'!$B$5:$B$524,B55,'ADR Patient Data'!$D$5:$D$524,C55),1)</f>
        <v>66.3</v>
      </c>
      <c r="F55" s="13" t="str">
        <f aca="false">IF(E55&lt;=14,"Rapid &amp; consistent — supports a link","Delayed/variable — weaker evidence")</f>
        <v>Delayed/variable — weaker evidence</v>
      </c>
      <c r="J55" s="0" t="str">
        <f aca="false">B55&amp;" – "&amp;C55</f>
        <v>Orlistat – Fatigue</v>
      </c>
    </row>
    <row r="56" customFormat="false" ht="15" hidden="false" customHeight="false" outlineLevel="0" collapsed="false">
      <c r="B56" s="13" t="s">
        <v>166</v>
      </c>
      <c r="C56" s="13" t="s">
        <v>1381</v>
      </c>
      <c r="D56" s="13" t="n">
        <f aca="false">COUNTIFS('ADR Patient Data'!$B$5:$B$524,B56,'ADR Patient Data'!$D$5:$D$524,C56)</f>
        <v>9</v>
      </c>
      <c r="E56" s="13" t="n">
        <f aca="false">ROUND(AVERAGEIFS('ADR Patient Data'!$F$5:$F$524,'ADR Patient Data'!$B$5:$B$524,B56,'ADR Patient Data'!$D$5:$D$524,C56),1)</f>
        <v>4.3</v>
      </c>
      <c r="F56" s="13" t="str">
        <f aca="false">IF(E56&lt;=14,"Rapid &amp; consistent — supports a link","Delayed/variable — weaker evidence")</f>
        <v>Rapid &amp; consistent — supports a link</v>
      </c>
      <c r="J56" s="0" t="str">
        <f aca="false">B56&amp;" – "&amp;C56</f>
        <v>Orlistat – Diarrhea</v>
      </c>
    </row>
    <row r="57" customFormat="false" ht="15" hidden="false" customHeight="false" outlineLevel="0" collapsed="false">
      <c r="B57" s="13" t="s">
        <v>52</v>
      </c>
      <c r="C57" s="13" t="s">
        <v>1560</v>
      </c>
      <c r="D57" s="13" t="n">
        <f aca="false">COUNTIFS('ADR Patient Data'!$B$5:$B$524,B57,'ADR Patient Data'!$D$5:$D$524,C57)</f>
        <v>6</v>
      </c>
      <c r="E57" s="13" t="n">
        <f aca="false">ROUND(AVERAGEIFS('ADR Patient Data'!$F$5:$F$524,'ADR Patient Data'!$B$5:$B$524,B57,'ADR Patient Data'!$D$5:$D$524,C57),1)</f>
        <v>5.3</v>
      </c>
      <c r="F57" s="13" t="str">
        <f aca="false">IF(E57&lt;=14,"Rapid &amp; consistent — supports a link","Delayed/variable — weaker evidence")</f>
        <v>Rapid &amp; consistent — supports a link</v>
      </c>
      <c r="J57" s="0" t="str">
        <f aca="false">B57&amp;" – "&amp;C57</f>
        <v>Amlodipine – Dizziness</v>
      </c>
    </row>
    <row r="58" customFormat="false" ht="15" hidden="false" customHeight="false" outlineLevel="0" collapsed="false">
      <c r="B58" s="13" t="s">
        <v>154</v>
      </c>
      <c r="C58" s="13" t="s">
        <v>1385</v>
      </c>
      <c r="D58" s="13" t="n">
        <f aca="false">COUNTIFS('ADR Patient Data'!$B$5:$B$524,B58,'ADR Patient Data'!$D$5:$D$524,C58)</f>
        <v>9</v>
      </c>
      <c r="E58" s="13" t="n">
        <f aca="false">ROUND(AVERAGEIFS('ADR Patient Data'!$F$5:$F$524,'ADR Patient Data'!$B$5:$B$524,B58,'ADR Patient Data'!$D$5:$D$524,C58),1)</f>
        <v>3.8</v>
      </c>
      <c r="F58" s="13" t="str">
        <f aca="false">IF(E58&lt;=14,"Rapid &amp; consistent — supports a link","Delayed/variable — weaker evidence")</f>
        <v>Rapid &amp; consistent — supports a link</v>
      </c>
      <c r="J58" s="0" t="str">
        <f aca="false">B58&amp;" – "&amp;C58</f>
        <v>Ferrous Sulfate – Nausea</v>
      </c>
    </row>
    <row r="59" customFormat="false" ht="15" hidden="false" customHeight="false" outlineLevel="0" collapsed="false">
      <c r="B59" s="13" t="s">
        <v>214</v>
      </c>
      <c r="C59" s="13" t="s">
        <v>1381</v>
      </c>
      <c r="D59" s="13" t="n">
        <f aca="false">COUNTIFS('ADR Patient Data'!$B$5:$B$524,B59,'ADR Patient Data'!$D$5:$D$524,C59)</f>
        <v>5</v>
      </c>
      <c r="E59" s="13" t="n">
        <f aca="false">ROUND(AVERAGEIFS('ADR Patient Data'!$F$5:$F$524,'ADR Patient Data'!$B$5:$B$524,B59,'ADR Patient Data'!$D$5:$D$524,C59),1)</f>
        <v>5.6</v>
      </c>
      <c r="F59" s="13" t="str">
        <f aca="false">IF(E59&lt;=14,"Rapid &amp; consistent — supports a link","Delayed/variable — weaker evidence")</f>
        <v>Rapid &amp; consistent — supports a link</v>
      </c>
      <c r="J59" s="0" t="str">
        <f aca="false">B59&amp;" – "&amp;C59</f>
        <v>Metformin – Diarrhea</v>
      </c>
    </row>
    <row r="60" customFormat="false" ht="15" hidden="false" customHeight="false" outlineLevel="0" collapsed="false">
      <c r="B60" s="13" t="s">
        <v>115</v>
      </c>
      <c r="C60" s="13" t="s">
        <v>1381</v>
      </c>
      <c r="D60" s="13" t="n">
        <f aca="false">COUNTIFS('ADR Patient Data'!$B$5:$B$524,B60,'ADR Patient Data'!$D$5:$D$524,C60)</f>
        <v>4</v>
      </c>
      <c r="E60" s="13" t="n">
        <f aca="false">ROUND(AVERAGEIFS('ADR Patient Data'!$F$5:$F$524,'ADR Patient Data'!$B$5:$B$524,B60,'ADR Patient Data'!$D$5:$D$524,C60),1)</f>
        <v>17.3</v>
      </c>
      <c r="F60" s="13" t="str">
        <f aca="false">IF(E60&lt;=14,"Rapid &amp; consistent — supports a link","Delayed/variable — weaker evidence")</f>
        <v>Delayed/variable — weaker evidence</v>
      </c>
      <c r="J60" s="0" t="str">
        <f aca="false">B60&amp;" – "&amp;C60</f>
        <v>Azithromycin – Diarrhea</v>
      </c>
    </row>
    <row r="61" customFormat="false" ht="15" hidden="false" customHeight="false" outlineLevel="0" collapsed="false">
      <c r="B61" s="13" t="s">
        <v>69</v>
      </c>
      <c r="C61" s="13" t="s">
        <v>1385</v>
      </c>
      <c r="D61" s="13" t="n">
        <f aca="false">COUNTIFS('ADR Patient Data'!$B$5:$B$524,B61,'ADR Patient Data'!$D$5:$D$524,C61)</f>
        <v>5</v>
      </c>
      <c r="E61" s="13" t="n">
        <f aca="false">ROUND(AVERAGEIFS('ADR Patient Data'!$F$5:$F$524,'ADR Patient Data'!$B$5:$B$524,B61,'ADR Patient Data'!$D$5:$D$524,C61),1)</f>
        <v>7.4</v>
      </c>
      <c r="F61" s="13" t="str">
        <f aca="false">IF(E61&lt;=14,"Rapid &amp; consistent — supports a link","Delayed/variable — weaker evidence")</f>
        <v>Rapid &amp; consistent — supports a link</v>
      </c>
      <c r="J61" s="0" t="str">
        <f aca="false">B61&amp;" – "&amp;C61</f>
        <v>Ibuprofen – Nausea</v>
      </c>
    </row>
    <row r="62" customFormat="false" ht="15" hidden="false" customHeight="false" outlineLevel="0" collapsed="false">
      <c r="B62" s="13" t="s">
        <v>214</v>
      </c>
      <c r="C62" s="13" t="s">
        <v>1385</v>
      </c>
      <c r="D62" s="13" t="n">
        <f aca="false">COUNTIFS('ADR Patient Data'!$B$5:$B$524,B62,'ADR Patient Data'!$D$5:$D$524,C62)</f>
        <v>3</v>
      </c>
      <c r="E62" s="13" t="n">
        <f aca="false">ROUND(AVERAGEIFS('ADR Patient Data'!$F$5:$F$524,'ADR Patient Data'!$B$5:$B$524,B62,'ADR Patient Data'!$D$5:$D$524,C62),1)</f>
        <v>13.3</v>
      </c>
      <c r="F62" s="13" t="str">
        <f aca="false">IF(E62&lt;=14,"Rapid &amp; consistent — supports a link","Delayed/variable — weaker evidence")</f>
        <v>Rapid &amp; consistent — supports a link</v>
      </c>
      <c r="J62" s="0" t="str">
        <f aca="false">B62&amp;" – "&amp;C62</f>
        <v>Metformin – Nausea</v>
      </c>
    </row>
    <row r="63" customFormat="false" ht="15" hidden="false" customHeight="false" outlineLevel="0" collapsed="false">
      <c r="B63" s="13" t="s">
        <v>650</v>
      </c>
      <c r="C63" s="13" t="s">
        <v>1385</v>
      </c>
      <c r="D63" s="13" t="n">
        <f aca="false">COUNTIFS('ADR Patient Data'!$B$5:$B$524,B63,'ADR Patient Data'!$D$5:$D$524,C63)</f>
        <v>3</v>
      </c>
      <c r="E63" s="13" t="n">
        <f aca="false">ROUND(AVERAGEIFS('ADR Patient Data'!$F$5:$F$524,'ADR Patient Data'!$B$5:$B$524,B63,'ADR Patient Data'!$D$5:$D$524,C63),1)</f>
        <v>9.3</v>
      </c>
      <c r="F63" s="13" t="str">
        <f aca="false">IF(E63&lt;=14,"Rapid &amp; consistent — supports a link","Delayed/variable — weaker evidence")</f>
        <v>Rapid &amp; consistent — supports a link</v>
      </c>
      <c r="J63" s="0" t="str">
        <f aca="false">B63&amp;" – "&amp;C63</f>
        <v>Omeprazole – Nausea</v>
      </c>
    </row>
    <row r="64" customFormat="false" ht="15" hidden="false" customHeight="false" outlineLevel="0" collapsed="false">
      <c r="B64" s="13" t="s">
        <v>323</v>
      </c>
      <c r="C64" s="13" t="s">
        <v>1385</v>
      </c>
      <c r="D64" s="13" t="n">
        <f aca="false">COUNTIFS('ADR Patient Data'!$B$5:$B$524,B64,'ADR Patient Data'!$D$5:$D$524,C64)</f>
        <v>3</v>
      </c>
      <c r="E64" s="13" t="n">
        <f aca="false">ROUND(AVERAGEIFS('ADR Patient Data'!$F$5:$F$524,'ADR Patient Data'!$B$5:$B$524,B64,'ADR Patient Data'!$D$5:$D$524,C64),1)</f>
        <v>5.3</v>
      </c>
      <c r="F64" s="13" t="str">
        <f aca="false">IF(E64&lt;=14,"Rapid &amp; consistent — supports a link","Delayed/variable — weaker evidence")</f>
        <v>Rapid &amp; consistent — supports a link</v>
      </c>
      <c r="J64" s="0" t="str">
        <f aca="false">B64&amp;" – "&amp;C64</f>
        <v>Favipiravir – Nausea</v>
      </c>
    </row>
  </sheetData>
  <mergeCells count="5">
    <mergeCell ref="B5:I5"/>
    <mergeCell ref="B7:E7"/>
    <mergeCell ref="B25:I25"/>
    <mergeCell ref="B44:I44"/>
    <mergeCell ref="B46:F46"/>
  </mergeCells>
  <conditionalFormatting sqref="I27:I43">
    <cfRule type="cellIs" priority="2" operator="equal" aboveAverage="0" equalAverage="0" bottom="0" percent="0" rank="0" text="" dxfId="5">
      <formula>"Possible Signal"</formula>
    </cfRule>
    <cfRule type="cellIs" priority="3" operator="equal" aboveAverage="0" equalAverage="0" bottom="0" percent="0" rank="0" text="" dxfId="5">
      <formula>"Possible Signal *"</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7"/>
    <col collapsed="false" customWidth="true" hidden="false" outlineLevel="0" max="4" min="4" style="0" width="15"/>
    <col collapsed="false" customWidth="true" hidden="false" outlineLevel="0" max="5" min="5" style="0" width="14"/>
    <col collapsed="false" customWidth="true" hidden="false" outlineLevel="0" max="6" min="6" style="0" width="18"/>
    <col collapsed="false" customWidth="true" hidden="false" outlineLevel="0" max="7" min="7" style="0" width="19"/>
    <col collapsed="false" customWidth="true" hidden="false" outlineLevel="0" max="8" min="8" style="0" width="13"/>
    <col collapsed="false" customWidth="true" hidden="false" outlineLevel="0" max="9" min="9" style="0" width="15"/>
    <col collapsed="false" customWidth="true" hidden="false" outlineLevel="0" max="11" min="10" style="0" width="16"/>
    <col collapsed="false" customWidth="true" hidden="false" outlineLevel="0" max="12" min="12" style="0" width="9"/>
    <col collapsed="false" customWidth="true" hidden="false" outlineLevel="0" max="13" min="13" style="0" width="18"/>
    <col collapsed="false" customWidth="true" hidden="false" outlineLevel="0" max="14" min="14" style="0" width="17"/>
  </cols>
  <sheetData>
    <row r="1" customFormat="false" ht="17.35" hidden="false" customHeight="false" outlineLevel="0" collapsed="false">
      <c r="A1" s="18" t="s">
        <v>1933</v>
      </c>
    </row>
    <row r="2" customFormat="false" ht="27.75" hidden="false" customHeight="true" outlineLevel="0" collapsed="false">
      <c r="A2" s="19" t="s">
        <v>1934</v>
      </c>
      <c r="B2" s="19"/>
      <c r="C2" s="19"/>
      <c r="D2" s="19"/>
      <c r="E2" s="19"/>
      <c r="F2" s="19"/>
      <c r="G2" s="19"/>
      <c r="H2" s="19"/>
      <c r="I2" s="19"/>
      <c r="J2" s="19"/>
      <c r="K2" s="19"/>
      <c r="L2" s="19"/>
      <c r="M2" s="19"/>
      <c r="N2" s="19"/>
    </row>
    <row r="4" customFormat="false" ht="15" hidden="false" customHeight="false" outlineLevel="0" collapsed="false">
      <c r="A4" s="5" t="s">
        <v>29</v>
      </c>
      <c r="B4" s="5" t="s">
        <v>39</v>
      </c>
      <c r="C4" s="5" t="s">
        <v>1935</v>
      </c>
      <c r="D4" s="5" t="s">
        <v>1936</v>
      </c>
      <c r="E4" s="5" t="s">
        <v>1937</v>
      </c>
      <c r="F4" s="5" t="s">
        <v>1938</v>
      </c>
      <c r="G4" s="5" t="s">
        <v>1939</v>
      </c>
      <c r="H4" s="5" t="s">
        <v>1940</v>
      </c>
      <c r="I4" s="5" t="s">
        <v>1941</v>
      </c>
      <c r="J4" s="5" t="s">
        <v>1942</v>
      </c>
      <c r="K4" s="5" t="s">
        <v>1943</v>
      </c>
      <c r="L4" s="5" t="s">
        <v>1944</v>
      </c>
      <c r="M4" s="5" t="s">
        <v>1945</v>
      </c>
      <c r="N4" s="5" t="s">
        <v>1946</v>
      </c>
    </row>
    <row r="5" customFormat="false" ht="15" hidden="false" customHeight="false" outlineLevel="0" collapsed="false">
      <c r="A5" s="8" t="s">
        <v>1947</v>
      </c>
      <c r="B5" s="8" t="n">
        <v>85</v>
      </c>
      <c r="C5" s="8" t="n">
        <v>26.1</v>
      </c>
      <c r="D5" s="8" t="n">
        <v>122</v>
      </c>
      <c r="E5" s="8" t="n">
        <v>70</v>
      </c>
      <c r="F5" s="8" t="n">
        <v>0</v>
      </c>
      <c r="G5" s="8" t="n">
        <v>1</v>
      </c>
      <c r="H5" s="8" t="n">
        <v>0</v>
      </c>
      <c r="I5" s="8" t="s">
        <v>1948</v>
      </c>
      <c r="J5" s="8" t="s">
        <v>1405</v>
      </c>
      <c r="K5" s="8" t="s">
        <v>1948</v>
      </c>
      <c r="L5" s="8" t="s">
        <v>1949</v>
      </c>
      <c r="M5" s="28" t="n">
        <f aca="false">'Disease Prediction Model'!$C$9+'Disease Prediction Model'!$C$10*B5+'Disease Prediction Model'!$C$11*C5+'Disease Prediction Model'!$C$12*D5+'Disease Prediction Model'!$C$13*E5+'Disease Prediction Model'!$C$14*F5+'Disease Prediction Model'!$C$15*G5</f>
        <v>0.044969</v>
      </c>
      <c r="N5" s="8" t="str">
        <f aca="false">IF(M5&gt;=0.5,"Yes","No")</f>
        <v>No</v>
      </c>
    </row>
    <row r="6" customFormat="false" ht="15" hidden="false" customHeight="false" outlineLevel="0" collapsed="false">
      <c r="A6" s="8" t="s">
        <v>1950</v>
      </c>
      <c r="B6" s="8" t="n">
        <v>73</v>
      </c>
      <c r="C6" s="8" t="n">
        <v>21.8</v>
      </c>
      <c r="D6" s="8" t="n">
        <v>132</v>
      </c>
      <c r="E6" s="8" t="n">
        <v>122</v>
      </c>
      <c r="F6" s="8" t="n">
        <v>0</v>
      </c>
      <c r="G6" s="8" t="n">
        <v>2</v>
      </c>
      <c r="H6" s="8" t="n">
        <v>0</v>
      </c>
      <c r="I6" s="8" t="s">
        <v>1948</v>
      </c>
      <c r="J6" s="8" t="s">
        <v>1951</v>
      </c>
      <c r="K6" s="8" t="s">
        <v>1948</v>
      </c>
      <c r="L6" s="8" t="s">
        <v>1949</v>
      </c>
      <c r="M6" s="28" t="n">
        <f aca="false">'Disease Prediction Model'!$C$9+'Disease Prediction Model'!$C$10*B6+'Disease Prediction Model'!$C$11*C6+'Disease Prediction Model'!$C$12*D6+'Disease Prediction Model'!$C$13*E6+'Disease Prediction Model'!$C$14*F6+'Disease Prediction Model'!$C$15*G6</f>
        <v>0.377412</v>
      </c>
      <c r="N6" s="8" t="str">
        <f aca="false">IF(M6&gt;=0.5,"Yes","No")</f>
        <v>No</v>
      </c>
    </row>
    <row r="7" customFormat="false" ht="15" hidden="false" customHeight="false" outlineLevel="0" collapsed="false">
      <c r="A7" s="8" t="s">
        <v>1952</v>
      </c>
      <c r="B7" s="8" t="n">
        <v>54</v>
      </c>
      <c r="C7" s="8" t="n">
        <v>25</v>
      </c>
      <c r="D7" s="8" t="n">
        <v>104</v>
      </c>
      <c r="E7" s="8" t="n">
        <v>96</v>
      </c>
      <c r="F7" s="8" t="n">
        <v>0</v>
      </c>
      <c r="G7" s="8" t="n">
        <v>1</v>
      </c>
      <c r="H7" s="8" t="n">
        <v>0</v>
      </c>
      <c r="I7" s="8" t="s">
        <v>1948</v>
      </c>
      <c r="J7" s="8" t="s">
        <v>1405</v>
      </c>
      <c r="K7" s="8" t="s">
        <v>1948</v>
      </c>
      <c r="L7" s="8" t="s">
        <v>1949</v>
      </c>
      <c r="M7" s="28" t="n">
        <f aca="false">'Disease Prediction Model'!$C$9+'Disease Prediction Model'!$C$10*B7+'Disease Prediction Model'!$C$11*C7+'Disease Prediction Model'!$C$12*D7+'Disease Prediction Model'!$C$13*E7+'Disease Prediction Model'!$C$14*F7+'Disease Prediction Model'!$C$15*G7</f>
        <v>0.11824</v>
      </c>
      <c r="N7" s="8" t="str">
        <f aca="false">IF(M7&gt;=0.5,"Yes","No")</f>
        <v>No</v>
      </c>
    </row>
    <row r="8" customFormat="false" ht="15" hidden="false" customHeight="false" outlineLevel="0" collapsed="false">
      <c r="A8" s="8" t="s">
        <v>1953</v>
      </c>
      <c r="B8" s="8" t="n">
        <v>56</v>
      </c>
      <c r="C8" s="8" t="n">
        <v>30.5</v>
      </c>
      <c r="D8" s="8" t="n">
        <v>136</v>
      </c>
      <c r="E8" s="8" t="n">
        <v>93</v>
      </c>
      <c r="F8" s="8" t="n">
        <v>0</v>
      </c>
      <c r="G8" s="8" t="n">
        <v>1</v>
      </c>
      <c r="H8" s="8" t="n">
        <v>1</v>
      </c>
      <c r="I8" s="8" t="s">
        <v>1948</v>
      </c>
      <c r="J8" s="8" t="s">
        <v>1405</v>
      </c>
      <c r="K8" s="8" t="s">
        <v>1954</v>
      </c>
      <c r="L8" s="8" t="s">
        <v>1949</v>
      </c>
      <c r="M8" s="28" t="n">
        <f aca="false">'Disease Prediction Model'!$C$9+'Disease Prediction Model'!$C$10*B8+'Disease Prediction Model'!$C$11*C8+'Disease Prediction Model'!$C$12*D8+'Disease Prediction Model'!$C$13*E8+'Disease Prediction Model'!$C$14*F8+'Disease Prediction Model'!$C$15*G8</f>
        <v>0.273505</v>
      </c>
      <c r="N8" s="8" t="str">
        <f aca="false">IF(M8&gt;=0.5,"Yes","No")</f>
        <v>No</v>
      </c>
    </row>
    <row r="9" customFormat="false" ht="15" hidden="false" customHeight="false" outlineLevel="0" collapsed="false">
      <c r="A9" s="8" t="s">
        <v>1955</v>
      </c>
      <c r="B9" s="8" t="n">
        <v>70</v>
      </c>
      <c r="C9" s="8" t="n">
        <v>18.1</v>
      </c>
      <c r="D9" s="8" t="n">
        <v>126</v>
      </c>
      <c r="E9" s="8" t="n">
        <v>89</v>
      </c>
      <c r="F9" s="8" t="n">
        <v>1</v>
      </c>
      <c r="G9" s="8" t="n">
        <v>2</v>
      </c>
      <c r="H9" s="8" t="n">
        <v>0</v>
      </c>
      <c r="I9" s="8" t="s">
        <v>1954</v>
      </c>
      <c r="J9" s="8" t="s">
        <v>1951</v>
      </c>
      <c r="K9" s="8" t="s">
        <v>1948</v>
      </c>
      <c r="L9" s="8" t="s">
        <v>1949</v>
      </c>
      <c r="M9" s="28" t="n">
        <f aca="false">'Disease Prediction Model'!$C$9+'Disease Prediction Model'!$C$10*B9+'Disease Prediction Model'!$C$11*C9+'Disease Prediction Model'!$C$12*D9+'Disease Prediction Model'!$C$13*E9+'Disease Prediction Model'!$C$14*F9+'Disease Prediction Model'!$C$15*G9</f>
        <v>0.131689</v>
      </c>
      <c r="N9" s="8" t="str">
        <f aca="false">IF(M9&gt;=0.5,"Yes","No")</f>
        <v>No</v>
      </c>
    </row>
    <row r="10" customFormat="false" ht="15" hidden="false" customHeight="false" outlineLevel="0" collapsed="false">
      <c r="A10" s="8" t="s">
        <v>1956</v>
      </c>
      <c r="B10" s="8" t="n">
        <v>34</v>
      </c>
      <c r="C10" s="8" t="n">
        <v>24.9</v>
      </c>
      <c r="D10" s="8" t="n">
        <v>124</v>
      </c>
      <c r="E10" s="8" t="n">
        <v>70</v>
      </c>
      <c r="F10" s="8" t="n">
        <v>0</v>
      </c>
      <c r="G10" s="8" t="n">
        <v>1</v>
      </c>
      <c r="H10" s="8" t="n">
        <v>1</v>
      </c>
      <c r="I10" s="8" t="s">
        <v>1948</v>
      </c>
      <c r="J10" s="8" t="s">
        <v>1405</v>
      </c>
      <c r="K10" s="8" t="s">
        <v>1954</v>
      </c>
      <c r="L10" s="8" t="s">
        <v>1949</v>
      </c>
      <c r="M10" s="28" t="n">
        <f aca="false">'Disease Prediction Model'!$C$9+'Disease Prediction Model'!$C$10*B10+'Disease Prediction Model'!$C$11*C10+'Disease Prediction Model'!$C$12*D10+'Disease Prediction Model'!$C$13*E10+'Disease Prediction Model'!$C$14*F10+'Disease Prediction Model'!$C$15*G10</f>
        <v>-0.110459</v>
      </c>
      <c r="N10" s="8" t="str">
        <f aca="false">IF(M10&gt;=0.5,"Yes","No")</f>
        <v>No</v>
      </c>
    </row>
    <row r="11" customFormat="false" ht="15" hidden="false" customHeight="false" outlineLevel="0" collapsed="false">
      <c r="A11" s="8" t="s">
        <v>1957</v>
      </c>
      <c r="B11" s="8" t="n">
        <v>71</v>
      </c>
      <c r="C11" s="8" t="n">
        <v>27.5</v>
      </c>
      <c r="D11" s="8" t="n">
        <v>132</v>
      </c>
      <c r="E11" s="8" t="n">
        <v>139</v>
      </c>
      <c r="F11" s="8" t="n">
        <v>0</v>
      </c>
      <c r="G11" s="8" t="n">
        <v>1</v>
      </c>
      <c r="H11" s="8" t="n">
        <v>1</v>
      </c>
      <c r="I11" s="8" t="s">
        <v>1948</v>
      </c>
      <c r="J11" s="8" t="s">
        <v>1405</v>
      </c>
      <c r="K11" s="8" t="s">
        <v>1954</v>
      </c>
      <c r="L11" s="8" t="s">
        <v>1949</v>
      </c>
      <c r="M11" s="28" t="n">
        <f aca="false">'Disease Prediction Model'!$C$9+'Disease Prediction Model'!$C$10*B11+'Disease Prediction Model'!$C$11*C11+'Disease Prediction Model'!$C$12*D11+'Disease Prediction Model'!$C$13*E11+'Disease Prediction Model'!$C$14*F11+'Disease Prediction Model'!$C$15*G11</f>
        <v>0.694775</v>
      </c>
      <c r="N11" s="8" t="str">
        <f aca="false">IF(M11&gt;=0.5,"Yes","No")</f>
        <v>Yes</v>
      </c>
    </row>
    <row r="12" customFormat="false" ht="15" hidden="false" customHeight="false" outlineLevel="0" collapsed="false">
      <c r="A12" s="8" t="s">
        <v>1958</v>
      </c>
      <c r="B12" s="8" t="n">
        <v>75</v>
      </c>
      <c r="C12" s="8" t="n">
        <v>29.6</v>
      </c>
      <c r="D12" s="8" t="n">
        <v>90</v>
      </c>
      <c r="E12" s="8" t="n">
        <v>120</v>
      </c>
      <c r="F12" s="8" t="n">
        <v>0</v>
      </c>
      <c r="G12" s="8" t="n">
        <v>0</v>
      </c>
      <c r="H12" s="8" t="n">
        <v>0</v>
      </c>
      <c r="I12" s="8" t="s">
        <v>1948</v>
      </c>
      <c r="J12" s="8" t="s">
        <v>1959</v>
      </c>
      <c r="K12" s="8" t="s">
        <v>1948</v>
      </c>
      <c r="L12" s="8" t="s">
        <v>1949</v>
      </c>
      <c r="M12" s="28" t="n">
        <f aca="false">'Disease Prediction Model'!$C$9+'Disease Prediction Model'!$C$10*B12+'Disease Prediction Model'!$C$11*C12+'Disease Prediction Model'!$C$12*D12+'Disease Prediction Model'!$C$13*E12+'Disease Prediction Model'!$C$14*F12+'Disease Prediction Model'!$C$15*G12</f>
        <v>0.504934</v>
      </c>
      <c r="N12" s="8" t="str">
        <f aca="false">IF(M12&gt;=0.5,"Yes","No")</f>
        <v>Yes</v>
      </c>
    </row>
    <row r="13" customFormat="false" ht="15" hidden="false" customHeight="false" outlineLevel="0" collapsed="false">
      <c r="A13" s="8" t="s">
        <v>1960</v>
      </c>
      <c r="B13" s="8" t="n">
        <v>55</v>
      </c>
      <c r="C13" s="8" t="n">
        <v>32.8</v>
      </c>
      <c r="D13" s="8" t="n">
        <v>127</v>
      </c>
      <c r="E13" s="8" t="n">
        <v>70</v>
      </c>
      <c r="F13" s="8" t="n">
        <v>0</v>
      </c>
      <c r="G13" s="8" t="n">
        <v>0</v>
      </c>
      <c r="H13" s="8" t="n">
        <v>0</v>
      </c>
      <c r="I13" s="8" t="s">
        <v>1948</v>
      </c>
      <c r="J13" s="8" t="s">
        <v>1959</v>
      </c>
      <c r="K13" s="8" t="s">
        <v>1948</v>
      </c>
      <c r="L13" s="8" t="s">
        <v>1949</v>
      </c>
      <c r="M13" s="28" t="n">
        <f aca="false">'Disease Prediction Model'!$C$9+'Disease Prediction Model'!$C$10*B13+'Disease Prediction Model'!$C$11*C13+'Disease Prediction Model'!$C$12*D13+'Disease Prediction Model'!$C$13*E13+'Disease Prediction Model'!$C$14*F13+'Disease Prediction Model'!$C$15*G13</f>
        <v>0.152442</v>
      </c>
      <c r="N13" s="8" t="str">
        <f aca="false">IF(M13&gt;=0.5,"Yes","No")</f>
        <v>No</v>
      </c>
    </row>
    <row r="14" customFormat="false" ht="15" hidden="false" customHeight="false" outlineLevel="0" collapsed="false">
      <c r="A14" s="8" t="s">
        <v>1961</v>
      </c>
      <c r="B14" s="8" t="n">
        <v>44</v>
      </c>
      <c r="C14" s="8" t="n">
        <v>27.5</v>
      </c>
      <c r="D14" s="8" t="n">
        <v>128</v>
      </c>
      <c r="E14" s="8" t="n">
        <v>74</v>
      </c>
      <c r="F14" s="8" t="n">
        <v>0</v>
      </c>
      <c r="G14" s="8" t="n">
        <v>0</v>
      </c>
      <c r="H14" s="8" t="n">
        <v>0</v>
      </c>
      <c r="I14" s="8" t="s">
        <v>1948</v>
      </c>
      <c r="J14" s="8" t="s">
        <v>1959</v>
      </c>
      <c r="K14" s="8" t="s">
        <v>1948</v>
      </c>
      <c r="L14" s="8" t="s">
        <v>1949</v>
      </c>
      <c r="M14" s="28" t="n">
        <f aca="false">'Disease Prediction Model'!$C$9+'Disease Prediction Model'!$C$10*B14+'Disease Prediction Model'!$C$11*C14+'Disease Prediction Model'!$C$12*D14+'Disease Prediction Model'!$C$13*E14+'Disease Prediction Model'!$C$14*F14+'Disease Prediction Model'!$C$15*G14</f>
        <v>0.100575</v>
      </c>
      <c r="N14" s="8" t="str">
        <f aca="false">IF(M14&gt;=0.5,"Yes","No")</f>
        <v>No</v>
      </c>
    </row>
    <row r="15" customFormat="false" ht="15" hidden="false" customHeight="false" outlineLevel="0" collapsed="false">
      <c r="A15" s="8" t="s">
        <v>1962</v>
      </c>
      <c r="B15" s="8" t="n">
        <v>37</v>
      </c>
      <c r="C15" s="8" t="n">
        <v>17.2</v>
      </c>
      <c r="D15" s="8" t="n">
        <v>122</v>
      </c>
      <c r="E15" s="8" t="n">
        <v>72</v>
      </c>
      <c r="F15" s="8" t="n">
        <v>0</v>
      </c>
      <c r="G15" s="8" t="n">
        <v>2</v>
      </c>
      <c r="H15" s="8" t="n">
        <v>0</v>
      </c>
      <c r="I15" s="8" t="s">
        <v>1948</v>
      </c>
      <c r="J15" s="8" t="s">
        <v>1951</v>
      </c>
      <c r="K15" s="8" t="s">
        <v>1948</v>
      </c>
      <c r="L15" s="8" t="s">
        <v>1949</v>
      </c>
      <c r="M15" s="28" t="n">
        <f aca="false">'Disease Prediction Model'!$C$9+'Disease Prediction Model'!$C$10*B15+'Disease Prediction Model'!$C$11*C15+'Disease Prediction Model'!$C$12*D15+'Disease Prediction Model'!$C$13*E15+'Disease Prediction Model'!$C$14*F15+'Disease Prediction Model'!$C$15*G15</f>
        <v>-0.278902</v>
      </c>
      <c r="N15" s="8" t="str">
        <f aca="false">IF(M15&gt;=0.5,"Yes","No")</f>
        <v>No</v>
      </c>
    </row>
    <row r="16" customFormat="false" ht="15" hidden="false" customHeight="false" outlineLevel="0" collapsed="false">
      <c r="A16" s="8" t="s">
        <v>1963</v>
      </c>
      <c r="B16" s="8" t="n">
        <v>18</v>
      </c>
      <c r="C16" s="8" t="n">
        <v>30.6</v>
      </c>
      <c r="D16" s="8" t="n">
        <v>146</v>
      </c>
      <c r="E16" s="8" t="n">
        <v>81</v>
      </c>
      <c r="F16" s="8" t="n">
        <v>1</v>
      </c>
      <c r="G16" s="8" t="n">
        <v>1</v>
      </c>
      <c r="H16" s="8" t="n">
        <v>0</v>
      </c>
      <c r="I16" s="8" t="s">
        <v>1954</v>
      </c>
      <c r="J16" s="8" t="s">
        <v>1405</v>
      </c>
      <c r="K16" s="8" t="s">
        <v>1948</v>
      </c>
      <c r="L16" s="8" t="s">
        <v>1949</v>
      </c>
      <c r="M16" s="28" t="n">
        <f aca="false">'Disease Prediction Model'!$C$9+'Disease Prediction Model'!$C$10*B16+'Disease Prediction Model'!$C$11*C16+'Disease Prediction Model'!$C$12*D16+'Disease Prediction Model'!$C$13*E16+'Disease Prediction Model'!$C$14*F16+'Disease Prediction Model'!$C$15*G16</f>
        <v>0.220604</v>
      </c>
      <c r="N16" s="8" t="str">
        <f aca="false">IF(M16&gt;=0.5,"Yes","No")</f>
        <v>No</v>
      </c>
    </row>
    <row r="17" customFormat="false" ht="15" hidden="false" customHeight="false" outlineLevel="0" collapsed="false">
      <c r="A17" s="8" t="s">
        <v>1964</v>
      </c>
      <c r="B17" s="8" t="n">
        <v>57</v>
      </c>
      <c r="C17" s="8" t="n">
        <v>27.7</v>
      </c>
      <c r="D17" s="8" t="n">
        <v>154</v>
      </c>
      <c r="E17" s="8" t="n">
        <v>93</v>
      </c>
      <c r="F17" s="8" t="n">
        <v>0</v>
      </c>
      <c r="G17" s="8" t="n">
        <v>0</v>
      </c>
      <c r="H17" s="8" t="n">
        <v>1</v>
      </c>
      <c r="I17" s="8" t="s">
        <v>1948</v>
      </c>
      <c r="J17" s="8" t="s">
        <v>1959</v>
      </c>
      <c r="K17" s="8" t="s">
        <v>1954</v>
      </c>
      <c r="L17" s="8" t="s">
        <v>1949</v>
      </c>
      <c r="M17" s="28" t="n">
        <f aca="false">'Disease Prediction Model'!$C$9+'Disease Prediction Model'!$C$10*B17+'Disease Prediction Model'!$C$11*C17+'Disease Prediction Model'!$C$12*D17+'Disease Prediction Model'!$C$13*E17+'Disease Prediction Model'!$C$14*F17+'Disease Prediction Model'!$C$15*G17</f>
        <v>0.409833</v>
      </c>
      <c r="N17" s="8" t="str">
        <f aca="false">IF(M17&gt;=0.5,"Yes","No")</f>
        <v>No</v>
      </c>
    </row>
    <row r="18" customFormat="false" ht="15" hidden="false" customHeight="false" outlineLevel="0" collapsed="false">
      <c r="A18" s="8" t="s">
        <v>1965</v>
      </c>
      <c r="B18" s="8" t="n">
        <v>49</v>
      </c>
      <c r="C18" s="8" t="n">
        <v>24.4</v>
      </c>
      <c r="D18" s="8" t="n">
        <v>117</v>
      </c>
      <c r="E18" s="8" t="n">
        <v>78</v>
      </c>
      <c r="F18" s="8" t="n">
        <v>0</v>
      </c>
      <c r="G18" s="8" t="n">
        <v>1</v>
      </c>
      <c r="H18" s="8" t="n">
        <v>1</v>
      </c>
      <c r="I18" s="8" t="s">
        <v>1948</v>
      </c>
      <c r="J18" s="8" t="s">
        <v>1405</v>
      </c>
      <c r="K18" s="8" t="s">
        <v>1954</v>
      </c>
      <c r="L18" s="8" t="s">
        <v>1949</v>
      </c>
      <c r="M18" s="28" t="n">
        <f aca="false">'Disease Prediction Model'!$C$9+'Disease Prediction Model'!$C$10*B18+'Disease Prediction Model'!$C$11*C18+'Disease Prediction Model'!$C$12*D18+'Disease Prediction Model'!$C$13*E18+'Disease Prediction Model'!$C$14*F18+'Disease Prediction Model'!$C$15*G18</f>
        <v>-0.0233340000000001</v>
      </c>
      <c r="N18" s="8" t="str">
        <f aca="false">IF(M18&gt;=0.5,"Yes","No")</f>
        <v>No</v>
      </c>
    </row>
    <row r="19" customFormat="false" ht="15" hidden="false" customHeight="false" outlineLevel="0" collapsed="false">
      <c r="A19" s="8" t="s">
        <v>1966</v>
      </c>
      <c r="B19" s="8" t="n">
        <v>42</v>
      </c>
      <c r="C19" s="8" t="n">
        <v>31.5</v>
      </c>
      <c r="D19" s="8" t="n">
        <v>112</v>
      </c>
      <c r="E19" s="8" t="n">
        <v>129</v>
      </c>
      <c r="F19" s="8" t="n">
        <v>0</v>
      </c>
      <c r="G19" s="8" t="n">
        <v>1</v>
      </c>
      <c r="H19" s="8" t="n">
        <v>1</v>
      </c>
      <c r="I19" s="8" t="s">
        <v>1948</v>
      </c>
      <c r="J19" s="8" t="s">
        <v>1405</v>
      </c>
      <c r="K19" s="8" t="s">
        <v>1954</v>
      </c>
      <c r="L19" s="8" t="s">
        <v>1949</v>
      </c>
      <c r="M19" s="28" t="n">
        <f aca="false">'Disease Prediction Model'!$C$9+'Disease Prediction Model'!$C$10*B19+'Disease Prediction Model'!$C$11*C19+'Disease Prediction Model'!$C$12*D19+'Disease Prediction Model'!$C$13*E19+'Disease Prediction Model'!$C$14*F19+'Disease Prediction Model'!$C$15*G19</f>
        <v>0.491455</v>
      </c>
      <c r="N19" s="8" t="str">
        <f aca="false">IF(M19&gt;=0.5,"Yes","No")</f>
        <v>No</v>
      </c>
    </row>
    <row r="20" customFormat="false" ht="15" hidden="false" customHeight="false" outlineLevel="0" collapsed="false">
      <c r="A20" s="8" t="s">
        <v>1967</v>
      </c>
      <c r="B20" s="8" t="n">
        <v>54</v>
      </c>
      <c r="C20" s="8" t="n">
        <v>26.4</v>
      </c>
      <c r="D20" s="8" t="n">
        <v>138</v>
      </c>
      <c r="E20" s="8" t="n">
        <v>105</v>
      </c>
      <c r="F20" s="8" t="n">
        <v>0</v>
      </c>
      <c r="G20" s="8" t="n">
        <v>1</v>
      </c>
      <c r="H20" s="8" t="n">
        <v>0</v>
      </c>
      <c r="I20" s="8" t="s">
        <v>1948</v>
      </c>
      <c r="J20" s="8" t="s">
        <v>1405</v>
      </c>
      <c r="K20" s="8" t="s">
        <v>1948</v>
      </c>
      <c r="L20" s="8" t="s">
        <v>1949</v>
      </c>
      <c r="M20" s="28" t="n">
        <f aca="false">'Disease Prediction Model'!$C$9+'Disease Prediction Model'!$C$10*B20+'Disease Prediction Model'!$C$11*C20+'Disease Prediction Model'!$C$12*D20+'Disease Prediction Model'!$C$13*E20+'Disease Prediction Model'!$C$14*F20+'Disease Prediction Model'!$C$15*G20</f>
        <v>0.339246</v>
      </c>
      <c r="N20" s="8" t="str">
        <f aca="false">IF(M20&gt;=0.5,"Yes","No")</f>
        <v>No</v>
      </c>
    </row>
    <row r="21" customFormat="false" ht="15" hidden="false" customHeight="false" outlineLevel="0" collapsed="false">
      <c r="A21" s="8" t="s">
        <v>1968</v>
      </c>
      <c r="B21" s="8" t="n">
        <v>35</v>
      </c>
      <c r="C21" s="8" t="n">
        <v>21.5</v>
      </c>
      <c r="D21" s="8" t="n">
        <v>105</v>
      </c>
      <c r="E21" s="8" t="n">
        <v>121</v>
      </c>
      <c r="F21" s="8" t="n">
        <v>0</v>
      </c>
      <c r="G21" s="8" t="n">
        <v>1</v>
      </c>
      <c r="H21" s="8" t="n">
        <v>0</v>
      </c>
      <c r="I21" s="8" t="s">
        <v>1948</v>
      </c>
      <c r="J21" s="8" t="s">
        <v>1405</v>
      </c>
      <c r="K21" s="8" t="s">
        <v>1948</v>
      </c>
      <c r="L21" s="8" t="s">
        <v>1949</v>
      </c>
      <c r="M21" s="28" t="n">
        <f aca="false">'Disease Prediction Model'!$C$9+'Disease Prediction Model'!$C$10*B21+'Disease Prediction Model'!$C$11*C21+'Disease Prediction Model'!$C$12*D21+'Disease Prediction Model'!$C$13*E21+'Disease Prediction Model'!$C$14*F21+'Disease Prediction Model'!$C$15*G21</f>
        <v>0.257975</v>
      </c>
      <c r="N21" s="8" t="str">
        <f aca="false">IF(M21&gt;=0.5,"Yes","No")</f>
        <v>No</v>
      </c>
    </row>
    <row r="22" customFormat="false" ht="15" hidden="false" customHeight="false" outlineLevel="0" collapsed="false">
      <c r="A22" s="8" t="s">
        <v>1969</v>
      </c>
      <c r="B22" s="8" t="n">
        <v>83</v>
      </c>
      <c r="C22" s="8" t="n">
        <v>28.6</v>
      </c>
      <c r="D22" s="8" t="n">
        <v>95</v>
      </c>
      <c r="E22" s="8" t="n">
        <v>108</v>
      </c>
      <c r="F22" s="8" t="n">
        <v>0</v>
      </c>
      <c r="G22" s="8" t="n">
        <v>2</v>
      </c>
      <c r="H22" s="8" t="n">
        <v>1</v>
      </c>
      <c r="I22" s="8" t="s">
        <v>1948</v>
      </c>
      <c r="J22" s="8" t="s">
        <v>1951</v>
      </c>
      <c r="K22" s="8" t="s">
        <v>1954</v>
      </c>
      <c r="L22" s="8" t="s">
        <v>1949</v>
      </c>
      <c r="M22" s="28" t="n">
        <f aca="false">'Disease Prediction Model'!$C$9+'Disease Prediction Model'!$C$10*B22+'Disease Prediction Model'!$C$11*C22+'Disease Prediction Model'!$C$12*D22+'Disease Prediction Model'!$C$13*E22+'Disease Prediction Model'!$C$14*F22+'Disease Prediction Model'!$C$15*G22</f>
        <v>0.221964</v>
      </c>
      <c r="N22" s="8" t="str">
        <f aca="false">IF(M22&gt;=0.5,"Yes","No")</f>
        <v>No</v>
      </c>
    </row>
    <row r="23" customFormat="false" ht="15" hidden="false" customHeight="false" outlineLevel="0" collapsed="false">
      <c r="A23" s="8" t="s">
        <v>1970</v>
      </c>
      <c r="B23" s="8" t="n">
        <v>77</v>
      </c>
      <c r="C23" s="8" t="n">
        <v>33.1</v>
      </c>
      <c r="D23" s="8" t="n">
        <v>106</v>
      </c>
      <c r="E23" s="8" t="n">
        <v>93</v>
      </c>
      <c r="F23" s="8" t="n">
        <v>0</v>
      </c>
      <c r="G23" s="8" t="n">
        <v>1</v>
      </c>
      <c r="H23" s="8" t="n">
        <v>0</v>
      </c>
      <c r="I23" s="8" t="s">
        <v>1948</v>
      </c>
      <c r="J23" s="8" t="s">
        <v>1405</v>
      </c>
      <c r="K23" s="8" t="s">
        <v>1948</v>
      </c>
      <c r="L23" s="8" t="s">
        <v>1949</v>
      </c>
      <c r="M23" s="28" t="n">
        <f aca="false">'Disease Prediction Model'!$C$9+'Disease Prediction Model'!$C$10*B23+'Disease Prediction Model'!$C$11*C23+'Disease Prediction Model'!$C$12*D23+'Disease Prediction Model'!$C$13*E23+'Disease Prediction Model'!$C$14*F23+'Disease Prediction Model'!$C$15*G23</f>
        <v>0.257039</v>
      </c>
      <c r="N23" s="8" t="str">
        <f aca="false">IF(M23&gt;=0.5,"Yes","No")</f>
        <v>No</v>
      </c>
    </row>
    <row r="24" customFormat="false" ht="15" hidden="false" customHeight="false" outlineLevel="0" collapsed="false">
      <c r="A24" s="8" t="s">
        <v>1971</v>
      </c>
      <c r="B24" s="8" t="n">
        <v>51</v>
      </c>
      <c r="C24" s="8" t="n">
        <v>21.5</v>
      </c>
      <c r="D24" s="8" t="n">
        <v>147</v>
      </c>
      <c r="E24" s="8" t="n">
        <v>113</v>
      </c>
      <c r="F24" s="8" t="n">
        <v>1</v>
      </c>
      <c r="G24" s="8" t="n">
        <v>0</v>
      </c>
      <c r="H24" s="8" t="n">
        <v>0</v>
      </c>
      <c r="I24" s="8" t="s">
        <v>1954</v>
      </c>
      <c r="J24" s="8" t="s">
        <v>1959</v>
      </c>
      <c r="K24" s="8" t="s">
        <v>1948</v>
      </c>
      <c r="L24" s="8" t="s">
        <v>1949</v>
      </c>
      <c r="M24" s="28" t="n">
        <f aca="false">'Disease Prediction Model'!$C$9+'Disease Prediction Model'!$C$10*B24+'Disease Prediction Model'!$C$11*C24+'Disease Prediction Model'!$C$12*D24+'Disease Prediction Model'!$C$13*E24+'Disease Prediction Model'!$C$14*F24+'Disease Prediction Model'!$C$15*G24</f>
        <v>0.614075</v>
      </c>
      <c r="N24" s="8" t="str">
        <f aca="false">IF(M24&gt;=0.5,"Yes","No")</f>
        <v>Yes</v>
      </c>
    </row>
    <row r="25" customFormat="false" ht="15" hidden="false" customHeight="false" outlineLevel="0" collapsed="false">
      <c r="A25" s="8" t="s">
        <v>1972</v>
      </c>
      <c r="B25" s="8" t="n">
        <v>37</v>
      </c>
      <c r="C25" s="8" t="n">
        <v>29</v>
      </c>
      <c r="D25" s="8" t="n">
        <v>129</v>
      </c>
      <c r="E25" s="8" t="n">
        <v>134</v>
      </c>
      <c r="F25" s="8" t="n">
        <v>1</v>
      </c>
      <c r="G25" s="8" t="n">
        <v>0</v>
      </c>
      <c r="H25" s="8" t="n">
        <v>1</v>
      </c>
      <c r="I25" s="8" t="s">
        <v>1954</v>
      </c>
      <c r="J25" s="8" t="s">
        <v>1959</v>
      </c>
      <c r="K25" s="8" t="s">
        <v>1954</v>
      </c>
      <c r="L25" s="8" t="s">
        <v>1949</v>
      </c>
      <c r="M25" s="28" t="n">
        <f aca="false">'Disease Prediction Model'!$C$9+'Disease Prediction Model'!$C$10*B25+'Disease Prediction Model'!$C$11*C25+'Disease Prediction Model'!$C$12*D25+'Disease Prediction Model'!$C$13*E25+'Disease Prediction Model'!$C$14*F25+'Disease Prediction Model'!$C$15*G25</f>
        <v>0.78864</v>
      </c>
      <c r="N25" s="8" t="str">
        <f aca="false">IF(M25&gt;=0.5,"Yes","No")</f>
        <v>Yes</v>
      </c>
    </row>
    <row r="26" customFormat="false" ht="15" hidden="false" customHeight="false" outlineLevel="0" collapsed="false">
      <c r="A26" s="8" t="s">
        <v>1973</v>
      </c>
      <c r="B26" s="8" t="n">
        <v>72</v>
      </c>
      <c r="C26" s="8" t="n">
        <v>27</v>
      </c>
      <c r="D26" s="8" t="n">
        <v>135</v>
      </c>
      <c r="E26" s="8" t="n">
        <v>91</v>
      </c>
      <c r="F26" s="8" t="n">
        <v>1</v>
      </c>
      <c r="G26" s="8" t="n">
        <v>0</v>
      </c>
      <c r="H26" s="8" t="n">
        <v>0</v>
      </c>
      <c r="I26" s="8" t="s">
        <v>1954</v>
      </c>
      <c r="J26" s="8" t="s">
        <v>1959</v>
      </c>
      <c r="K26" s="8" t="s">
        <v>1948</v>
      </c>
      <c r="L26" s="8" t="s">
        <v>1949</v>
      </c>
      <c r="M26" s="28" t="n">
        <f aca="false">'Disease Prediction Model'!$C$9+'Disease Prediction Model'!$C$10*B26+'Disease Prediction Model'!$C$11*C26+'Disease Prediction Model'!$C$12*D26+'Disease Prediction Model'!$C$13*E26+'Disease Prediction Model'!$C$14*F26+'Disease Prediction Model'!$C$15*G26</f>
        <v>0.49136</v>
      </c>
      <c r="N26" s="8" t="str">
        <f aca="false">IF(M26&gt;=0.5,"Yes","No")</f>
        <v>No</v>
      </c>
    </row>
    <row r="27" customFormat="false" ht="15" hidden="false" customHeight="false" outlineLevel="0" collapsed="false">
      <c r="A27" s="8" t="s">
        <v>1974</v>
      </c>
      <c r="B27" s="8" t="n">
        <v>45</v>
      </c>
      <c r="C27" s="8" t="n">
        <v>25.6</v>
      </c>
      <c r="D27" s="8" t="n">
        <v>112</v>
      </c>
      <c r="E27" s="8" t="n">
        <v>86</v>
      </c>
      <c r="F27" s="8" t="n">
        <v>0</v>
      </c>
      <c r="G27" s="8" t="n">
        <v>2</v>
      </c>
      <c r="H27" s="8" t="n">
        <v>0</v>
      </c>
      <c r="I27" s="8" t="s">
        <v>1948</v>
      </c>
      <c r="J27" s="8" t="s">
        <v>1951</v>
      </c>
      <c r="K27" s="8" t="s">
        <v>1948</v>
      </c>
      <c r="L27" s="8" t="s">
        <v>1949</v>
      </c>
      <c r="M27" s="28" t="n">
        <f aca="false">'Disease Prediction Model'!$C$9+'Disease Prediction Model'!$C$10*B27+'Disease Prediction Model'!$C$11*C27+'Disease Prediction Model'!$C$12*D27+'Disease Prediction Model'!$C$13*E27+'Disease Prediction Model'!$C$14*F27+'Disease Prediction Model'!$C$15*G27</f>
        <v>-0.066026</v>
      </c>
      <c r="N27" s="8" t="str">
        <f aca="false">IF(M27&gt;=0.5,"Yes","No")</f>
        <v>No</v>
      </c>
    </row>
    <row r="28" customFormat="false" ht="15" hidden="false" customHeight="false" outlineLevel="0" collapsed="false">
      <c r="A28" s="8" t="s">
        <v>1975</v>
      </c>
      <c r="B28" s="8" t="n">
        <v>56</v>
      </c>
      <c r="C28" s="8" t="n">
        <v>24.3</v>
      </c>
      <c r="D28" s="8" t="n">
        <v>110</v>
      </c>
      <c r="E28" s="8" t="n">
        <v>111</v>
      </c>
      <c r="F28" s="8" t="n">
        <v>0</v>
      </c>
      <c r="G28" s="8" t="n">
        <v>2</v>
      </c>
      <c r="H28" s="8" t="n">
        <v>0</v>
      </c>
      <c r="I28" s="8" t="s">
        <v>1948</v>
      </c>
      <c r="J28" s="8" t="s">
        <v>1951</v>
      </c>
      <c r="K28" s="8" t="s">
        <v>1948</v>
      </c>
      <c r="L28" s="8" t="s">
        <v>1949</v>
      </c>
      <c r="M28" s="28" t="n">
        <f aca="false">'Disease Prediction Model'!$C$9+'Disease Prediction Model'!$C$10*B28+'Disease Prediction Model'!$C$11*C28+'Disease Prediction Model'!$C$12*D28+'Disease Prediction Model'!$C$13*E28+'Disease Prediction Model'!$C$14*F28+'Disease Prediction Model'!$C$15*G28</f>
        <v>0.175627</v>
      </c>
      <c r="N28" s="8" t="str">
        <f aca="false">IF(M28&gt;=0.5,"Yes","No")</f>
        <v>No</v>
      </c>
    </row>
    <row r="29" customFormat="false" ht="15" hidden="false" customHeight="false" outlineLevel="0" collapsed="false">
      <c r="A29" s="8" t="s">
        <v>1976</v>
      </c>
      <c r="B29" s="8" t="n">
        <v>90</v>
      </c>
      <c r="C29" s="8" t="n">
        <v>29.2</v>
      </c>
      <c r="D29" s="8" t="n">
        <v>123</v>
      </c>
      <c r="E29" s="8" t="n">
        <v>79</v>
      </c>
      <c r="F29" s="8" t="n">
        <v>0</v>
      </c>
      <c r="G29" s="8" t="n">
        <v>0</v>
      </c>
      <c r="H29" s="8" t="n">
        <v>0</v>
      </c>
      <c r="I29" s="8" t="s">
        <v>1948</v>
      </c>
      <c r="J29" s="8" t="s">
        <v>1959</v>
      </c>
      <c r="K29" s="8" t="s">
        <v>1948</v>
      </c>
      <c r="L29" s="8" t="s">
        <v>1949</v>
      </c>
      <c r="M29" s="28" t="n">
        <f aca="false">'Disease Prediction Model'!$C$9+'Disease Prediction Model'!$C$10*B29+'Disease Prediction Model'!$C$11*C29+'Disease Prediction Model'!$C$12*D29+'Disease Prediction Model'!$C$13*E29+'Disease Prediction Model'!$C$14*F29+'Disease Prediction Model'!$C$15*G29</f>
        <v>0.282658</v>
      </c>
      <c r="N29" s="8" t="str">
        <f aca="false">IF(M29&gt;=0.5,"Yes","No")</f>
        <v>No</v>
      </c>
    </row>
    <row r="30" customFormat="false" ht="15" hidden="false" customHeight="false" outlineLevel="0" collapsed="false">
      <c r="A30" s="8" t="s">
        <v>1977</v>
      </c>
      <c r="B30" s="8" t="n">
        <v>48</v>
      </c>
      <c r="C30" s="8" t="n">
        <v>32.1</v>
      </c>
      <c r="D30" s="8" t="n">
        <v>91</v>
      </c>
      <c r="E30" s="8" t="n">
        <v>108</v>
      </c>
      <c r="F30" s="8" t="n">
        <v>1</v>
      </c>
      <c r="G30" s="8" t="n">
        <v>1</v>
      </c>
      <c r="H30" s="8" t="n">
        <v>0</v>
      </c>
      <c r="I30" s="8" t="s">
        <v>1954</v>
      </c>
      <c r="J30" s="8" t="s">
        <v>1405</v>
      </c>
      <c r="K30" s="8" t="s">
        <v>1948</v>
      </c>
      <c r="L30" s="8" t="s">
        <v>1949</v>
      </c>
      <c r="M30" s="28" t="n">
        <f aca="false">'Disease Prediction Model'!$C$9+'Disease Prediction Model'!$C$10*B30+'Disease Prediction Model'!$C$11*C30+'Disease Prediction Model'!$C$12*D30+'Disease Prediction Model'!$C$13*E30+'Disease Prediction Model'!$C$14*F30+'Disease Prediction Model'!$C$15*G30</f>
        <v>0.378409</v>
      </c>
      <c r="N30" s="8" t="str">
        <f aca="false">IF(M30&gt;=0.5,"Yes","No")</f>
        <v>No</v>
      </c>
    </row>
    <row r="31" customFormat="false" ht="15" hidden="false" customHeight="false" outlineLevel="0" collapsed="false">
      <c r="A31" s="8" t="s">
        <v>1978</v>
      </c>
      <c r="B31" s="8" t="n">
        <v>65</v>
      </c>
      <c r="C31" s="8" t="n">
        <v>34.6</v>
      </c>
      <c r="D31" s="8" t="n">
        <v>137</v>
      </c>
      <c r="E31" s="8" t="n">
        <v>78</v>
      </c>
      <c r="F31" s="8" t="n">
        <v>0</v>
      </c>
      <c r="G31" s="8" t="n">
        <v>1</v>
      </c>
      <c r="H31" s="8" t="n">
        <v>0</v>
      </c>
      <c r="I31" s="8" t="s">
        <v>1948</v>
      </c>
      <c r="J31" s="8" t="s">
        <v>1405</v>
      </c>
      <c r="K31" s="8" t="s">
        <v>1948</v>
      </c>
      <c r="L31" s="8" t="s">
        <v>1949</v>
      </c>
      <c r="M31" s="28" t="n">
        <f aca="false">'Disease Prediction Model'!$C$9+'Disease Prediction Model'!$C$10*B31+'Disease Prediction Model'!$C$11*C31+'Disease Prediction Model'!$C$12*D31+'Disease Prediction Model'!$C$13*E31+'Disease Prediction Model'!$C$14*F31+'Disease Prediction Model'!$C$15*G31</f>
        <v>0.211164</v>
      </c>
      <c r="N31" s="8" t="str">
        <f aca="false">IF(M31&gt;=0.5,"Yes","No")</f>
        <v>No</v>
      </c>
    </row>
    <row r="32" customFormat="false" ht="15" hidden="false" customHeight="false" outlineLevel="0" collapsed="false">
      <c r="A32" s="8" t="s">
        <v>1979</v>
      </c>
      <c r="B32" s="8" t="n">
        <v>67</v>
      </c>
      <c r="C32" s="8" t="n">
        <v>23.2</v>
      </c>
      <c r="D32" s="8" t="n">
        <v>101</v>
      </c>
      <c r="E32" s="8" t="n">
        <v>135</v>
      </c>
      <c r="F32" s="8" t="n">
        <v>0</v>
      </c>
      <c r="G32" s="8" t="n">
        <v>2</v>
      </c>
      <c r="H32" s="8" t="n">
        <v>1</v>
      </c>
      <c r="I32" s="8" t="s">
        <v>1948</v>
      </c>
      <c r="J32" s="8" t="s">
        <v>1951</v>
      </c>
      <c r="K32" s="8" t="s">
        <v>1954</v>
      </c>
      <c r="L32" s="8" t="s">
        <v>1949</v>
      </c>
      <c r="M32" s="28" t="n">
        <f aca="false">'Disease Prediction Model'!$C$9+'Disease Prediction Model'!$C$10*B32+'Disease Prediction Model'!$C$11*C32+'Disease Prediction Model'!$C$12*D32+'Disease Prediction Model'!$C$13*E32+'Disease Prediction Model'!$C$14*F32+'Disease Prediction Model'!$C$15*G32</f>
        <v>0.385238</v>
      </c>
      <c r="N32" s="8" t="str">
        <f aca="false">IF(M32&gt;=0.5,"Yes","No")</f>
        <v>No</v>
      </c>
    </row>
    <row r="33" customFormat="false" ht="15" hidden="false" customHeight="false" outlineLevel="0" collapsed="false">
      <c r="A33" s="8" t="s">
        <v>1980</v>
      </c>
      <c r="B33" s="8" t="n">
        <v>52</v>
      </c>
      <c r="C33" s="8" t="n">
        <v>32.5</v>
      </c>
      <c r="D33" s="8" t="n">
        <v>124</v>
      </c>
      <c r="E33" s="8" t="n">
        <v>122</v>
      </c>
      <c r="F33" s="8" t="n">
        <v>0</v>
      </c>
      <c r="G33" s="8" t="n">
        <v>0</v>
      </c>
      <c r="H33" s="8" t="n">
        <v>0</v>
      </c>
      <c r="I33" s="8" t="s">
        <v>1948</v>
      </c>
      <c r="J33" s="8" t="s">
        <v>1959</v>
      </c>
      <c r="K33" s="8" t="s">
        <v>1948</v>
      </c>
      <c r="L33" s="8" t="s">
        <v>1949</v>
      </c>
      <c r="M33" s="28" t="n">
        <f aca="false">'Disease Prediction Model'!$C$9+'Disease Prediction Model'!$C$10*B33+'Disease Prediction Model'!$C$11*C33+'Disease Prediction Model'!$C$12*D33+'Disease Prediction Model'!$C$13*E33+'Disease Prediction Model'!$C$14*F33+'Disease Prediction Model'!$C$15*G33</f>
        <v>0.611045</v>
      </c>
      <c r="N33" s="8" t="str">
        <f aca="false">IF(M33&gt;=0.5,"Yes","No")</f>
        <v>Yes</v>
      </c>
    </row>
    <row r="34" customFormat="false" ht="15" hidden="false" customHeight="false" outlineLevel="0" collapsed="false">
      <c r="A34" s="8" t="s">
        <v>1981</v>
      </c>
      <c r="B34" s="8" t="n">
        <v>50</v>
      </c>
      <c r="C34" s="8" t="n">
        <v>25.3</v>
      </c>
      <c r="D34" s="8" t="n">
        <v>135</v>
      </c>
      <c r="E34" s="8" t="n">
        <v>113</v>
      </c>
      <c r="F34" s="8" t="n">
        <v>0</v>
      </c>
      <c r="G34" s="8" t="n">
        <v>0</v>
      </c>
      <c r="H34" s="8" t="n">
        <v>1</v>
      </c>
      <c r="I34" s="8" t="s">
        <v>1948</v>
      </c>
      <c r="J34" s="8" t="s">
        <v>1959</v>
      </c>
      <c r="K34" s="8" t="s">
        <v>1954</v>
      </c>
      <c r="L34" s="8" t="s">
        <v>1949</v>
      </c>
      <c r="M34" s="28" t="n">
        <f aca="false">'Disease Prediction Model'!$C$9+'Disease Prediction Model'!$C$10*B34+'Disease Prediction Model'!$C$11*C34+'Disease Prediction Model'!$C$12*D34+'Disease Prediction Model'!$C$13*E34+'Disease Prediction Model'!$C$14*F34+'Disease Prediction Model'!$C$15*G34</f>
        <v>0.479237</v>
      </c>
      <c r="N34" s="8" t="str">
        <f aca="false">IF(M34&gt;=0.5,"Yes","No")</f>
        <v>No</v>
      </c>
    </row>
    <row r="35" customFormat="false" ht="15" hidden="false" customHeight="false" outlineLevel="0" collapsed="false">
      <c r="A35" s="8" t="s">
        <v>1982</v>
      </c>
      <c r="B35" s="8" t="n">
        <v>35</v>
      </c>
      <c r="C35" s="8" t="n">
        <v>27.7</v>
      </c>
      <c r="D35" s="8" t="n">
        <v>141</v>
      </c>
      <c r="E35" s="8" t="n">
        <v>165</v>
      </c>
      <c r="F35" s="8" t="n">
        <v>1</v>
      </c>
      <c r="G35" s="8" t="n">
        <v>1</v>
      </c>
      <c r="H35" s="8" t="n">
        <v>1</v>
      </c>
      <c r="I35" s="8" t="s">
        <v>1954</v>
      </c>
      <c r="J35" s="8" t="s">
        <v>1405</v>
      </c>
      <c r="K35" s="8" t="s">
        <v>1954</v>
      </c>
      <c r="L35" s="8" t="s">
        <v>1949</v>
      </c>
      <c r="M35" s="28" t="n">
        <f aca="false">'Disease Prediction Model'!$C$9+'Disease Prediction Model'!$C$10*B35+'Disease Prediction Model'!$C$11*C35+'Disease Prediction Model'!$C$12*D35+'Disease Prediction Model'!$C$13*E35+'Disease Prediction Model'!$C$14*F35+'Disease Prediction Model'!$C$15*G35</f>
        <v>0.997153</v>
      </c>
      <c r="N35" s="8" t="str">
        <f aca="false">IF(M35&gt;=0.5,"Yes","No")</f>
        <v>Yes</v>
      </c>
    </row>
    <row r="36" customFormat="false" ht="15" hidden="false" customHeight="false" outlineLevel="0" collapsed="false">
      <c r="A36" s="8" t="s">
        <v>1983</v>
      </c>
      <c r="B36" s="8" t="n">
        <v>34</v>
      </c>
      <c r="C36" s="8" t="n">
        <v>23.9</v>
      </c>
      <c r="D36" s="8" t="n">
        <v>121</v>
      </c>
      <c r="E36" s="8" t="n">
        <v>96</v>
      </c>
      <c r="F36" s="8" t="n">
        <v>0</v>
      </c>
      <c r="G36" s="8" t="n">
        <v>0</v>
      </c>
      <c r="H36" s="8" t="n">
        <v>0</v>
      </c>
      <c r="I36" s="8" t="s">
        <v>1948</v>
      </c>
      <c r="J36" s="8" t="s">
        <v>1959</v>
      </c>
      <c r="K36" s="8" t="s">
        <v>1948</v>
      </c>
      <c r="L36" s="8" t="s">
        <v>1949</v>
      </c>
      <c r="M36" s="28" t="n">
        <f aca="false">'Disease Prediction Model'!$C$9+'Disease Prediction Model'!$C$10*B36+'Disease Prediction Model'!$C$11*C36+'Disease Prediction Model'!$C$12*D36+'Disease Prediction Model'!$C$13*E36+'Disease Prediction Model'!$C$14*F36+'Disease Prediction Model'!$C$15*G36</f>
        <v>0.209031</v>
      </c>
      <c r="N36" s="8" t="str">
        <f aca="false">IF(M36&gt;=0.5,"Yes","No")</f>
        <v>No</v>
      </c>
    </row>
    <row r="37" customFormat="false" ht="15" hidden="false" customHeight="false" outlineLevel="0" collapsed="false">
      <c r="A37" s="8" t="s">
        <v>1984</v>
      </c>
      <c r="B37" s="8" t="n">
        <v>49</v>
      </c>
      <c r="C37" s="8" t="n">
        <v>36.3</v>
      </c>
      <c r="D37" s="8" t="n">
        <v>153</v>
      </c>
      <c r="E37" s="8" t="n">
        <v>92</v>
      </c>
      <c r="F37" s="8" t="n">
        <v>0</v>
      </c>
      <c r="G37" s="8" t="n">
        <v>2</v>
      </c>
      <c r="H37" s="8" t="n">
        <v>1</v>
      </c>
      <c r="I37" s="8" t="s">
        <v>1948</v>
      </c>
      <c r="J37" s="8" t="s">
        <v>1951</v>
      </c>
      <c r="K37" s="8" t="s">
        <v>1954</v>
      </c>
      <c r="L37" s="8" t="s">
        <v>1949</v>
      </c>
      <c r="M37" s="28" t="n">
        <f aca="false">'Disease Prediction Model'!$C$9+'Disease Prediction Model'!$C$10*B37+'Disease Prediction Model'!$C$11*C37+'Disease Prediction Model'!$C$12*D37+'Disease Prediction Model'!$C$13*E37+'Disease Prediction Model'!$C$14*F37+'Disease Prediction Model'!$C$15*G37</f>
        <v>0.269867</v>
      </c>
      <c r="N37" s="8" t="str">
        <f aca="false">IF(M37&gt;=0.5,"Yes","No")</f>
        <v>No</v>
      </c>
    </row>
    <row r="38" customFormat="false" ht="15" hidden="false" customHeight="false" outlineLevel="0" collapsed="false">
      <c r="A38" s="8" t="s">
        <v>1985</v>
      </c>
      <c r="B38" s="8" t="n">
        <v>40</v>
      </c>
      <c r="C38" s="8" t="n">
        <v>33.3</v>
      </c>
      <c r="D38" s="8" t="n">
        <v>112</v>
      </c>
      <c r="E38" s="8" t="n">
        <v>126</v>
      </c>
      <c r="F38" s="8" t="n">
        <v>0</v>
      </c>
      <c r="G38" s="8" t="n">
        <v>2</v>
      </c>
      <c r="H38" s="8" t="n">
        <v>1</v>
      </c>
      <c r="I38" s="8" t="s">
        <v>1948</v>
      </c>
      <c r="J38" s="8" t="s">
        <v>1951</v>
      </c>
      <c r="K38" s="8" t="s">
        <v>1954</v>
      </c>
      <c r="L38" s="8" t="s">
        <v>1949</v>
      </c>
      <c r="M38" s="28" t="n">
        <f aca="false">'Disease Prediction Model'!$C$9+'Disease Prediction Model'!$C$10*B38+'Disease Prediction Model'!$C$11*C38+'Disease Prediction Model'!$C$12*D38+'Disease Prediction Model'!$C$13*E38+'Disease Prediction Model'!$C$14*F38+'Disease Prediction Model'!$C$15*G38</f>
        <v>0.377477</v>
      </c>
      <c r="N38" s="8" t="str">
        <f aca="false">IF(M38&gt;=0.5,"Yes","No")</f>
        <v>No</v>
      </c>
    </row>
    <row r="39" customFormat="false" ht="15" hidden="false" customHeight="false" outlineLevel="0" collapsed="false">
      <c r="A39" s="8" t="s">
        <v>1986</v>
      </c>
      <c r="B39" s="8" t="n">
        <v>44</v>
      </c>
      <c r="C39" s="8" t="n">
        <v>37.6</v>
      </c>
      <c r="D39" s="8" t="n">
        <v>111</v>
      </c>
      <c r="E39" s="8" t="n">
        <v>101</v>
      </c>
      <c r="F39" s="8" t="n">
        <v>0</v>
      </c>
      <c r="G39" s="8" t="n">
        <v>0</v>
      </c>
      <c r="H39" s="8" t="n">
        <v>1</v>
      </c>
      <c r="I39" s="8" t="s">
        <v>1948</v>
      </c>
      <c r="J39" s="8" t="s">
        <v>1959</v>
      </c>
      <c r="K39" s="8" t="s">
        <v>1954</v>
      </c>
      <c r="L39" s="8" t="s">
        <v>1949</v>
      </c>
      <c r="M39" s="28" t="n">
        <f aca="false">'Disease Prediction Model'!$C$9+'Disease Prediction Model'!$C$10*B39+'Disease Prediction Model'!$C$11*C39+'Disease Prediction Model'!$C$12*D39+'Disease Prediction Model'!$C$13*E39+'Disease Prediction Model'!$C$14*F39+'Disease Prediction Model'!$C$15*G39</f>
        <v>0.404774</v>
      </c>
      <c r="N39" s="8" t="str">
        <f aca="false">IF(M39&gt;=0.5,"Yes","No")</f>
        <v>No</v>
      </c>
    </row>
    <row r="40" customFormat="false" ht="15" hidden="false" customHeight="false" outlineLevel="0" collapsed="false">
      <c r="A40" s="8" t="s">
        <v>1987</v>
      </c>
      <c r="B40" s="8" t="n">
        <v>61</v>
      </c>
      <c r="C40" s="8" t="n">
        <v>28.5</v>
      </c>
      <c r="D40" s="8" t="n">
        <v>140</v>
      </c>
      <c r="E40" s="8" t="n">
        <v>119</v>
      </c>
      <c r="F40" s="8" t="n">
        <v>0</v>
      </c>
      <c r="G40" s="8" t="n">
        <v>1</v>
      </c>
      <c r="H40" s="8" t="n">
        <v>1</v>
      </c>
      <c r="I40" s="8" t="s">
        <v>1948</v>
      </c>
      <c r="J40" s="8" t="s">
        <v>1405</v>
      </c>
      <c r="K40" s="8" t="s">
        <v>1954</v>
      </c>
      <c r="L40" s="8" t="s">
        <v>1949</v>
      </c>
      <c r="M40" s="28" t="n">
        <f aca="false">'Disease Prediction Model'!$C$9+'Disease Prediction Model'!$C$10*B40+'Disease Prediction Model'!$C$11*C40+'Disease Prediction Model'!$C$12*D40+'Disease Prediction Model'!$C$13*E40+'Disease Prediction Model'!$C$14*F40+'Disease Prediction Model'!$C$15*G40</f>
        <v>0.520405</v>
      </c>
      <c r="N40" s="8" t="str">
        <f aca="false">IF(M40&gt;=0.5,"Yes","No")</f>
        <v>Yes</v>
      </c>
    </row>
    <row r="41" customFormat="false" ht="15" hidden="false" customHeight="false" outlineLevel="0" collapsed="false">
      <c r="A41" s="8" t="s">
        <v>1988</v>
      </c>
      <c r="B41" s="8" t="n">
        <v>44</v>
      </c>
      <c r="C41" s="8" t="n">
        <v>29.3</v>
      </c>
      <c r="D41" s="8" t="n">
        <v>97</v>
      </c>
      <c r="E41" s="8" t="n">
        <v>70</v>
      </c>
      <c r="F41" s="8" t="n">
        <v>0</v>
      </c>
      <c r="G41" s="8" t="n">
        <v>1</v>
      </c>
      <c r="H41" s="8" t="n">
        <v>0</v>
      </c>
      <c r="I41" s="8" t="s">
        <v>1948</v>
      </c>
      <c r="J41" s="8" t="s">
        <v>1405</v>
      </c>
      <c r="K41" s="8" t="s">
        <v>1948</v>
      </c>
      <c r="L41" s="8" t="s">
        <v>1949</v>
      </c>
      <c r="M41" s="28" t="n">
        <f aca="false">'Disease Prediction Model'!$C$9+'Disease Prediction Model'!$C$10*B41+'Disease Prediction Model'!$C$11*C41+'Disease Prediction Model'!$C$12*D41+'Disease Prediction Model'!$C$13*E41+'Disease Prediction Model'!$C$14*F41+'Disease Prediction Model'!$C$15*G41</f>
        <v>-0.127803</v>
      </c>
      <c r="N41" s="8" t="str">
        <f aca="false">IF(M41&gt;=0.5,"Yes","No")</f>
        <v>No</v>
      </c>
    </row>
    <row r="42" customFormat="false" ht="15" hidden="false" customHeight="false" outlineLevel="0" collapsed="false">
      <c r="A42" s="8" t="s">
        <v>1989</v>
      </c>
      <c r="B42" s="8" t="n">
        <v>51</v>
      </c>
      <c r="C42" s="8" t="n">
        <v>32.5</v>
      </c>
      <c r="D42" s="8" t="n">
        <v>139</v>
      </c>
      <c r="E42" s="8" t="n">
        <v>115</v>
      </c>
      <c r="F42" s="8" t="n">
        <v>1</v>
      </c>
      <c r="G42" s="8" t="n">
        <v>2</v>
      </c>
      <c r="H42" s="8" t="n">
        <v>0</v>
      </c>
      <c r="I42" s="8" t="s">
        <v>1954</v>
      </c>
      <c r="J42" s="8" t="s">
        <v>1951</v>
      </c>
      <c r="K42" s="8" t="s">
        <v>1948</v>
      </c>
      <c r="L42" s="8" t="s">
        <v>1949</v>
      </c>
      <c r="M42" s="28" t="n">
        <f aca="false">'Disease Prediction Model'!$C$9+'Disease Prediction Model'!$C$10*B42+'Disease Prediction Model'!$C$11*C42+'Disease Prediction Model'!$C$12*D42+'Disease Prediction Model'!$C$13*E42+'Disease Prediction Model'!$C$14*F42+'Disease Prediction Model'!$C$15*G42</f>
        <v>0.527525</v>
      </c>
      <c r="N42" s="8" t="str">
        <f aca="false">IF(M42&gt;=0.5,"Yes","No")</f>
        <v>Yes</v>
      </c>
    </row>
    <row r="43" customFormat="false" ht="15" hidden="false" customHeight="false" outlineLevel="0" collapsed="false">
      <c r="A43" s="8" t="s">
        <v>1990</v>
      </c>
      <c r="B43" s="8" t="n">
        <v>51</v>
      </c>
      <c r="C43" s="8" t="n">
        <v>24.6</v>
      </c>
      <c r="D43" s="8" t="n">
        <v>110</v>
      </c>
      <c r="E43" s="8" t="n">
        <v>99</v>
      </c>
      <c r="F43" s="8" t="n">
        <v>0</v>
      </c>
      <c r="G43" s="8" t="n">
        <v>1</v>
      </c>
      <c r="H43" s="8" t="n">
        <v>0</v>
      </c>
      <c r="I43" s="8" t="s">
        <v>1948</v>
      </c>
      <c r="J43" s="8" t="s">
        <v>1405</v>
      </c>
      <c r="K43" s="8" t="s">
        <v>1948</v>
      </c>
      <c r="L43" s="8" t="s">
        <v>1949</v>
      </c>
      <c r="M43" s="28" t="n">
        <f aca="false">'Disease Prediction Model'!$C$9+'Disease Prediction Model'!$C$10*B43+'Disease Prediction Model'!$C$11*C43+'Disease Prediction Model'!$C$12*D43+'Disease Prediction Model'!$C$13*E43+'Disease Prediction Model'!$C$14*F43+'Disease Prediction Model'!$C$15*G43</f>
        <v>0.154184</v>
      </c>
      <c r="N43" s="8" t="str">
        <f aca="false">IF(M43&gt;=0.5,"Yes","No")</f>
        <v>No</v>
      </c>
    </row>
    <row r="44" customFormat="false" ht="15" hidden="false" customHeight="false" outlineLevel="0" collapsed="false">
      <c r="A44" s="8" t="s">
        <v>1991</v>
      </c>
      <c r="B44" s="8" t="n">
        <v>25</v>
      </c>
      <c r="C44" s="8" t="n">
        <v>22.5</v>
      </c>
      <c r="D44" s="8" t="n">
        <v>141</v>
      </c>
      <c r="E44" s="8" t="n">
        <v>112</v>
      </c>
      <c r="F44" s="8" t="n">
        <v>0</v>
      </c>
      <c r="G44" s="8" t="n">
        <v>0</v>
      </c>
      <c r="H44" s="8" t="n">
        <v>0</v>
      </c>
      <c r="I44" s="8" t="s">
        <v>1948</v>
      </c>
      <c r="J44" s="8" t="s">
        <v>1959</v>
      </c>
      <c r="K44" s="8" t="s">
        <v>1948</v>
      </c>
      <c r="L44" s="8" t="s">
        <v>1949</v>
      </c>
      <c r="M44" s="28" t="n">
        <f aca="false">'Disease Prediction Model'!$C$9+'Disease Prediction Model'!$C$10*B44+'Disease Prediction Model'!$C$11*C44+'Disease Prediction Model'!$C$12*D44+'Disease Prediction Model'!$C$13*E44+'Disease Prediction Model'!$C$14*F44+'Disease Prediction Model'!$C$15*G44</f>
        <v>0.386565</v>
      </c>
      <c r="N44" s="8" t="str">
        <f aca="false">IF(M44&gt;=0.5,"Yes","No")</f>
        <v>No</v>
      </c>
    </row>
    <row r="45" customFormat="false" ht="15" hidden="false" customHeight="false" outlineLevel="0" collapsed="false">
      <c r="A45" s="8" t="s">
        <v>1992</v>
      </c>
      <c r="B45" s="8" t="n">
        <v>50</v>
      </c>
      <c r="C45" s="8" t="n">
        <v>17.9</v>
      </c>
      <c r="D45" s="8" t="n">
        <v>128</v>
      </c>
      <c r="E45" s="8" t="n">
        <v>78</v>
      </c>
      <c r="F45" s="8" t="n">
        <v>1</v>
      </c>
      <c r="G45" s="8" t="n">
        <v>1</v>
      </c>
      <c r="H45" s="8" t="n">
        <v>0</v>
      </c>
      <c r="I45" s="8" t="s">
        <v>1954</v>
      </c>
      <c r="J45" s="8" t="s">
        <v>1405</v>
      </c>
      <c r="K45" s="8" t="s">
        <v>1948</v>
      </c>
      <c r="L45" s="8" t="s">
        <v>1949</v>
      </c>
      <c r="M45" s="28" t="n">
        <f aca="false">'Disease Prediction Model'!$C$9+'Disease Prediction Model'!$C$10*B45+'Disease Prediction Model'!$C$11*C45+'Disease Prediction Model'!$C$12*D45+'Disease Prediction Model'!$C$13*E45+'Disease Prediction Model'!$C$14*F45+'Disease Prediction Model'!$C$15*G45</f>
        <v>0.0771709999999998</v>
      </c>
      <c r="N45" s="8" t="str">
        <f aca="false">IF(M45&gt;=0.5,"Yes","No")</f>
        <v>No</v>
      </c>
    </row>
    <row r="46" customFormat="false" ht="15" hidden="false" customHeight="false" outlineLevel="0" collapsed="false">
      <c r="A46" s="8" t="s">
        <v>1993</v>
      </c>
      <c r="B46" s="8" t="n">
        <v>18</v>
      </c>
      <c r="C46" s="8" t="n">
        <v>30.4</v>
      </c>
      <c r="D46" s="8" t="n">
        <v>127</v>
      </c>
      <c r="E46" s="8" t="n">
        <v>83</v>
      </c>
      <c r="F46" s="8" t="n">
        <v>0</v>
      </c>
      <c r="G46" s="8" t="n">
        <v>0</v>
      </c>
      <c r="H46" s="8" t="n">
        <v>0</v>
      </c>
      <c r="I46" s="8" t="s">
        <v>1948</v>
      </c>
      <c r="J46" s="8" t="s">
        <v>1959</v>
      </c>
      <c r="K46" s="8" t="s">
        <v>1948</v>
      </c>
      <c r="L46" s="8" t="s">
        <v>1949</v>
      </c>
      <c r="M46" s="28" t="n">
        <f aca="false">'Disease Prediction Model'!$C$9+'Disease Prediction Model'!$C$10*B46+'Disease Prediction Model'!$C$11*C46+'Disease Prediction Model'!$C$12*D46+'Disease Prediction Model'!$C$13*E46+'Disease Prediction Model'!$C$14*F46+'Disease Prediction Model'!$C$15*G46</f>
        <v>0.137446</v>
      </c>
      <c r="N46" s="8" t="str">
        <f aca="false">IF(M46&gt;=0.5,"Yes","No")</f>
        <v>No</v>
      </c>
    </row>
    <row r="47" customFormat="false" ht="15" hidden="false" customHeight="false" outlineLevel="0" collapsed="false">
      <c r="A47" s="8" t="s">
        <v>1994</v>
      </c>
      <c r="B47" s="8" t="n">
        <v>58</v>
      </c>
      <c r="C47" s="8" t="n">
        <v>32.4</v>
      </c>
      <c r="D47" s="8" t="n">
        <v>154</v>
      </c>
      <c r="E47" s="8" t="n">
        <v>84</v>
      </c>
      <c r="F47" s="8" t="n">
        <v>0</v>
      </c>
      <c r="G47" s="8" t="n">
        <v>0</v>
      </c>
      <c r="H47" s="8" t="n">
        <v>1</v>
      </c>
      <c r="I47" s="8" t="s">
        <v>1948</v>
      </c>
      <c r="J47" s="8" t="s">
        <v>1959</v>
      </c>
      <c r="K47" s="8" t="s">
        <v>1954</v>
      </c>
      <c r="L47" s="8" t="s">
        <v>1949</v>
      </c>
      <c r="M47" s="28" t="n">
        <f aca="false">'Disease Prediction Model'!$C$9+'Disease Prediction Model'!$C$10*B47+'Disease Prediction Model'!$C$11*C47+'Disease Prediction Model'!$C$12*D47+'Disease Prediction Model'!$C$13*E47+'Disease Prediction Model'!$C$14*F47+'Disease Prediction Model'!$C$15*G47</f>
        <v>0.382946</v>
      </c>
      <c r="N47" s="8" t="str">
        <f aca="false">IF(M47&gt;=0.5,"Yes","No")</f>
        <v>No</v>
      </c>
    </row>
    <row r="48" customFormat="false" ht="15" hidden="false" customHeight="false" outlineLevel="0" collapsed="false">
      <c r="A48" s="8" t="s">
        <v>1995</v>
      </c>
      <c r="B48" s="8" t="n">
        <v>42</v>
      </c>
      <c r="C48" s="8" t="n">
        <v>25.3</v>
      </c>
      <c r="D48" s="8" t="n">
        <v>146</v>
      </c>
      <c r="E48" s="8" t="n">
        <v>80</v>
      </c>
      <c r="F48" s="8" t="n">
        <v>0</v>
      </c>
      <c r="G48" s="8" t="n">
        <v>0</v>
      </c>
      <c r="H48" s="8" t="n">
        <v>0</v>
      </c>
      <c r="I48" s="8" t="s">
        <v>1948</v>
      </c>
      <c r="J48" s="8" t="s">
        <v>1959</v>
      </c>
      <c r="K48" s="8" t="s">
        <v>1948</v>
      </c>
      <c r="L48" s="8" t="s">
        <v>1949</v>
      </c>
      <c r="M48" s="28" t="n">
        <f aca="false">'Disease Prediction Model'!$C$9+'Disease Prediction Model'!$C$10*B48+'Disease Prediction Model'!$C$11*C48+'Disease Prediction Model'!$C$12*D48+'Disease Prediction Model'!$C$13*E48+'Disease Prediction Model'!$C$14*F48+'Disease Prediction Model'!$C$15*G48</f>
        <v>0.189677</v>
      </c>
      <c r="N48" s="8" t="str">
        <f aca="false">IF(M48&gt;=0.5,"Yes","No")</f>
        <v>No</v>
      </c>
    </row>
    <row r="49" customFormat="false" ht="15" hidden="false" customHeight="false" outlineLevel="0" collapsed="false">
      <c r="A49" s="8" t="s">
        <v>1996</v>
      </c>
      <c r="B49" s="8" t="n">
        <v>45</v>
      </c>
      <c r="C49" s="8" t="n">
        <v>26.9</v>
      </c>
      <c r="D49" s="8" t="n">
        <v>129</v>
      </c>
      <c r="E49" s="8" t="n">
        <v>85</v>
      </c>
      <c r="F49" s="8" t="n">
        <v>0</v>
      </c>
      <c r="G49" s="8" t="n">
        <v>1</v>
      </c>
      <c r="H49" s="8" t="n">
        <v>0</v>
      </c>
      <c r="I49" s="8" t="s">
        <v>1948</v>
      </c>
      <c r="J49" s="8" t="s">
        <v>1405</v>
      </c>
      <c r="K49" s="8" t="s">
        <v>1948</v>
      </c>
      <c r="L49" s="8" t="s">
        <v>1949</v>
      </c>
      <c r="M49" s="28" t="n">
        <f aca="false">'Disease Prediction Model'!$C$9+'Disease Prediction Model'!$C$10*B49+'Disease Prediction Model'!$C$11*C49+'Disease Prediction Model'!$C$12*D49+'Disease Prediction Model'!$C$13*E49+'Disease Prediction Model'!$C$14*F49+'Disease Prediction Model'!$C$15*G49</f>
        <v>0.101241</v>
      </c>
      <c r="N49" s="8" t="str">
        <f aca="false">IF(M49&gt;=0.5,"Yes","No")</f>
        <v>No</v>
      </c>
    </row>
    <row r="50" customFormat="false" ht="15" hidden="false" customHeight="false" outlineLevel="0" collapsed="false">
      <c r="A50" s="8" t="s">
        <v>1997</v>
      </c>
      <c r="B50" s="8" t="n">
        <v>76</v>
      </c>
      <c r="C50" s="8" t="n">
        <v>28.7</v>
      </c>
      <c r="D50" s="8" t="n">
        <v>120</v>
      </c>
      <c r="E50" s="8" t="n">
        <v>85</v>
      </c>
      <c r="F50" s="8" t="n">
        <v>1</v>
      </c>
      <c r="G50" s="8" t="n">
        <v>1</v>
      </c>
      <c r="H50" s="8" t="n">
        <v>0</v>
      </c>
      <c r="I50" s="8" t="s">
        <v>1954</v>
      </c>
      <c r="J50" s="8" t="s">
        <v>1405</v>
      </c>
      <c r="K50" s="8" t="s">
        <v>1948</v>
      </c>
      <c r="L50" s="8" t="s">
        <v>1949</v>
      </c>
      <c r="M50" s="28" t="n">
        <f aca="false">'Disease Prediction Model'!$C$9+'Disease Prediction Model'!$C$10*B50+'Disease Prediction Model'!$C$11*C50+'Disease Prediction Model'!$C$12*D50+'Disease Prediction Model'!$C$13*E50+'Disease Prediction Model'!$C$14*F50+'Disease Prediction Model'!$C$15*G50</f>
        <v>0.312283</v>
      </c>
      <c r="N50" s="8" t="str">
        <f aca="false">IF(M50&gt;=0.5,"Yes","No")</f>
        <v>No</v>
      </c>
    </row>
    <row r="51" customFormat="false" ht="15" hidden="false" customHeight="false" outlineLevel="0" collapsed="false">
      <c r="A51" s="8" t="s">
        <v>1998</v>
      </c>
      <c r="B51" s="8" t="n">
        <v>30</v>
      </c>
      <c r="C51" s="8" t="n">
        <v>27.4</v>
      </c>
      <c r="D51" s="8" t="n">
        <v>106</v>
      </c>
      <c r="E51" s="8" t="n">
        <v>113</v>
      </c>
      <c r="F51" s="8" t="n">
        <v>1</v>
      </c>
      <c r="G51" s="8" t="n">
        <v>1</v>
      </c>
      <c r="H51" s="8" t="n">
        <v>0</v>
      </c>
      <c r="I51" s="8" t="s">
        <v>1954</v>
      </c>
      <c r="J51" s="8" t="s">
        <v>1405</v>
      </c>
      <c r="K51" s="8" t="s">
        <v>1948</v>
      </c>
      <c r="L51" s="8" t="s">
        <v>1949</v>
      </c>
      <c r="M51" s="28" t="n">
        <f aca="false">'Disease Prediction Model'!$C$9+'Disease Prediction Model'!$C$10*B51+'Disease Prediction Model'!$C$11*C51+'Disease Prediction Model'!$C$12*D51+'Disease Prediction Model'!$C$13*E51+'Disease Prediction Model'!$C$14*F51+'Disease Prediction Model'!$C$15*G51</f>
        <v>0.372316</v>
      </c>
      <c r="N51" s="8" t="str">
        <f aca="false">IF(M51&gt;=0.5,"Yes","No")</f>
        <v>No</v>
      </c>
    </row>
    <row r="52" customFormat="false" ht="15" hidden="false" customHeight="false" outlineLevel="0" collapsed="false">
      <c r="A52" s="8" t="s">
        <v>1999</v>
      </c>
      <c r="B52" s="8" t="n">
        <v>48</v>
      </c>
      <c r="C52" s="8" t="n">
        <v>26.1</v>
      </c>
      <c r="D52" s="8" t="n">
        <v>132</v>
      </c>
      <c r="E52" s="8" t="n">
        <v>70</v>
      </c>
      <c r="F52" s="8" t="n">
        <v>1</v>
      </c>
      <c r="G52" s="8" t="n">
        <v>0</v>
      </c>
      <c r="H52" s="8" t="n">
        <v>1</v>
      </c>
      <c r="I52" s="8" t="s">
        <v>1954</v>
      </c>
      <c r="J52" s="8" t="s">
        <v>1959</v>
      </c>
      <c r="K52" s="8" t="s">
        <v>1954</v>
      </c>
      <c r="L52" s="8" t="s">
        <v>1949</v>
      </c>
      <c r="M52" s="28" t="n">
        <f aca="false">'Disease Prediction Model'!$C$9+'Disease Prediction Model'!$C$10*B52+'Disease Prediction Model'!$C$11*C52+'Disease Prediction Model'!$C$12*D52+'Disease Prediction Model'!$C$13*E52+'Disease Prediction Model'!$C$14*F52+'Disease Prediction Model'!$C$15*G52</f>
        <v>0.205829</v>
      </c>
      <c r="N52" s="8" t="str">
        <f aca="false">IF(M52&gt;=0.5,"Yes","No")</f>
        <v>No</v>
      </c>
    </row>
    <row r="53" customFormat="false" ht="15" hidden="false" customHeight="false" outlineLevel="0" collapsed="false">
      <c r="A53" s="8" t="s">
        <v>2000</v>
      </c>
      <c r="B53" s="8" t="n">
        <v>70</v>
      </c>
      <c r="C53" s="8" t="n">
        <v>17.1</v>
      </c>
      <c r="D53" s="8" t="n">
        <v>125</v>
      </c>
      <c r="E53" s="8" t="n">
        <v>170</v>
      </c>
      <c r="F53" s="8" t="n">
        <v>0</v>
      </c>
      <c r="G53" s="8" t="n">
        <v>2</v>
      </c>
      <c r="H53" s="8" t="n">
        <v>0</v>
      </c>
      <c r="I53" s="8" t="s">
        <v>1948</v>
      </c>
      <c r="J53" s="8" t="s">
        <v>1951</v>
      </c>
      <c r="K53" s="8" t="s">
        <v>1948</v>
      </c>
      <c r="L53" s="8" t="s">
        <v>1949</v>
      </c>
      <c r="M53" s="28" t="n">
        <f aca="false">'Disease Prediction Model'!$C$9+'Disease Prediction Model'!$C$10*B53+'Disease Prediction Model'!$C$11*C53+'Disease Prediction Model'!$C$12*D53+'Disease Prediction Model'!$C$13*E53+'Disease Prediction Model'!$C$14*F53+'Disease Prediction Model'!$C$15*G53</f>
        <v>0.734539</v>
      </c>
      <c r="N53" s="8" t="str">
        <f aca="false">IF(M53&gt;=0.5,"Yes","No")</f>
        <v>Yes</v>
      </c>
    </row>
    <row r="54" customFormat="false" ht="15" hidden="false" customHeight="false" outlineLevel="0" collapsed="false">
      <c r="A54" s="8" t="s">
        <v>2001</v>
      </c>
      <c r="B54" s="8" t="n">
        <v>57</v>
      </c>
      <c r="C54" s="8" t="n">
        <v>25.2</v>
      </c>
      <c r="D54" s="8" t="n">
        <v>123</v>
      </c>
      <c r="E54" s="8" t="n">
        <v>132</v>
      </c>
      <c r="F54" s="8" t="n">
        <v>1</v>
      </c>
      <c r="G54" s="8" t="n">
        <v>0</v>
      </c>
      <c r="H54" s="8" t="n">
        <v>1</v>
      </c>
      <c r="I54" s="8" t="s">
        <v>1954</v>
      </c>
      <c r="J54" s="8" t="s">
        <v>1959</v>
      </c>
      <c r="K54" s="8" t="s">
        <v>1954</v>
      </c>
      <c r="L54" s="8" t="s">
        <v>1949</v>
      </c>
      <c r="M54" s="28" t="n">
        <f aca="false">'Disease Prediction Model'!$C$9+'Disease Prediction Model'!$C$10*B54+'Disease Prediction Model'!$C$11*C54+'Disease Prediction Model'!$C$12*D54+'Disease Prediction Model'!$C$13*E54+'Disease Prediction Model'!$C$14*F54+'Disease Prediction Model'!$C$15*G54</f>
        <v>0.763758</v>
      </c>
      <c r="N54" s="8" t="str">
        <f aca="false">IF(M54&gt;=0.5,"Yes","No")</f>
        <v>Yes</v>
      </c>
    </row>
    <row r="55" customFormat="false" ht="15" hidden="false" customHeight="false" outlineLevel="0" collapsed="false">
      <c r="A55" s="8" t="s">
        <v>2002</v>
      </c>
      <c r="B55" s="8" t="n">
        <v>52</v>
      </c>
      <c r="C55" s="8" t="n">
        <v>25.9</v>
      </c>
      <c r="D55" s="8" t="n">
        <v>128</v>
      </c>
      <c r="E55" s="8" t="n">
        <v>104</v>
      </c>
      <c r="F55" s="8" t="n">
        <v>1</v>
      </c>
      <c r="G55" s="8" t="n">
        <v>0</v>
      </c>
      <c r="H55" s="8" t="n">
        <v>1</v>
      </c>
      <c r="I55" s="8" t="s">
        <v>1954</v>
      </c>
      <c r="J55" s="8" t="s">
        <v>1959</v>
      </c>
      <c r="K55" s="8" t="s">
        <v>1954</v>
      </c>
      <c r="L55" s="8" t="s">
        <v>1949</v>
      </c>
      <c r="M55" s="28" t="n">
        <f aca="false">'Disease Prediction Model'!$C$9+'Disease Prediction Model'!$C$10*B55+'Disease Prediction Model'!$C$11*C55+'Disease Prediction Model'!$C$12*D55+'Disease Prediction Model'!$C$13*E55+'Disease Prediction Model'!$C$14*F55+'Disease Prediction Model'!$C$15*G55</f>
        <v>0.515751</v>
      </c>
      <c r="N55" s="8" t="str">
        <f aca="false">IF(M55&gt;=0.5,"Yes","No")</f>
        <v>Yes</v>
      </c>
    </row>
    <row r="56" customFormat="false" ht="15" hidden="false" customHeight="false" outlineLevel="0" collapsed="false">
      <c r="A56" s="8" t="s">
        <v>2003</v>
      </c>
      <c r="B56" s="8" t="n">
        <v>60</v>
      </c>
      <c r="C56" s="8" t="n">
        <v>28.4</v>
      </c>
      <c r="D56" s="8" t="n">
        <v>143</v>
      </c>
      <c r="E56" s="8" t="n">
        <v>156</v>
      </c>
      <c r="F56" s="8" t="n">
        <v>0</v>
      </c>
      <c r="G56" s="8" t="n">
        <v>0</v>
      </c>
      <c r="H56" s="8" t="n">
        <v>1</v>
      </c>
      <c r="I56" s="8" t="s">
        <v>1948</v>
      </c>
      <c r="J56" s="8" t="s">
        <v>1959</v>
      </c>
      <c r="K56" s="8" t="s">
        <v>1954</v>
      </c>
      <c r="L56" s="8" t="s">
        <v>1949</v>
      </c>
      <c r="M56" s="28" t="n">
        <f aca="false">'Disease Prediction Model'!$C$9+'Disease Prediction Model'!$C$10*B56+'Disease Prediction Model'!$C$11*C56+'Disease Prediction Model'!$C$12*D56+'Disease Prediction Model'!$C$13*E56+'Disease Prediction Model'!$C$14*F56+'Disease Prediction Model'!$C$15*G56</f>
        <v>0.970566</v>
      </c>
      <c r="N56" s="8" t="str">
        <f aca="false">IF(M56&gt;=0.5,"Yes","No")</f>
        <v>Yes</v>
      </c>
    </row>
    <row r="57" customFormat="false" ht="15" hidden="false" customHeight="false" outlineLevel="0" collapsed="false">
      <c r="A57" s="8" t="s">
        <v>2004</v>
      </c>
      <c r="B57" s="8" t="n">
        <v>61</v>
      </c>
      <c r="C57" s="8" t="n">
        <v>28.9</v>
      </c>
      <c r="D57" s="8" t="n">
        <v>110</v>
      </c>
      <c r="E57" s="8" t="n">
        <v>105</v>
      </c>
      <c r="F57" s="8" t="n">
        <v>0</v>
      </c>
      <c r="G57" s="8" t="n">
        <v>1</v>
      </c>
      <c r="H57" s="8" t="n">
        <v>0</v>
      </c>
      <c r="I57" s="8" t="s">
        <v>1948</v>
      </c>
      <c r="J57" s="8" t="s">
        <v>1405</v>
      </c>
      <c r="K57" s="8" t="s">
        <v>1948</v>
      </c>
      <c r="L57" s="8" t="s">
        <v>1949</v>
      </c>
      <c r="M57" s="28" t="n">
        <f aca="false">'Disease Prediction Model'!$C$9+'Disease Prediction Model'!$C$10*B57+'Disease Prediction Model'!$C$11*C57+'Disease Prediction Model'!$C$12*D57+'Disease Prediction Model'!$C$13*E57+'Disease Prediction Model'!$C$14*F57+'Disease Prediction Model'!$C$15*G57</f>
        <v>0.287921</v>
      </c>
      <c r="N57" s="8" t="str">
        <f aca="false">IF(M57&gt;=0.5,"Yes","No")</f>
        <v>No</v>
      </c>
    </row>
    <row r="58" customFormat="false" ht="15" hidden="false" customHeight="false" outlineLevel="0" collapsed="false">
      <c r="A58" s="8" t="s">
        <v>2005</v>
      </c>
      <c r="B58" s="8" t="n">
        <v>74</v>
      </c>
      <c r="C58" s="8" t="n">
        <v>36.8</v>
      </c>
      <c r="D58" s="8" t="n">
        <v>127</v>
      </c>
      <c r="E58" s="8" t="n">
        <v>117</v>
      </c>
      <c r="F58" s="8" t="n">
        <v>1</v>
      </c>
      <c r="G58" s="8" t="n">
        <v>0</v>
      </c>
      <c r="H58" s="8" t="n">
        <v>1</v>
      </c>
      <c r="I58" s="8" t="s">
        <v>1954</v>
      </c>
      <c r="J58" s="8" t="s">
        <v>1959</v>
      </c>
      <c r="K58" s="8" t="s">
        <v>1954</v>
      </c>
      <c r="L58" s="8" t="s">
        <v>1949</v>
      </c>
      <c r="M58" s="28" t="n">
        <f aca="false">'Disease Prediction Model'!$C$9+'Disease Prediction Model'!$C$10*B58+'Disease Prediction Model'!$C$11*C58+'Disease Prediction Model'!$C$12*D58+'Disease Prediction Model'!$C$13*E58+'Disease Prediction Model'!$C$14*F58+'Disease Prediction Model'!$C$15*G58</f>
        <v>0.820942</v>
      </c>
      <c r="N58" s="8" t="str">
        <f aca="false">IF(M58&gt;=0.5,"Yes","No")</f>
        <v>Yes</v>
      </c>
    </row>
    <row r="59" customFormat="false" ht="15" hidden="false" customHeight="false" outlineLevel="0" collapsed="false">
      <c r="A59" s="8" t="s">
        <v>2006</v>
      </c>
      <c r="B59" s="8" t="n">
        <v>29</v>
      </c>
      <c r="C59" s="8" t="n">
        <v>24.4</v>
      </c>
      <c r="D59" s="8" t="n">
        <v>116</v>
      </c>
      <c r="E59" s="8" t="n">
        <v>111</v>
      </c>
      <c r="F59" s="8" t="n">
        <v>1</v>
      </c>
      <c r="G59" s="8" t="n">
        <v>0</v>
      </c>
      <c r="H59" s="8" t="n">
        <v>0</v>
      </c>
      <c r="I59" s="8" t="s">
        <v>1954</v>
      </c>
      <c r="J59" s="8" t="s">
        <v>1959</v>
      </c>
      <c r="K59" s="8" t="s">
        <v>1948</v>
      </c>
      <c r="L59" s="8" t="s">
        <v>1949</v>
      </c>
      <c r="M59" s="28" t="n">
        <f aca="false">'Disease Prediction Model'!$C$9+'Disease Prediction Model'!$C$10*B59+'Disease Prediction Model'!$C$11*C59+'Disease Prediction Model'!$C$12*D59+'Disease Prediction Model'!$C$13*E59+'Disease Prediction Model'!$C$14*F59+'Disease Prediction Model'!$C$15*G59</f>
        <v>0.453366</v>
      </c>
      <c r="N59" s="8" t="str">
        <f aca="false">IF(M59&gt;=0.5,"Yes","No")</f>
        <v>No</v>
      </c>
    </row>
    <row r="60" customFormat="false" ht="15" hidden="false" customHeight="false" outlineLevel="0" collapsed="false">
      <c r="A60" s="8" t="s">
        <v>2007</v>
      </c>
      <c r="B60" s="8" t="n">
        <v>60</v>
      </c>
      <c r="C60" s="8" t="n">
        <v>32</v>
      </c>
      <c r="D60" s="8" t="n">
        <v>114</v>
      </c>
      <c r="E60" s="8" t="n">
        <v>106</v>
      </c>
      <c r="F60" s="8" t="n">
        <v>1</v>
      </c>
      <c r="G60" s="8" t="n">
        <v>1</v>
      </c>
      <c r="H60" s="8" t="n">
        <v>1</v>
      </c>
      <c r="I60" s="8" t="s">
        <v>1954</v>
      </c>
      <c r="J60" s="8" t="s">
        <v>1405</v>
      </c>
      <c r="K60" s="8" t="s">
        <v>1954</v>
      </c>
      <c r="L60" s="8" t="s">
        <v>1949</v>
      </c>
      <c r="M60" s="28" t="n">
        <f aca="false">'Disease Prediction Model'!$C$9+'Disease Prediction Model'!$C$10*B60+'Disease Prediction Model'!$C$11*C60+'Disease Prediction Model'!$C$12*D60+'Disease Prediction Model'!$C$13*E60+'Disease Prediction Model'!$C$14*F60+'Disease Prediction Model'!$C$15*G60</f>
        <v>0.47613</v>
      </c>
      <c r="N60" s="8" t="str">
        <f aca="false">IF(M60&gt;=0.5,"Yes","No")</f>
        <v>No</v>
      </c>
    </row>
    <row r="61" customFormat="false" ht="15" hidden="false" customHeight="false" outlineLevel="0" collapsed="false">
      <c r="A61" s="8" t="s">
        <v>2008</v>
      </c>
      <c r="B61" s="8" t="n">
        <v>73</v>
      </c>
      <c r="C61" s="8" t="n">
        <v>27.7</v>
      </c>
      <c r="D61" s="8" t="n">
        <v>107</v>
      </c>
      <c r="E61" s="8" t="n">
        <v>121</v>
      </c>
      <c r="F61" s="8" t="n">
        <v>1</v>
      </c>
      <c r="G61" s="8" t="n">
        <v>2</v>
      </c>
      <c r="H61" s="8" t="n">
        <v>1</v>
      </c>
      <c r="I61" s="8" t="s">
        <v>1954</v>
      </c>
      <c r="J61" s="8" t="s">
        <v>1951</v>
      </c>
      <c r="K61" s="8" t="s">
        <v>1954</v>
      </c>
      <c r="L61" s="8" t="s">
        <v>1949</v>
      </c>
      <c r="M61" s="28" t="n">
        <f aca="false">'Disease Prediction Model'!$C$9+'Disease Prediction Model'!$C$10*B61+'Disease Prediction Model'!$C$11*C61+'Disease Prediction Model'!$C$12*D61+'Disease Prediction Model'!$C$13*E61+'Disease Prediction Model'!$C$14*F61+'Disease Prediction Model'!$C$15*G61</f>
        <v>0.478093</v>
      </c>
      <c r="N61" s="8" t="str">
        <f aca="false">IF(M61&gt;=0.5,"Yes","No")</f>
        <v>No</v>
      </c>
    </row>
    <row r="62" customFormat="false" ht="15" hidden="false" customHeight="false" outlineLevel="0" collapsed="false">
      <c r="A62" s="8" t="s">
        <v>2009</v>
      </c>
      <c r="B62" s="8" t="n">
        <v>74</v>
      </c>
      <c r="C62" s="8" t="n">
        <v>23.7</v>
      </c>
      <c r="D62" s="8" t="n">
        <v>103</v>
      </c>
      <c r="E62" s="8" t="n">
        <v>134</v>
      </c>
      <c r="F62" s="8" t="n">
        <v>0</v>
      </c>
      <c r="G62" s="8" t="n">
        <v>0</v>
      </c>
      <c r="H62" s="8" t="n">
        <v>1</v>
      </c>
      <c r="I62" s="8" t="s">
        <v>1948</v>
      </c>
      <c r="J62" s="8" t="s">
        <v>1959</v>
      </c>
      <c r="K62" s="8" t="s">
        <v>1954</v>
      </c>
      <c r="L62" s="8" t="s">
        <v>1949</v>
      </c>
      <c r="M62" s="28" t="n">
        <f aca="false">'Disease Prediction Model'!$C$9+'Disease Prediction Model'!$C$10*B62+'Disease Prediction Model'!$C$11*C62+'Disease Prediction Model'!$C$12*D62+'Disease Prediction Model'!$C$13*E62+'Disease Prediction Model'!$C$14*F62+'Disease Prediction Model'!$C$15*G62</f>
        <v>0.610993</v>
      </c>
      <c r="N62" s="8" t="str">
        <f aca="false">IF(M62&gt;=0.5,"Yes","No")</f>
        <v>Yes</v>
      </c>
    </row>
    <row r="63" customFormat="false" ht="15" hidden="false" customHeight="false" outlineLevel="0" collapsed="false">
      <c r="A63" s="8" t="s">
        <v>2010</v>
      </c>
      <c r="B63" s="8" t="n">
        <v>60</v>
      </c>
      <c r="C63" s="8" t="n">
        <v>31.6</v>
      </c>
      <c r="D63" s="8" t="n">
        <v>117</v>
      </c>
      <c r="E63" s="8" t="n">
        <v>121</v>
      </c>
      <c r="F63" s="8" t="n">
        <v>0</v>
      </c>
      <c r="G63" s="8" t="n">
        <v>1</v>
      </c>
      <c r="H63" s="8" t="n">
        <v>0</v>
      </c>
      <c r="I63" s="8" t="s">
        <v>1948</v>
      </c>
      <c r="J63" s="8" t="s">
        <v>1405</v>
      </c>
      <c r="K63" s="8" t="s">
        <v>1948</v>
      </c>
      <c r="L63" s="8" t="s">
        <v>1949</v>
      </c>
      <c r="M63" s="28" t="n">
        <f aca="false">'Disease Prediction Model'!$C$9+'Disease Prediction Model'!$C$10*B63+'Disease Prediction Model'!$C$11*C63+'Disease Prediction Model'!$C$12*D63+'Disease Prediction Model'!$C$13*E63+'Disease Prediction Model'!$C$14*F63+'Disease Prediction Model'!$C$15*G63</f>
        <v>0.488974</v>
      </c>
      <c r="N63" s="8" t="str">
        <f aca="false">IF(M63&gt;=0.5,"Yes","No")</f>
        <v>No</v>
      </c>
    </row>
    <row r="64" customFormat="false" ht="15" hidden="false" customHeight="false" outlineLevel="0" collapsed="false">
      <c r="A64" s="8" t="s">
        <v>2011</v>
      </c>
      <c r="B64" s="8" t="n">
        <v>43</v>
      </c>
      <c r="C64" s="8" t="n">
        <v>22.4</v>
      </c>
      <c r="D64" s="8" t="n">
        <v>151</v>
      </c>
      <c r="E64" s="8" t="n">
        <v>100</v>
      </c>
      <c r="F64" s="8" t="n">
        <v>1</v>
      </c>
      <c r="G64" s="8" t="n">
        <v>2</v>
      </c>
      <c r="H64" s="8" t="n">
        <v>0</v>
      </c>
      <c r="I64" s="8" t="s">
        <v>1954</v>
      </c>
      <c r="J64" s="8" t="s">
        <v>1951</v>
      </c>
      <c r="K64" s="8" t="s">
        <v>1948</v>
      </c>
      <c r="L64" s="8" t="s">
        <v>1949</v>
      </c>
      <c r="M64" s="28" t="n">
        <f aca="false">'Disease Prediction Model'!$C$9+'Disease Prediction Model'!$C$10*B64+'Disease Prediction Model'!$C$11*C64+'Disease Prediction Model'!$C$12*D64+'Disease Prediction Model'!$C$13*E64+'Disease Prediction Model'!$C$14*F64+'Disease Prediction Model'!$C$15*G64</f>
        <v>0.293186</v>
      </c>
      <c r="N64" s="8" t="str">
        <f aca="false">IF(M64&gt;=0.5,"Yes","No")</f>
        <v>No</v>
      </c>
    </row>
    <row r="65" customFormat="false" ht="15" hidden="false" customHeight="false" outlineLevel="0" collapsed="false">
      <c r="A65" s="8" t="s">
        <v>2012</v>
      </c>
      <c r="B65" s="8" t="n">
        <v>62</v>
      </c>
      <c r="C65" s="8" t="n">
        <v>22.5</v>
      </c>
      <c r="D65" s="8" t="n">
        <v>95</v>
      </c>
      <c r="E65" s="8" t="n">
        <v>86</v>
      </c>
      <c r="F65" s="8" t="n">
        <v>1</v>
      </c>
      <c r="G65" s="8" t="n">
        <v>1</v>
      </c>
      <c r="H65" s="8" t="n">
        <v>0</v>
      </c>
      <c r="I65" s="8" t="s">
        <v>1954</v>
      </c>
      <c r="J65" s="8" t="s">
        <v>1405</v>
      </c>
      <c r="K65" s="8" t="s">
        <v>1948</v>
      </c>
      <c r="L65" s="8" t="s">
        <v>1949</v>
      </c>
      <c r="M65" s="28" t="n">
        <f aca="false">'Disease Prediction Model'!$C$9+'Disease Prediction Model'!$C$10*B65+'Disease Prediction Model'!$C$11*C65+'Disease Prediction Model'!$C$12*D65+'Disease Prediction Model'!$C$13*E65+'Disease Prediction Model'!$C$14*F65+'Disease Prediction Model'!$C$15*G65</f>
        <v>0.120545</v>
      </c>
      <c r="N65" s="8" t="str">
        <f aca="false">IF(M65&gt;=0.5,"Yes","No")</f>
        <v>No</v>
      </c>
    </row>
    <row r="66" customFormat="false" ht="15" hidden="false" customHeight="false" outlineLevel="0" collapsed="false">
      <c r="A66" s="8" t="s">
        <v>2013</v>
      </c>
      <c r="B66" s="8" t="n">
        <v>67</v>
      </c>
      <c r="C66" s="8" t="n">
        <v>26.4</v>
      </c>
      <c r="D66" s="8" t="n">
        <v>102</v>
      </c>
      <c r="E66" s="8" t="n">
        <v>116</v>
      </c>
      <c r="F66" s="8" t="n">
        <v>0</v>
      </c>
      <c r="G66" s="8" t="n">
        <v>1</v>
      </c>
      <c r="H66" s="8" t="n">
        <v>0</v>
      </c>
      <c r="I66" s="8" t="s">
        <v>1948</v>
      </c>
      <c r="J66" s="8" t="s">
        <v>1405</v>
      </c>
      <c r="K66" s="8" t="s">
        <v>1948</v>
      </c>
      <c r="L66" s="8" t="s">
        <v>1949</v>
      </c>
      <c r="M66" s="28" t="n">
        <f aca="false">'Disease Prediction Model'!$C$9+'Disease Prediction Model'!$C$10*B66+'Disease Prediction Model'!$C$11*C66+'Disease Prediction Model'!$C$12*D66+'Disease Prediction Model'!$C$13*E66+'Disease Prediction Model'!$C$14*F66+'Disease Prediction Model'!$C$15*G66</f>
        <v>0.350186</v>
      </c>
      <c r="N66" s="8" t="str">
        <f aca="false">IF(M66&gt;=0.5,"Yes","No")</f>
        <v>No</v>
      </c>
    </row>
    <row r="67" customFormat="false" ht="15" hidden="false" customHeight="false" outlineLevel="0" collapsed="false">
      <c r="A67" s="8" t="s">
        <v>2014</v>
      </c>
      <c r="B67" s="8" t="n">
        <v>44</v>
      </c>
      <c r="C67" s="8" t="n">
        <v>38</v>
      </c>
      <c r="D67" s="8" t="n">
        <v>131</v>
      </c>
      <c r="E67" s="8" t="n">
        <v>89</v>
      </c>
      <c r="F67" s="8" t="n">
        <v>0</v>
      </c>
      <c r="G67" s="8" t="n">
        <v>2</v>
      </c>
      <c r="H67" s="8" t="n">
        <v>1</v>
      </c>
      <c r="I67" s="8" t="s">
        <v>1948</v>
      </c>
      <c r="J67" s="8" t="s">
        <v>1951</v>
      </c>
      <c r="K67" s="8" t="s">
        <v>1954</v>
      </c>
      <c r="L67" s="8" t="s">
        <v>1949</v>
      </c>
      <c r="M67" s="28" t="n">
        <f aca="false">'Disease Prediction Model'!$C$9+'Disease Prediction Model'!$C$10*B67+'Disease Prediction Model'!$C$11*C67+'Disease Prediction Model'!$C$12*D67+'Disease Prediction Model'!$C$13*E67+'Disease Prediction Model'!$C$14*F67+'Disease Prediction Model'!$C$15*G67</f>
        <v>0.16809</v>
      </c>
      <c r="N67" s="8" t="str">
        <f aca="false">IF(M67&gt;=0.5,"Yes","No")</f>
        <v>No</v>
      </c>
    </row>
    <row r="68" customFormat="false" ht="15" hidden="false" customHeight="false" outlineLevel="0" collapsed="false">
      <c r="A68" s="8" t="s">
        <v>2015</v>
      </c>
      <c r="B68" s="8" t="n">
        <v>64</v>
      </c>
      <c r="C68" s="8" t="n">
        <v>27.7</v>
      </c>
      <c r="D68" s="8" t="n">
        <v>114</v>
      </c>
      <c r="E68" s="8" t="n">
        <v>95</v>
      </c>
      <c r="F68" s="8" t="n">
        <v>0</v>
      </c>
      <c r="G68" s="8" t="n">
        <v>1</v>
      </c>
      <c r="H68" s="8" t="n">
        <v>0</v>
      </c>
      <c r="I68" s="8" t="s">
        <v>1948</v>
      </c>
      <c r="J68" s="8" t="s">
        <v>1405</v>
      </c>
      <c r="K68" s="8" t="s">
        <v>1948</v>
      </c>
      <c r="L68" s="8" t="s">
        <v>1949</v>
      </c>
      <c r="M68" s="28" t="n">
        <f aca="false">'Disease Prediction Model'!$C$9+'Disease Prediction Model'!$C$10*B68+'Disease Prediction Model'!$C$11*C68+'Disease Prediction Model'!$C$12*D68+'Disease Prediction Model'!$C$13*E68+'Disease Prediction Model'!$C$14*F68+'Disease Prediction Model'!$C$15*G68</f>
        <v>0.204733</v>
      </c>
      <c r="N68" s="8" t="str">
        <f aca="false">IF(M68&gt;=0.5,"Yes","No")</f>
        <v>No</v>
      </c>
    </row>
    <row r="69" customFormat="false" ht="15" hidden="false" customHeight="false" outlineLevel="0" collapsed="false">
      <c r="A69" s="8" t="s">
        <v>2016</v>
      </c>
      <c r="B69" s="8" t="n">
        <v>18</v>
      </c>
      <c r="C69" s="8" t="n">
        <v>27.5</v>
      </c>
      <c r="D69" s="8" t="n">
        <v>90</v>
      </c>
      <c r="E69" s="8" t="n">
        <v>109</v>
      </c>
      <c r="F69" s="8" t="n">
        <v>0</v>
      </c>
      <c r="G69" s="8" t="n">
        <v>1</v>
      </c>
      <c r="H69" s="8" t="n">
        <v>0</v>
      </c>
      <c r="I69" s="8" t="s">
        <v>1948</v>
      </c>
      <c r="J69" s="8" t="s">
        <v>1405</v>
      </c>
      <c r="K69" s="8" t="s">
        <v>1948</v>
      </c>
      <c r="L69" s="8" t="s">
        <v>1949</v>
      </c>
      <c r="M69" s="28" t="n">
        <f aca="false">'Disease Prediction Model'!$C$9+'Disease Prediction Model'!$C$10*B69+'Disease Prediction Model'!$C$11*C69+'Disease Prediction Model'!$C$12*D69+'Disease Prediction Model'!$C$13*E69+'Disease Prediction Model'!$C$14*F69+'Disease Prediction Model'!$C$15*G69</f>
        <v>0.111855</v>
      </c>
      <c r="N69" s="8" t="str">
        <f aca="false">IF(M69&gt;=0.5,"Yes","No")</f>
        <v>No</v>
      </c>
    </row>
    <row r="70" customFormat="false" ht="15" hidden="false" customHeight="false" outlineLevel="0" collapsed="false">
      <c r="A70" s="8" t="s">
        <v>2017</v>
      </c>
      <c r="B70" s="8" t="n">
        <v>51</v>
      </c>
      <c r="C70" s="8" t="n">
        <v>32.1</v>
      </c>
      <c r="D70" s="8" t="n">
        <v>137</v>
      </c>
      <c r="E70" s="8" t="n">
        <v>88</v>
      </c>
      <c r="F70" s="8" t="n">
        <v>1</v>
      </c>
      <c r="G70" s="8" t="n">
        <v>1</v>
      </c>
      <c r="H70" s="8" t="n">
        <v>0</v>
      </c>
      <c r="I70" s="8" t="s">
        <v>1954</v>
      </c>
      <c r="J70" s="8" t="s">
        <v>1405</v>
      </c>
      <c r="K70" s="8" t="s">
        <v>1948</v>
      </c>
      <c r="L70" s="8" t="s">
        <v>1949</v>
      </c>
      <c r="M70" s="28" t="n">
        <f aca="false">'Disease Prediction Model'!$C$9+'Disease Prediction Model'!$C$10*B70+'Disease Prediction Model'!$C$11*C70+'Disease Prediction Model'!$C$12*D70+'Disease Prediction Model'!$C$13*E70+'Disease Prediction Model'!$C$14*F70+'Disease Prediction Model'!$C$15*G70</f>
        <v>0.366649</v>
      </c>
      <c r="N70" s="8" t="str">
        <f aca="false">IF(M70&gt;=0.5,"Yes","No")</f>
        <v>No</v>
      </c>
    </row>
    <row r="71" customFormat="false" ht="15" hidden="false" customHeight="false" outlineLevel="0" collapsed="false">
      <c r="A71" s="8" t="s">
        <v>2018</v>
      </c>
      <c r="B71" s="8" t="n">
        <v>20</v>
      </c>
      <c r="C71" s="8" t="n">
        <v>28.6</v>
      </c>
      <c r="D71" s="8" t="n">
        <v>123</v>
      </c>
      <c r="E71" s="8" t="n">
        <v>111</v>
      </c>
      <c r="F71" s="8" t="n">
        <v>1</v>
      </c>
      <c r="G71" s="8" t="n">
        <v>1</v>
      </c>
      <c r="H71" s="8" t="n">
        <v>1</v>
      </c>
      <c r="I71" s="8" t="s">
        <v>1954</v>
      </c>
      <c r="J71" s="8" t="s">
        <v>1405</v>
      </c>
      <c r="K71" s="8" t="s">
        <v>1954</v>
      </c>
      <c r="L71" s="8" t="s">
        <v>1949</v>
      </c>
      <c r="M71" s="28" t="n">
        <f aca="false">'Disease Prediction Model'!$C$9+'Disease Prediction Model'!$C$10*B71+'Disease Prediction Model'!$C$11*C71+'Disease Prediction Model'!$C$12*D71+'Disease Prediction Model'!$C$13*E71+'Disease Prediction Model'!$C$14*F71+'Disease Prediction Model'!$C$15*G71</f>
        <v>0.399124</v>
      </c>
      <c r="N71" s="8" t="str">
        <f aca="false">IF(M71&gt;=0.5,"Yes","No")</f>
        <v>No</v>
      </c>
    </row>
    <row r="72" customFormat="false" ht="15" hidden="false" customHeight="false" outlineLevel="0" collapsed="false">
      <c r="A72" s="8" t="s">
        <v>2019</v>
      </c>
      <c r="B72" s="8" t="n">
        <v>73</v>
      </c>
      <c r="C72" s="8" t="n">
        <v>28.7</v>
      </c>
      <c r="D72" s="8" t="n">
        <v>125</v>
      </c>
      <c r="E72" s="8" t="n">
        <v>111</v>
      </c>
      <c r="F72" s="8" t="n">
        <v>0</v>
      </c>
      <c r="G72" s="8" t="n">
        <v>0</v>
      </c>
      <c r="H72" s="8" t="n">
        <v>0</v>
      </c>
      <c r="I72" s="8" t="s">
        <v>1948</v>
      </c>
      <c r="J72" s="8" t="s">
        <v>1959</v>
      </c>
      <c r="K72" s="8" t="s">
        <v>1948</v>
      </c>
      <c r="L72" s="8" t="s">
        <v>1949</v>
      </c>
      <c r="M72" s="28" t="n">
        <f aca="false">'Disease Prediction Model'!$C$9+'Disease Prediction Model'!$C$10*B72+'Disease Prediction Model'!$C$11*C72+'Disease Prediction Model'!$C$12*D72+'Disease Prediction Model'!$C$13*E72+'Disease Prediction Model'!$C$14*F72+'Disease Prediction Model'!$C$15*G72</f>
        <v>0.530803</v>
      </c>
      <c r="N72" s="8" t="str">
        <f aca="false">IF(M72&gt;=0.5,"Yes","No")</f>
        <v>Yes</v>
      </c>
    </row>
    <row r="73" customFormat="false" ht="15" hidden="false" customHeight="false" outlineLevel="0" collapsed="false">
      <c r="A73" s="8" t="s">
        <v>2020</v>
      </c>
      <c r="B73" s="8" t="n">
        <v>60</v>
      </c>
      <c r="C73" s="8" t="n">
        <v>21.7</v>
      </c>
      <c r="D73" s="8" t="n">
        <v>95</v>
      </c>
      <c r="E73" s="8" t="n">
        <v>104</v>
      </c>
      <c r="F73" s="8" t="n">
        <v>0</v>
      </c>
      <c r="G73" s="8" t="n">
        <v>0</v>
      </c>
      <c r="H73" s="8" t="n">
        <v>1</v>
      </c>
      <c r="I73" s="8" t="s">
        <v>1948</v>
      </c>
      <c r="J73" s="8" t="s">
        <v>1959</v>
      </c>
      <c r="K73" s="8" t="s">
        <v>1954</v>
      </c>
      <c r="L73" s="8" t="s">
        <v>1949</v>
      </c>
      <c r="M73" s="28" t="n">
        <f aca="false">'Disease Prediction Model'!$C$9+'Disease Prediction Model'!$C$10*B73+'Disease Prediction Model'!$C$11*C73+'Disease Prediction Model'!$C$12*D73+'Disease Prediction Model'!$C$13*E73+'Disease Prediction Model'!$C$14*F73+'Disease Prediction Model'!$C$15*G73</f>
        <v>0.240893</v>
      </c>
      <c r="N73" s="8" t="str">
        <f aca="false">IF(M73&gt;=0.5,"Yes","No")</f>
        <v>No</v>
      </c>
    </row>
    <row r="74" customFormat="false" ht="15" hidden="false" customHeight="false" outlineLevel="0" collapsed="false">
      <c r="A74" s="8" t="s">
        <v>2021</v>
      </c>
      <c r="B74" s="8" t="n">
        <v>49</v>
      </c>
      <c r="C74" s="8" t="n">
        <v>21.9</v>
      </c>
      <c r="D74" s="8" t="n">
        <v>136</v>
      </c>
      <c r="E74" s="8" t="n">
        <v>106</v>
      </c>
      <c r="F74" s="8" t="n">
        <v>0</v>
      </c>
      <c r="G74" s="8" t="n">
        <v>1</v>
      </c>
      <c r="H74" s="8" t="n">
        <v>0</v>
      </c>
      <c r="I74" s="8" t="s">
        <v>1948</v>
      </c>
      <c r="J74" s="8" t="s">
        <v>1405</v>
      </c>
      <c r="K74" s="8" t="s">
        <v>1948</v>
      </c>
      <c r="L74" s="8" t="s">
        <v>1949</v>
      </c>
      <c r="M74" s="28" t="n">
        <f aca="false">'Disease Prediction Model'!$C$9+'Disease Prediction Model'!$C$10*B74+'Disease Prediction Model'!$C$11*C74+'Disease Prediction Model'!$C$12*D74+'Disease Prediction Model'!$C$13*E74+'Disease Prediction Model'!$C$14*F74+'Disease Prediction Model'!$C$15*G74</f>
        <v>0.275491</v>
      </c>
      <c r="N74" s="8" t="str">
        <f aca="false">IF(M74&gt;=0.5,"Yes","No")</f>
        <v>No</v>
      </c>
    </row>
    <row r="75" customFormat="false" ht="15" hidden="false" customHeight="false" outlineLevel="0" collapsed="false">
      <c r="A75" s="8" t="s">
        <v>2022</v>
      </c>
      <c r="B75" s="8" t="n">
        <v>59</v>
      </c>
      <c r="C75" s="8" t="n">
        <v>20.7</v>
      </c>
      <c r="D75" s="8" t="n">
        <v>122</v>
      </c>
      <c r="E75" s="8" t="n">
        <v>86</v>
      </c>
      <c r="F75" s="8" t="n">
        <v>1</v>
      </c>
      <c r="G75" s="8" t="n">
        <v>1</v>
      </c>
      <c r="H75" s="8" t="n">
        <v>1</v>
      </c>
      <c r="I75" s="8" t="s">
        <v>1954</v>
      </c>
      <c r="J75" s="8" t="s">
        <v>1405</v>
      </c>
      <c r="K75" s="8" t="s">
        <v>1954</v>
      </c>
      <c r="L75" s="8" t="s">
        <v>1949</v>
      </c>
      <c r="M75" s="28" t="n">
        <f aca="false">'Disease Prediction Model'!$C$9+'Disease Prediction Model'!$C$10*B75+'Disease Prediction Model'!$C$11*C75+'Disease Prediction Model'!$C$12*D75+'Disease Prediction Model'!$C$13*E75+'Disease Prediction Model'!$C$14*F75+'Disease Prediction Model'!$C$15*G75</f>
        <v>0.187943</v>
      </c>
      <c r="N75" s="8" t="str">
        <f aca="false">IF(M75&gt;=0.5,"Yes","No")</f>
        <v>No</v>
      </c>
    </row>
    <row r="76" customFormat="false" ht="15" hidden="false" customHeight="false" outlineLevel="0" collapsed="false">
      <c r="A76" s="8" t="s">
        <v>2023</v>
      </c>
      <c r="B76" s="8" t="n">
        <v>25</v>
      </c>
      <c r="C76" s="8" t="n">
        <v>32.6</v>
      </c>
      <c r="D76" s="8" t="n">
        <v>120</v>
      </c>
      <c r="E76" s="8" t="n">
        <v>128</v>
      </c>
      <c r="F76" s="8" t="n">
        <v>0</v>
      </c>
      <c r="G76" s="8" t="n">
        <v>1</v>
      </c>
      <c r="H76" s="8" t="n">
        <v>0</v>
      </c>
      <c r="I76" s="8" t="s">
        <v>1948</v>
      </c>
      <c r="J76" s="8" t="s">
        <v>1405</v>
      </c>
      <c r="K76" s="8" t="s">
        <v>1948</v>
      </c>
      <c r="L76" s="8" t="s">
        <v>1949</v>
      </c>
      <c r="M76" s="28" t="n">
        <f aca="false">'Disease Prediction Model'!$C$9+'Disease Prediction Model'!$C$10*B76+'Disease Prediction Model'!$C$11*C76+'Disease Prediction Model'!$C$12*D76+'Disease Prediction Model'!$C$13*E76+'Disease Prediction Model'!$C$14*F76+'Disease Prediction Model'!$C$15*G76</f>
        <v>0.473724</v>
      </c>
      <c r="N76" s="8" t="str">
        <f aca="false">IF(M76&gt;=0.5,"Yes","No")</f>
        <v>No</v>
      </c>
    </row>
    <row r="77" customFormat="false" ht="15" hidden="false" customHeight="false" outlineLevel="0" collapsed="false">
      <c r="A77" s="8" t="s">
        <v>2024</v>
      </c>
      <c r="B77" s="8" t="n">
        <v>48</v>
      </c>
      <c r="C77" s="8" t="n">
        <v>31</v>
      </c>
      <c r="D77" s="8" t="n">
        <v>90</v>
      </c>
      <c r="E77" s="8" t="n">
        <v>111</v>
      </c>
      <c r="F77" s="8" t="n">
        <v>0</v>
      </c>
      <c r="G77" s="8" t="n">
        <v>1</v>
      </c>
      <c r="H77" s="8" t="n">
        <v>0</v>
      </c>
      <c r="I77" s="8" t="s">
        <v>1948</v>
      </c>
      <c r="J77" s="8" t="s">
        <v>1405</v>
      </c>
      <c r="K77" s="8" t="s">
        <v>1948</v>
      </c>
      <c r="L77" s="8" t="s">
        <v>1949</v>
      </c>
      <c r="M77" s="28" t="n">
        <f aca="false">'Disease Prediction Model'!$C$9+'Disease Prediction Model'!$C$10*B77+'Disease Prediction Model'!$C$11*C77+'Disease Prediction Model'!$C$12*D77+'Disease Prediction Model'!$C$13*E77+'Disease Prediction Model'!$C$14*F77+'Disease Prediction Model'!$C$15*G77</f>
        <v>0.25784</v>
      </c>
      <c r="N77" s="8" t="str">
        <f aca="false">IF(M77&gt;=0.5,"Yes","No")</f>
        <v>No</v>
      </c>
    </row>
    <row r="78" customFormat="false" ht="15" hidden="false" customHeight="false" outlineLevel="0" collapsed="false">
      <c r="A78" s="8" t="s">
        <v>2025</v>
      </c>
      <c r="B78" s="8" t="n">
        <v>35</v>
      </c>
      <c r="C78" s="8" t="n">
        <v>19.1</v>
      </c>
      <c r="D78" s="8" t="n">
        <v>119</v>
      </c>
      <c r="E78" s="8" t="n">
        <v>98</v>
      </c>
      <c r="F78" s="8" t="n">
        <v>1</v>
      </c>
      <c r="G78" s="8" t="n">
        <v>0</v>
      </c>
      <c r="H78" s="8" t="n">
        <v>0</v>
      </c>
      <c r="I78" s="8" t="s">
        <v>1954</v>
      </c>
      <c r="J78" s="8" t="s">
        <v>1959</v>
      </c>
      <c r="K78" s="8" t="s">
        <v>1948</v>
      </c>
      <c r="L78" s="8" t="s">
        <v>1949</v>
      </c>
      <c r="M78" s="28" t="n">
        <f aca="false">'Disease Prediction Model'!$C$9+'Disease Prediction Model'!$C$10*B78+'Disease Prediction Model'!$C$11*C78+'Disease Prediction Model'!$C$12*D78+'Disease Prediction Model'!$C$13*E78+'Disease Prediction Model'!$C$14*F78+'Disease Prediction Model'!$C$15*G78</f>
        <v>0.300879</v>
      </c>
      <c r="N78" s="8" t="str">
        <f aca="false">IF(M78&gt;=0.5,"Yes","No")</f>
        <v>No</v>
      </c>
    </row>
    <row r="79" customFormat="false" ht="15" hidden="false" customHeight="false" outlineLevel="0" collapsed="false">
      <c r="A79" s="8" t="s">
        <v>2026</v>
      </c>
      <c r="B79" s="8" t="n">
        <v>44</v>
      </c>
      <c r="C79" s="8" t="n">
        <v>28.8</v>
      </c>
      <c r="D79" s="8" t="n">
        <v>132</v>
      </c>
      <c r="E79" s="8" t="n">
        <v>70</v>
      </c>
      <c r="F79" s="8" t="n">
        <v>0</v>
      </c>
      <c r="G79" s="8" t="n">
        <v>1</v>
      </c>
      <c r="H79" s="8" t="n">
        <v>0</v>
      </c>
      <c r="I79" s="8" t="s">
        <v>1948</v>
      </c>
      <c r="J79" s="8" t="s">
        <v>1405</v>
      </c>
      <c r="K79" s="8" t="s">
        <v>1948</v>
      </c>
      <c r="L79" s="8" t="s">
        <v>1949</v>
      </c>
      <c r="M79" s="28" t="n">
        <f aca="false">'Disease Prediction Model'!$C$9+'Disease Prediction Model'!$C$10*B79+'Disease Prediction Model'!$C$11*C79+'Disease Prediction Model'!$C$12*D79+'Disease Prediction Model'!$C$13*E79+'Disease Prediction Model'!$C$14*F79+'Disease Prediction Model'!$C$15*G79</f>
        <v>-0.00819800000000009</v>
      </c>
      <c r="N79" s="8" t="str">
        <f aca="false">IF(M79&gt;=0.5,"Yes","No")</f>
        <v>No</v>
      </c>
    </row>
    <row r="80" customFormat="false" ht="15" hidden="false" customHeight="false" outlineLevel="0" collapsed="false">
      <c r="A80" s="8" t="s">
        <v>2027</v>
      </c>
      <c r="B80" s="8" t="n">
        <v>56</v>
      </c>
      <c r="C80" s="8" t="n">
        <v>26.2</v>
      </c>
      <c r="D80" s="8" t="n">
        <v>143</v>
      </c>
      <c r="E80" s="8" t="n">
        <v>75</v>
      </c>
      <c r="F80" s="8" t="n">
        <v>1</v>
      </c>
      <c r="G80" s="8" t="n">
        <v>1</v>
      </c>
      <c r="H80" s="8" t="n">
        <v>0</v>
      </c>
      <c r="I80" s="8" t="s">
        <v>1954</v>
      </c>
      <c r="J80" s="8" t="s">
        <v>1405</v>
      </c>
      <c r="K80" s="8" t="s">
        <v>1948</v>
      </c>
      <c r="L80" s="8" t="s">
        <v>1949</v>
      </c>
      <c r="M80" s="28" t="n">
        <f aca="false">'Disease Prediction Model'!$C$9+'Disease Prediction Model'!$C$10*B80+'Disease Prediction Model'!$C$11*C80+'Disease Prediction Model'!$C$12*D80+'Disease Prediction Model'!$C$13*E80+'Disease Prediction Model'!$C$14*F80+'Disease Prediction Model'!$C$15*G80</f>
        <v>0.215148</v>
      </c>
      <c r="N80" s="8" t="str">
        <f aca="false">IF(M80&gt;=0.5,"Yes","No")</f>
        <v>No</v>
      </c>
    </row>
    <row r="81" customFormat="false" ht="15" hidden="false" customHeight="false" outlineLevel="0" collapsed="false">
      <c r="A81" s="8" t="s">
        <v>2028</v>
      </c>
      <c r="B81" s="8" t="n">
        <v>57</v>
      </c>
      <c r="C81" s="8" t="n">
        <v>22.1</v>
      </c>
      <c r="D81" s="8" t="n">
        <v>119</v>
      </c>
      <c r="E81" s="8" t="n">
        <v>110</v>
      </c>
      <c r="F81" s="8" t="n">
        <v>0</v>
      </c>
      <c r="G81" s="8" t="n">
        <v>0</v>
      </c>
      <c r="H81" s="8" t="n">
        <v>0</v>
      </c>
      <c r="I81" s="8" t="s">
        <v>1948</v>
      </c>
      <c r="J81" s="8" t="s">
        <v>1959</v>
      </c>
      <c r="K81" s="8" t="s">
        <v>1948</v>
      </c>
      <c r="L81" s="8" t="s">
        <v>1949</v>
      </c>
      <c r="M81" s="28" t="n">
        <f aca="false">'Disease Prediction Model'!$C$9+'Disease Prediction Model'!$C$10*B81+'Disease Prediction Model'!$C$11*C81+'Disease Prediction Model'!$C$12*D81+'Disease Prediction Model'!$C$13*E81+'Disease Prediction Model'!$C$14*F81+'Disease Prediction Model'!$C$15*G81</f>
        <v>0.378169</v>
      </c>
      <c r="N81" s="8" t="str">
        <f aca="false">IF(M81&gt;=0.5,"Yes","No")</f>
        <v>No</v>
      </c>
    </row>
    <row r="82" customFormat="false" ht="15" hidden="false" customHeight="false" outlineLevel="0" collapsed="false">
      <c r="A82" s="8" t="s">
        <v>2029</v>
      </c>
      <c r="B82" s="8" t="n">
        <v>25</v>
      </c>
      <c r="C82" s="8" t="n">
        <v>36.8</v>
      </c>
      <c r="D82" s="8" t="n">
        <v>130</v>
      </c>
      <c r="E82" s="8" t="n">
        <v>98</v>
      </c>
      <c r="F82" s="8" t="n">
        <v>0</v>
      </c>
      <c r="G82" s="8" t="n">
        <v>0</v>
      </c>
      <c r="H82" s="8" t="n">
        <v>0</v>
      </c>
      <c r="I82" s="8" t="s">
        <v>1948</v>
      </c>
      <c r="J82" s="8" t="s">
        <v>1959</v>
      </c>
      <c r="K82" s="8" t="s">
        <v>1948</v>
      </c>
      <c r="L82" s="8" t="s">
        <v>1949</v>
      </c>
      <c r="M82" s="28" t="n">
        <f aca="false">'Disease Prediction Model'!$C$9+'Disease Prediction Model'!$C$10*B82+'Disease Prediction Model'!$C$11*C82+'Disease Prediction Model'!$C$12*D82+'Disease Prediction Model'!$C$13*E82+'Disease Prediction Model'!$C$14*F82+'Disease Prediction Model'!$C$15*G82</f>
        <v>0.380422</v>
      </c>
      <c r="N82" s="8" t="str">
        <f aca="false">IF(M82&gt;=0.5,"Yes","No")</f>
        <v>No</v>
      </c>
    </row>
    <row r="83" customFormat="false" ht="15" hidden="false" customHeight="false" outlineLevel="0" collapsed="false">
      <c r="A83" s="8" t="s">
        <v>2030</v>
      </c>
      <c r="B83" s="8" t="n">
        <v>55</v>
      </c>
      <c r="C83" s="8" t="n">
        <v>33.9</v>
      </c>
      <c r="D83" s="8" t="n">
        <v>116</v>
      </c>
      <c r="E83" s="8" t="n">
        <v>115</v>
      </c>
      <c r="F83" s="8" t="n">
        <v>1</v>
      </c>
      <c r="G83" s="8" t="n">
        <v>0</v>
      </c>
      <c r="H83" s="8" t="n">
        <v>1</v>
      </c>
      <c r="I83" s="8" t="s">
        <v>1954</v>
      </c>
      <c r="J83" s="8" t="s">
        <v>1959</v>
      </c>
      <c r="K83" s="8" t="s">
        <v>1954</v>
      </c>
      <c r="L83" s="8" t="s">
        <v>1949</v>
      </c>
      <c r="M83" s="28" t="n">
        <f aca="false">'Disease Prediction Model'!$C$9+'Disease Prediction Model'!$C$10*B83+'Disease Prediction Model'!$C$11*C83+'Disease Prediction Model'!$C$12*D83+'Disease Prediction Model'!$C$13*E83+'Disease Prediction Model'!$C$14*F83+'Disease Prediction Model'!$C$15*G83</f>
        <v>0.674531</v>
      </c>
      <c r="N83" s="8" t="str">
        <f aca="false">IF(M83&gt;=0.5,"Yes","No")</f>
        <v>Yes</v>
      </c>
    </row>
    <row r="84" customFormat="false" ht="15" hidden="false" customHeight="false" outlineLevel="0" collapsed="false">
      <c r="A84" s="8" t="s">
        <v>2031</v>
      </c>
      <c r="B84" s="8" t="n">
        <v>42</v>
      </c>
      <c r="C84" s="8" t="n">
        <v>27.4</v>
      </c>
      <c r="D84" s="8" t="n">
        <v>90</v>
      </c>
      <c r="E84" s="8" t="n">
        <v>100</v>
      </c>
      <c r="F84" s="8" t="n">
        <v>0</v>
      </c>
      <c r="G84" s="8" t="n">
        <v>0</v>
      </c>
      <c r="H84" s="8" t="n">
        <v>0</v>
      </c>
      <c r="I84" s="8" t="s">
        <v>1948</v>
      </c>
      <c r="J84" s="8" t="s">
        <v>1959</v>
      </c>
      <c r="K84" s="8" t="s">
        <v>1948</v>
      </c>
      <c r="L84" s="8" t="s">
        <v>1949</v>
      </c>
      <c r="M84" s="28" t="n">
        <f aca="false">'Disease Prediction Model'!$C$9+'Disease Prediction Model'!$C$10*B84+'Disease Prediction Model'!$C$11*C84+'Disease Prediction Model'!$C$12*D84+'Disease Prediction Model'!$C$13*E84+'Disease Prediction Model'!$C$14*F84+'Disease Prediction Model'!$C$15*G84</f>
        <v>0.198316</v>
      </c>
      <c r="N84" s="8" t="str">
        <f aca="false">IF(M84&gt;=0.5,"Yes","No")</f>
        <v>No</v>
      </c>
    </row>
    <row r="85" customFormat="false" ht="15" hidden="false" customHeight="false" outlineLevel="0" collapsed="false">
      <c r="A85" s="8" t="s">
        <v>2032</v>
      </c>
      <c r="B85" s="8" t="n">
        <v>49</v>
      </c>
      <c r="C85" s="8" t="n">
        <v>23.9</v>
      </c>
      <c r="D85" s="8" t="n">
        <v>123</v>
      </c>
      <c r="E85" s="8" t="n">
        <v>86</v>
      </c>
      <c r="F85" s="8" t="n">
        <v>0</v>
      </c>
      <c r="G85" s="8" t="n">
        <v>1</v>
      </c>
      <c r="H85" s="8" t="n">
        <v>0</v>
      </c>
      <c r="I85" s="8" t="s">
        <v>1948</v>
      </c>
      <c r="J85" s="8" t="s">
        <v>1405</v>
      </c>
      <c r="K85" s="8" t="s">
        <v>1948</v>
      </c>
      <c r="L85" s="8" t="s">
        <v>1949</v>
      </c>
      <c r="M85" s="28" t="n">
        <f aca="false">'Disease Prediction Model'!$C$9+'Disease Prediction Model'!$C$10*B85+'Disease Prediction Model'!$C$11*C85+'Disease Prediction Model'!$C$12*D85+'Disease Prediction Model'!$C$13*E85+'Disease Prediction Model'!$C$14*F85+'Disease Prediction Model'!$C$15*G85</f>
        <v>0.0665309999999998</v>
      </c>
      <c r="N85" s="8" t="str">
        <f aca="false">IF(M85&gt;=0.5,"Yes","No")</f>
        <v>No</v>
      </c>
    </row>
    <row r="86" customFormat="false" ht="15" hidden="false" customHeight="false" outlineLevel="0" collapsed="false">
      <c r="A86" s="8" t="s">
        <v>2033</v>
      </c>
      <c r="B86" s="8" t="n">
        <v>18</v>
      </c>
      <c r="C86" s="8" t="n">
        <v>17.3</v>
      </c>
      <c r="D86" s="8" t="n">
        <v>120</v>
      </c>
      <c r="E86" s="8" t="n">
        <v>114</v>
      </c>
      <c r="F86" s="8" t="n">
        <v>0</v>
      </c>
      <c r="G86" s="8" t="n">
        <v>0</v>
      </c>
      <c r="H86" s="8" t="n">
        <v>0</v>
      </c>
      <c r="I86" s="8" t="s">
        <v>1948</v>
      </c>
      <c r="J86" s="8" t="s">
        <v>1959</v>
      </c>
      <c r="K86" s="8" t="s">
        <v>1948</v>
      </c>
      <c r="L86" s="8" t="s">
        <v>1949</v>
      </c>
      <c r="M86" s="28" t="n">
        <f aca="false">'Disease Prediction Model'!$C$9+'Disease Prediction Model'!$C$10*B86+'Disease Prediction Model'!$C$11*C86+'Disease Prediction Model'!$C$12*D86+'Disease Prediction Model'!$C$13*E86+'Disease Prediction Model'!$C$14*F86+'Disease Prediction Model'!$C$15*G86</f>
        <v>0.250237</v>
      </c>
      <c r="N86" s="8" t="str">
        <f aca="false">IF(M86&gt;=0.5,"Yes","No")</f>
        <v>No</v>
      </c>
    </row>
    <row r="87" customFormat="false" ht="15" hidden="false" customHeight="false" outlineLevel="0" collapsed="false">
      <c r="A87" s="8" t="s">
        <v>2034</v>
      </c>
      <c r="B87" s="8" t="n">
        <v>40</v>
      </c>
      <c r="C87" s="8" t="n">
        <v>39</v>
      </c>
      <c r="D87" s="8" t="n">
        <v>134</v>
      </c>
      <c r="E87" s="8" t="n">
        <v>95</v>
      </c>
      <c r="F87" s="8" t="n">
        <v>0</v>
      </c>
      <c r="G87" s="8" t="n">
        <v>2</v>
      </c>
      <c r="H87" s="8" t="n">
        <v>0</v>
      </c>
      <c r="I87" s="8" t="s">
        <v>1948</v>
      </c>
      <c r="J87" s="8" t="s">
        <v>1951</v>
      </c>
      <c r="K87" s="8" t="s">
        <v>1948</v>
      </c>
      <c r="L87" s="8" t="s">
        <v>1949</v>
      </c>
      <c r="M87" s="28" t="n">
        <f aca="false">'Disease Prediction Model'!$C$9+'Disease Prediction Model'!$C$10*B87+'Disease Prediction Model'!$C$11*C87+'Disease Prediction Model'!$C$12*D87+'Disease Prediction Model'!$C$13*E87+'Disease Prediction Model'!$C$14*F87+'Disease Prediction Model'!$C$15*G87</f>
        <v>0.2341</v>
      </c>
      <c r="N87" s="8" t="str">
        <f aca="false">IF(M87&gt;=0.5,"Yes","No")</f>
        <v>No</v>
      </c>
    </row>
    <row r="88" customFormat="false" ht="15" hidden="false" customHeight="false" outlineLevel="0" collapsed="false">
      <c r="A88" s="8" t="s">
        <v>2035</v>
      </c>
      <c r="B88" s="8" t="n">
        <v>90</v>
      </c>
      <c r="C88" s="8" t="n">
        <v>32.6</v>
      </c>
      <c r="D88" s="8" t="n">
        <v>136</v>
      </c>
      <c r="E88" s="8" t="n">
        <v>110</v>
      </c>
      <c r="F88" s="8" t="n">
        <v>0</v>
      </c>
      <c r="G88" s="8" t="n">
        <v>1</v>
      </c>
      <c r="H88" s="8" t="n">
        <v>1</v>
      </c>
      <c r="I88" s="8" t="s">
        <v>1948</v>
      </c>
      <c r="J88" s="8" t="s">
        <v>1405</v>
      </c>
      <c r="K88" s="8" t="s">
        <v>1954</v>
      </c>
      <c r="L88" s="8" t="s">
        <v>1949</v>
      </c>
      <c r="M88" s="28" t="n">
        <f aca="false">'Disease Prediction Model'!$C$9+'Disease Prediction Model'!$C$10*B88+'Disease Prediction Model'!$C$11*C88+'Disease Prediction Model'!$C$12*D88+'Disease Prediction Model'!$C$13*E88+'Disease Prediction Model'!$C$14*F88+'Disease Prediction Model'!$C$15*G88</f>
        <v>0.554124</v>
      </c>
      <c r="N88" s="8" t="str">
        <f aca="false">IF(M88&gt;=0.5,"Yes","No")</f>
        <v>Yes</v>
      </c>
    </row>
    <row r="89" customFormat="false" ht="15" hidden="false" customHeight="false" outlineLevel="0" collapsed="false">
      <c r="A89" s="8" t="s">
        <v>2036</v>
      </c>
      <c r="B89" s="8" t="n">
        <v>52</v>
      </c>
      <c r="C89" s="8" t="n">
        <v>23</v>
      </c>
      <c r="D89" s="8" t="n">
        <v>117</v>
      </c>
      <c r="E89" s="8" t="n">
        <v>106</v>
      </c>
      <c r="F89" s="8" t="n">
        <v>0</v>
      </c>
      <c r="G89" s="8" t="n">
        <v>1</v>
      </c>
      <c r="H89" s="8" t="n">
        <v>0</v>
      </c>
      <c r="I89" s="8" t="s">
        <v>1948</v>
      </c>
      <c r="J89" s="8" t="s">
        <v>1405</v>
      </c>
      <c r="K89" s="8" t="s">
        <v>1948</v>
      </c>
      <c r="L89" s="8" t="s">
        <v>1949</v>
      </c>
      <c r="M89" s="28" t="n">
        <f aca="false">'Disease Prediction Model'!$C$9+'Disease Prediction Model'!$C$10*B89+'Disease Prediction Model'!$C$11*C89+'Disease Prediction Model'!$C$12*D89+'Disease Prediction Model'!$C$13*E89+'Disease Prediction Model'!$C$14*F89+'Disease Prediction Model'!$C$15*G89</f>
        <v>0.22876</v>
      </c>
      <c r="N89" s="8" t="str">
        <f aca="false">IF(M89&gt;=0.5,"Yes","No")</f>
        <v>No</v>
      </c>
    </row>
    <row r="90" customFormat="false" ht="15" hidden="false" customHeight="false" outlineLevel="0" collapsed="false">
      <c r="A90" s="8" t="s">
        <v>2037</v>
      </c>
      <c r="B90" s="8" t="n">
        <v>55</v>
      </c>
      <c r="C90" s="8" t="n">
        <v>21</v>
      </c>
      <c r="D90" s="8" t="n">
        <v>141</v>
      </c>
      <c r="E90" s="8" t="n">
        <v>138</v>
      </c>
      <c r="F90" s="8" t="n">
        <v>0</v>
      </c>
      <c r="G90" s="8" t="n">
        <v>0</v>
      </c>
      <c r="H90" s="8" t="n">
        <v>0</v>
      </c>
      <c r="I90" s="8" t="s">
        <v>1948</v>
      </c>
      <c r="J90" s="8" t="s">
        <v>1959</v>
      </c>
      <c r="K90" s="8" t="s">
        <v>1948</v>
      </c>
      <c r="L90" s="8" t="s">
        <v>1949</v>
      </c>
      <c r="M90" s="28" t="n">
        <f aca="false">'Disease Prediction Model'!$C$9+'Disease Prediction Model'!$C$10*B90+'Disease Prediction Model'!$C$11*C90+'Disease Prediction Model'!$C$12*D90+'Disease Prediction Model'!$C$13*E90+'Disease Prediction Model'!$C$14*F90+'Disease Prediction Model'!$C$15*G90</f>
        <v>0.69784</v>
      </c>
      <c r="N90" s="8" t="str">
        <f aca="false">IF(M90&gt;=0.5,"Yes","No")</f>
        <v>Yes</v>
      </c>
    </row>
    <row r="91" customFormat="false" ht="15" hidden="false" customHeight="false" outlineLevel="0" collapsed="false">
      <c r="A91" s="8" t="s">
        <v>2038</v>
      </c>
      <c r="B91" s="8" t="n">
        <v>43</v>
      </c>
      <c r="C91" s="8" t="n">
        <v>29.9</v>
      </c>
      <c r="D91" s="8" t="n">
        <v>111</v>
      </c>
      <c r="E91" s="8" t="n">
        <v>81</v>
      </c>
      <c r="F91" s="8" t="n">
        <v>0</v>
      </c>
      <c r="G91" s="8" t="n">
        <v>1</v>
      </c>
      <c r="H91" s="8" t="n">
        <v>0</v>
      </c>
      <c r="I91" s="8" t="s">
        <v>1948</v>
      </c>
      <c r="J91" s="8" t="s">
        <v>1405</v>
      </c>
      <c r="K91" s="8" t="s">
        <v>1948</v>
      </c>
      <c r="L91" s="8" t="s">
        <v>1949</v>
      </c>
      <c r="M91" s="28" t="n">
        <f aca="false">'Disease Prediction Model'!$C$9+'Disease Prediction Model'!$C$10*B91+'Disease Prediction Model'!$C$11*C91+'Disease Prediction Model'!$C$12*D91+'Disease Prediction Model'!$C$13*E91+'Disease Prediction Model'!$C$14*F91+'Disease Prediction Model'!$C$15*G91</f>
        <v>0.0280910000000001</v>
      </c>
      <c r="N91" s="8" t="str">
        <f aca="false">IF(M91&gt;=0.5,"Yes","No")</f>
        <v>No</v>
      </c>
    </row>
    <row r="92" customFormat="false" ht="15" hidden="false" customHeight="false" outlineLevel="0" collapsed="false">
      <c r="A92" s="8" t="s">
        <v>2039</v>
      </c>
      <c r="B92" s="8" t="n">
        <v>48</v>
      </c>
      <c r="C92" s="8" t="n">
        <v>35.2</v>
      </c>
      <c r="D92" s="8" t="n">
        <v>141</v>
      </c>
      <c r="E92" s="8" t="n">
        <v>113</v>
      </c>
      <c r="F92" s="8" t="n">
        <v>0</v>
      </c>
      <c r="G92" s="8" t="n">
        <v>2</v>
      </c>
      <c r="H92" s="8" t="n">
        <v>0</v>
      </c>
      <c r="I92" s="8" t="s">
        <v>1948</v>
      </c>
      <c r="J92" s="8" t="s">
        <v>1951</v>
      </c>
      <c r="K92" s="8" t="s">
        <v>1948</v>
      </c>
      <c r="L92" s="8" t="s">
        <v>1949</v>
      </c>
      <c r="M92" s="28" t="n">
        <f aca="false">'Disease Prediction Model'!$C$9+'Disease Prediction Model'!$C$10*B92+'Disease Prediction Model'!$C$11*C92+'Disease Prediction Model'!$C$12*D92+'Disease Prediction Model'!$C$13*E92+'Disease Prediction Model'!$C$14*F92+'Disease Prediction Model'!$C$15*G92</f>
        <v>0.405918</v>
      </c>
      <c r="N92" s="8" t="str">
        <f aca="false">IF(M92&gt;=0.5,"Yes","No")</f>
        <v>No</v>
      </c>
    </row>
    <row r="93" customFormat="false" ht="15" hidden="false" customHeight="false" outlineLevel="0" collapsed="false">
      <c r="A93" s="8" t="s">
        <v>2040</v>
      </c>
      <c r="B93" s="8" t="n">
        <v>54</v>
      </c>
      <c r="C93" s="8" t="n">
        <v>27.4</v>
      </c>
      <c r="D93" s="8" t="n">
        <v>142</v>
      </c>
      <c r="E93" s="8" t="n">
        <v>86</v>
      </c>
      <c r="F93" s="8" t="n">
        <v>0</v>
      </c>
      <c r="G93" s="8" t="n">
        <v>0</v>
      </c>
      <c r="H93" s="8" t="n">
        <v>0</v>
      </c>
      <c r="I93" s="8" t="s">
        <v>1948</v>
      </c>
      <c r="J93" s="8" t="s">
        <v>1959</v>
      </c>
      <c r="K93" s="8" t="s">
        <v>1948</v>
      </c>
      <c r="L93" s="8" t="s">
        <v>1949</v>
      </c>
      <c r="M93" s="28" t="n">
        <f aca="false">'Disease Prediction Model'!$C$9+'Disease Prediction Model'!$C$10*B93+'Disease Prediction Model'!$C$11*C93+'Disease Prediction Model'!$C$12*D93+'Disease Prediction Model'!$C$13*E93+'Disease Prediction Model'!$C$14*F93+'Disease Prediction Model'!$C$15*G93</f>
        <v>0.289876</v>
      </c>
      <c r="N93" s="8" t="str">
        <f aca="false">IF(M93&gt;=0.5,"Yes","No")</f>
        <v>No</v>
      </c>
    </row>
    <row r="94" customFormat="false" ht="15" hidden="false" customHeight="false" outlineLevel="0" collapsed="false">
      <c r="A94" s="8" t="s">
        <v>2041</v>
      </c>
      <c r="B94" s="8" t="n">
        <v>28</v>
      </c>
      <c r="C94" s="8" t="n">
        <v>25.6</v>
      </c>
      <c r="D94" s="8" t="n">
        <v>132</v>
      </c>
      <c r="E94" s="8" t="n">
        <v>105</v>
      </c>
      <c r="F94" s="8" t="n">
        <v>0</v>
      </c>
      <c r="G94" s="8" t="n">
        <v>1</v>
      </c>
      <c r="H94" s="8" t="n">
        <v>0</v>
      </c>
      <c r="I94" s="8" t="s">
        <v>1948</v>
      </c>
      <c r="J94" s="8" t="s">
        <v>1405</v>
      </c>
      <c r="K94" s="8" t="s">
        <v>1948</v>
      </c>
      <c r="L94" s="8" t="s">
        <v>1949</v>
      </c>
      <c r="M94" s="28" t="n">
        <f aca="false">'Disease Prediction Model'!$C$9+'Disease Prediction Model'!$C$10*B94+'Disease Prediction Model'!$C$11*C94+'Disease Prediction Model'!$C$12*D94+'Disease Prediction Model'!$C$13*E94+'Disease Prediction Model'!$C$14*F94+'Disease Prediction Model'!$C$15*G94</f>
        <v>0.232734</v>
      </c>
      <c r="N94" s="8" t="str">
        <f aca="false">IF(M94&gt;=0.5,"Yes","No")</f>
        <v>No</v>
      </c>
    </row>
    <row r="95" customFormat="false" ht="15" hidden="false" customHeight="false" outlineLevel="0" collapsed="false">
      <c r="A95" s="8" t="s">
        <v>2042</v>
      </c>
      <c r="B95" s="8" t="n">
        <v>74</v>
      </c>
      <c r="C95" s="8" t="n">
        <v>27.8</v>
      </c>
      <c r="D95" s="8" t="n">
        <v>174</v>
      </c>
      <c r="E95" s="8" t="n">
        <v>128</v>
      </c>
      <c r="F95" s="8" t="n">
        <v>0</v>
      </c>
      <c r="G95" s="8" t="n">
        <v>0</v>
      </c>
      <c r="H95" s="8" t="n">
        <v>1</v>
      </c>
      <c r="I95" s="8" t="s">
        <v>1948</v>
      </c>
      <c r="J95" s="8" t="s">
        <v>1959</v>
      </c>
      <c r="K95" s="8" t="s">
        <v>1954</v>
      </c>
      <c r="L95" s="8" t="s">
        <v>1949</v>
      </c>
      <c r="M95" s="28" t="n">
        <f aca="false">'Disease Prediction Model'!$C$9+'Disease Prediction Model'!$C$10*B95+'Disease Prediction Model'!$C$11*C95+'Disease Prediction Model'!$C$12*D95+'Disease Prediction Model'!$C$13*E95+'Disease Prediction Model'!$C$14*F95+'Disease Prediction Model'!$C$15*G95</f>
        <v>0.856312</v>
      </c>
      <c r="N95" s="8" t="str">
        <f aca="false">IF(M95&gt;=0.5,"Yes","No")</f>
        <v>Yes</v>
      </c>
    </row>
    <row r="96" customFormat="false" ht="15" hidden="false" customHeight="false" outlineLevel="0" collapsed="false">
      <c r="A96" s="8" t="s">
        <v>2043</v>
      </c>
      <c r="B96" s="8" t="n">
        <v>60</v>
      </c>
      <c r="C96" s="8" t="n">
        <v>31.1</v>
      </c>
      <c r="D96" s="8" t="n">
        <v>98</v>
      </c>
      <c r="E96" s="8" t="n">
        <v>80</v>
      </c>
      <c r="F96" s="8" t="n">
        <v>0</v>
      </c>
      <c r="G96" s="8" t="n">
        <v>1</v>
      </c>
      <c r="H96" s="8" t="n">
        <v>0</v>
      </c>
      <c r="I96" s="8" t="s">
        <v>1948</v>
      </c>
      <c r="J96" s="8" t="s">
        <v>1405</v>
      </c>
      <c r="K96" s="8" t="s">
        <v>1948</v>
      </c>
      <c r="L96" s="8" t="s">
        <v>1949</v>
      </c>
      <c r="M96" s="28" t="n">
        <f aca="false">'Disease Prediction Model'!$C$9+'Disease Prediction Model'!$C$10*B96+'Disease Prediction Model'!$C$11*C96+'Disease Prediction Model'!$C$12*D96+'Disease Prediction Model'!$C$13*E96+'Disease Prediction Model'!$C$14*F96+'Disease Prediction Model'!$C$15*G96</f>
        <v>0.0355989999999999</v>
      </c>
      <c r="N96" s="8" t="str">
        <f aca="false">IF(M96&gt;=0.5,"Yes","No")</f>
        <v>No</v>
      </c>
    </row>
    <row r="97" customFormat="false" ht="15" hidden="false" customHeight="false" outlineLevel="0" collapsed="false">
      <c r="A97" s="8" t="s">
        <v>2044</v>
      </c>
      <c r="B97" s="8" t="n">
        <v>46</v>
      </c>
      <c r="C97" s="8" t="n">
        <v>35.8</v>
      </c>
      <c r="D97" s="8" t="n">
        <v>154</v>
      </c>
      <c r="E97" s="8" t="n">
        <v>130</v>
      </c>
      <c r="F97" s="8" t="n">
        <v>0</v>
      </c>
      <c r="G97" s="8" t="n">
        <v>1</v>
      </c>
      <c r="H97" s="8" t="n">
        <v>0</v>
      </c>
      <c r="I97" s="8" t="s">
        <v>1948</v>
      </c>
      <c r="J97" s="8" t="s">
        <v>1405</v>
      </c>
      <c r="K97" s="8" t="s">
        <v>1948</v>
      </c>
      <c r="L97" s="8" t="s">
        <v>1949</v>
      </c>
      <c r="M97" s="28" t="n">
        <f aca="false">'Disease Prediction Model'!$C$9+'Disease Prediction Model'!$C$10*B97+'Disease Prediction Model'!$C$11*C97+'Disease Prediction Model'!$C$12*D97+'Disease Prediction Model'!$C$13*E97+'Disease Prediction Model'!$C$14*F97+'Disease Prediction Model'!$C$15*G97</f>
        <v>0.711732</v>
      </c>
      <c r="N97" s="8" t="str">
        <f aca="false">IF(M97&gt;=0.5,"Yes","No")</f>
        <v>Yes</v>
      </c>
    </row>
    <row r="98" customFormat="false" ht="15" hidden="false" customHeight="false" outlineLevel="0" collapsed="false">
      <c r="A98" s="8" t="s">
        <v>2045</v>
      </c>
      <c r="B98" s="8" t="n">
        <v>40</v>
      </c>
      <c r="C98" s="8" t="n">
        <v>38.5</v>
      </c>
      <c r="D98" s="8" t="n">
        <v>135</v>
      </c>
      <c r="E98" s="8" t="n">
        <v>80</v>
      </c>
      <c r="F98" s="8" t="n">
        <v>0</v>
      </c>
      <c r="G98" s="8" t="n">
        <v>1</v>
      </c>
      <c r="H98" s="8" t="n">
        <v>0</v>
      </c>
      <c r="I98" s="8" t="s">
        <v>1948</v>
      </c>
      <c r="J98" s="8" t="s">
        <v>1405</v>
      </c>
      <c r="K98" s="8" t="s">
        <v>1948</v>
      </c>
      <c r="L98" s="8" t="s">
        <v>1949</v>
      </c>
      <c r="M98" s="28" t="n">
        <f aca="false">'Disease Prediction Model'!$C$9+'Disease Prediction Model'!$C$10*B98+'Disease Prediction Model'!$C$11*C98+'Disease Prediction Model'!$C$12*D98+'Disease Prediction Model'!$C$13*E98+'Disease Prediction Model'!$C$14*F98+'Disease Prediction Model'!$C$15*G98</f>
        <v>0.193945</v>
      </c>
      <c r="N98" s="8" t="str">
        <f aca="false">IF(M98&gt;=0.5,"Yes","No")</f>
        <v>No</v>
      </c>
    </row>
    <row r="99" customFormat="false" ht="15" hidden="false" customHeight="false" outlineLevel="0" collapsed="false">
      <c r="A99" s="8" t="s">
        <v>2046</v>
      </c>
      <c r="B99" s="8" t="n">
        <v>43</v>
      </c>
      <c r="C99" s="8" t="n">
        <v>24.7</v>
      </c>
      <c r="D99" s="8" t="n">
        <v>114</v>
      </c>
      <c r="E99" s="8" t="n">
        <v>115</v>
      </c>
      <c r="F99" s="8" t="n">
        <v>0</v>
      </c>
      <c r="G99" s="8" t="n">
        <v>2</v>
      </c>
      <c r="H99" s="8" t="n">
        <v>0</v>
      </c>
      <c r="I99" s="8" t="s">
        <v>1948</v>
      </c>
      <c r="J99" s="8" t="s">
        <v>1951</v>
      </c>
      <c r="K99" s="8" t="s">
        <v>1948</v>
      </c>
      <c r="L99" s="8" t="s">
        <v>1949</v>
      </c>
      <c r="M99" s="28" t="n">
        <f aca="false">'Disease Prediction Model'!$C$9+'Disease Prediction Model'!$C$10*B99+'Disease Prediction Model'!$C$11*C99+'Disease Prediction Model'!$C$12*D99+'Disease Prediction Model'!$C$13*E99+'Disease Prediction Model'!$C$14*F99+'Disease Prediction Model'!$C$15*G99</f>
        <v>0.193583</v>
      </c>
      <c r="N99" s="8" t="str">
        <f aca="false">IF(M99&gt;=0.5,"Yes","No")</f>
        <v>No</v>
      </c>
    </row>
    <row r="100" customFormat="false" ht="15" hidden="false" customHeight="false" outlineLevel="0" collapsed="false">
      <c r="A100" s="8" t="s">
        <v>2047</v>
      </c>
      <c r="B100" s="8" t="n">
        <v>85</v>
      </c>
      <c r="C100" s="8" t="n">
        <v>26.5</v>
      </c>
      <c r="D100" s="8" t="n">
        <v>107</v>
      </c>
      <c r="E100" s="8" t="n">
        <v>86</v>
      </c>
      <c r="F100" s="8" t="n">
        <v>1</v>
      </c>
      <c r="G100" s="8" t="n">
        <v>1</v>
      </c>
      <c r="H100" s="8" t="n">
        <v>1</v>
      </c>
      <c r="I100" s="8" t="s">
        <v>1954</v>
      </c>
      <c r="J100" s="8" t="s">
        <v>1405</v>
      </c>
      <c r="K100" s="8" t="s">
        <v>1954</v>
      </c>
      <c r="L100" s="8" t="s">
        <v>1949</v>
      </c>
      <c r="M100" s="28" t="n">
        <f aca="false">'Disease Prediction Model'!$C$9+'Disease Prediction Model'!$C$10*B100+'Disease Prediction Model'!$C$11*C100+'Disease Prediction Model'!$C$12*D100+'Disease Prediction Model'!$C$13*E100+'Disease Prediction Model'!$C$14*F100+'Disease Prediction Model'!$C$15*G100</f>
        <v>0.276225</v>
      </c>
      <c r="N100" s="8" t="str">
        <f aca="false">IF(M100&gt;=0.5,"Yes","No")</f>
        <v>No</v>
      </c>
    </row>
    <row r="101" customFormat="false" ht="15" hidden="false" customHeight="false" outlineLevel="0" collapsed="false">
      <c r="A101" s="8" t="s">
        <v>2048</v>
      </c>
      <c r="B101" s="8" t="n">
        <v>18</v>
      </c>
      <c r="C101" s="8" t="n">
        <v>32.1</v>
      </c>
      <c r="D101" s="8" t="n">
        <v>140</v>
      </c>
      <c r="E101" s="8" t="n">
        <v>93</v>
      </c>
      <c r="F101" s="8" t="n">
        <v>0</v>
      </c>
      <c r="G101" s="8" t="n">
        <v>0</v>
      </c>
      <c r="H101" s="8" t="n">
        <v>0</v>
      </c>
      <c r="I101" s="8" t="s">
        <v>1948</v>
      </c>
      <c r="J101" s="8" t="s">
        <v>1959</v>
      </c>
      <c r="K101" s="8" t="s">
        <v>1948</v>
      </c>
      <c r="L101" s="8" t="s">
        <v>1949</v>
      </c>
      <c r="M101" s="28" t="n">
        <f aca="false">'Disease Prediction Model'!$C$9+'Disease Prediction Model'!$C$10*B101+'Disease Prediction Model'!$C$11*C101+'Disease Prediction Model'!$C$12*D101+'Disease Prediction Model'!$C$13*E101+'Disease Prediction Model'!$C$14*F101+'Disease Prediction Model'!$C$15*G101</f>
        <v>0.295949</v>
      </c>
      <c r="N101" s="8" t="str">
        <f aca="false">IF(M101&gt;=0.5,"Yes","No")</f>
        <v>No</v>
      </c>
    </row>
    <row r="102" customFormat="false" ht="15" hidden="false" customHeight="false" outlineLevel="0" collapsed="false">
      <c r="A102" s="8" t="s">
        <v>2049</v>
      </c>
      <c r="B102" s="8" t="n">
        <v>74</v>
      </c>
      <c r="C102" s="8" t="n">
        <v>29.3</v>
      </c>
      <c r="D102" s="8" t="n">
        <v>147</v>
      </c>
      <c r="E102" s="8" t="n">
        <v>105</v>
      </c>
      <c r="F102" s="8" t="n">
        <v>1</v>
      </c>
      <c r="G102" s="8" t="n">
        <v>1</v>
      </c>
      <c r="H102" s="8" t="n">
        <v>1</v>
      </c>
      <c r="I102" s="8" t="s">
        <v>1954</v>
      </c>
      <c r="J102" s="8" t="s">
        <v>1405</v>
      </c>
      <c r="K102" s="8" t="s">
        <v>1954</v>
      </c>
      <c r="L102" s="8" t="s">
        <v>1949</v>
      </c>
      <c r="M102" s="28" t="n">
        <f aca="false">'Disease Prediction Model'!$C$9+'Disease Prediction Model'!$C$10*B102+'Disease Prediction Model'!$C$11*C102+'Disease Prediction Model'!$C$12*D102+'Disease Prediction Model'!$C$13*E102+'Disease Prediction Model'!$C$14*F102+'Disease Prediction Model'!$C$15*G102</f>
        <v>0.595137</v>
      </c>
      <c r="N102" s="8" t="str">
        <f aca="false">IF(M102&gt;=0.5,"Yes","No")</f>
        <v>Yes</v>
      </c>
    </row>
    <row r="103" customFormat="false" ht="15" hidden="false" customHeight="false" outlineLevel="0" collapsed="false">
      <c r="A103" s="8" t="s">
        <v>2050</v>
      </c>
      <c r="B103" s="8" t="n">
        <v>45</v>
      </c>
      <c r="C103" s="8" t="n">
        <v>25.9</v>
      </c>
      <c r="D103" s="8" t="n">
        <v>142</v>
      </c>
      <c r="E103" s="8" t="n">
        <v>91</v>
      </c>
      <c r="F103" s="8" t="n">
        <v>0</v>
      </c>
      <c r="G103" s="8" t="n">
        <v>0</v>
      </c>
      <c r="H103" s="8" t="n">
        <v>1</v>
      </c>
      <c r="I103" s="8" t="s">
        <v>1948</v>
      </c>
      <c r="J103" s="8" t="s">
        <v>1959</v>
      </c>
      <c r="K103" s="8" t="s">
        <v>1954</v>
      </c>
      <c r="L103" s="8" t="s">
        <v>1949</v>
      </c>
      <c r="M103" s="28" t="n">
        <f aca="false">'Disease Prediction Model'!$C$9+'Disease Prediction Model'!$C$10*B103+'Disease Prediction Model'!$C$11*C103+'Disease Prediction Model'!$C$12*D103+'Disease Prediction Model'!$C$13*E103+'Disease Prediction Model'!$C$14*F103+'Disease Prediction Model'!$C$15*G103</f>
        <v>0.292811</v>
      </c>
      <c r="N103" s="8" t="str">
        <f aca="false">IF(M103&gt;=0.5,"Yes","No")</f>
        <v>No</v>
      </c>
    </row>
    <row r="104" customFormat="false" ht="15" hidden="false" customHeight="false" outlineLevel="0" collapsed="false">
      <c r="A104" s="8" t="s">
        <v>2051</v>
      </c>
      <c r="B104" s="8" t="n">
        <v>39</v>
      </c>
      <c r="C104" s="8" t="n">
        <v>31.3</v>
      </c>
      <c r="D104" s="8" t="n">
        <v>116</v>
      </c>
      <c r="E104" s="8" t="n">
        <v>81</v>
      </c>
      <c r="F104" s="8" t="n">
        <v>0</v>
      </c>
      <c r="G104" s="8" t="n">
        <v>0</v>
      </c>
      <c r="H104" s="8" t="n">
        <v>0</v>
      </c>
      <c r="I104" s="8" t="s">
        <v>1948</v>
      </c>
      <c r="J104" s="8" t="s">
        <v>1959</v>
      </c>
      <c r="K104" s="8" t="s">
        <v>1948</v>
      </c>
      <c r="L104" s="8" t="s">
        <v>1949</v>
      </c>
      <c r="M104" s="28" t="n">
        <f aca="false">'Disease Prediction Model'!$C$9+'Disease Prediction Model'!$C$10*B104+'Disease Prediction Model'!$C$11*C104+'Disease Prediction Model'!$C$12*D104+'Disease Prediction Model'!$C$13*E104+'Disease Prediction Model'!$C$14*F104+'Disease Prediction Model'!$C$15*G104</f>
        <v>0.151117</v>
      </c>
      <c r="N104" s="8" t="str">
        <f aca="false">IF(M104&gt;=0.5,"Yes","No")</f>
        <v>No</v>
      </c>
    </row>
    <row r="105" customFormat="false" ht="15" hidden="false" customHeight="false" outlineLevel="0" collapsed="false">
      <c r="A105" s="8" t="s">
        <v>2052</v>
      </c>
      <c r="B105" s="8" t="n">
        <v>42</v>
      </c>
      <c r="C105" s="8" t="n">
        <v>22.6</v>
      </c>
      <c r="D105" s="8" t="n">
        <v>137</v>
      </c>
      <c r="E105" s="8" t="n">
        <v>109</v>
      </c>
      <c r="F105" s="8" t="n">
        <v>1</v>
      </c>
      <c r="G105" s="8" t="n">
        <v>1</v>
      </c>
      <c r="H105" s="8" t="n">
        <v>0</v>
      </c>
      <c r="I105" s="8" t="s">
        <v>1954</v>
      </c>
      <c r="J105" s="8" t="s">
        <v>1405</v>
      </c>
      <c r="K105" s="8" t="s">
        <v>1948</v>
      </c>
      <c r="L105" s="8" t="s">
        <v>1949</v>
      </c>
      <c r="M105" s="28" t="n">
        <f aca="false">'Disease Prediction Model'!$C$9+'Disease Prediction Model'!$C$10*B105+'Disease Prediction Model'!$C$11*C105+'Disease Prediction Model'!$C$12*D105+'Disease Prediction Model'!$C$13*E105+'Disease Prediction Model'!$C$14*F105+'Disease Prediction Model'!$C$15*G105</f>
        <v>0.426624</v>
      </c>
      <c r="N105" s="8" t="str">
        <f aca="false">IF(M105&gt;=0.5,"Yes","No")</f>
        <v>No</v>
      </c>
    </row>
    <row r="106" customFormat="false" ht="15" hidden="false" customHeight="false" outlineLevel="0" collapsed="false">
      <c r="A106" s="8" t="s">
        <v>2053</v>
      </c>
      <c r="B106" s="8" t="n">
        <v>39</v>
      </c>
      <c r="C106" s="8" t="n">
        <v>26.3</v>
      </c>
      <c r="D106" s="8" t="n">
        <v>129</v>
      </c>
      <c r="E106" s="8" t="n">
        <v>97</v>
      </c>
      <c r="F106" s="8" t="n">
        <v>0</v>
      </c>
      <c r="G106" s="8" t="n">
        <v>1</v>
      </c>
      <c r="H106" s="8" t="n">
        <v>1</v>
      </c>
      <c r="I106" s="8" t="s">
        <v>1948</v>
      </c>
      <c r="J106" s="8" t="s">
        <v>1405</v>
      </c>
      <c r="K106" s="8" t="s">
        <v>1954</v>
      </c>
      <c r="L106" s="8" t="s">
        <v>1949</v>
      </c>
      <c r="M106" s="28" t="n">
        <f aca="false">'Disease Prediction Model'!$C$9+'Disease Prediction Model'!$C$10*B106+'Disease Prediction Model'!$C$11*C106+'Disease Prediction Model'!$C$12*D106+'Disease Prediction Model'!$C$13*E106+'Disease Prediction Model'!$C$14*F106+'Disease Prediction Model'!$C$15*G106</f>
        <v>0.188007</v>
      </c>
      <c r="N106" s="8" t="str">
        <f aca="false">IF(M106&gt;=0.5,"Yes","No")</f>
        <v>No</v>
      </c>
    </row>
    <row r="107" customFormat="false" ht="15" hidden="false" customHeight="false" outlineLevel="0" collapsed="false">
      <c r="A107" s="8" t="s">
        <v>2054</v>
      </c>
      <c r="B107" s="8" t="n">
        <v>44</v>
      </c>
      <c r="C107" s="8" t="n">
        <v>25.8</v>
      </c>
      <c r="D107" s="8" t="n">
        <v>122</v>
      </c>
      <c r="E107" s="8" t="n">
        <v>106</v>
      </c>
      <c r="F107" s="8" t="n">
        <v>0</v>
      </c>
      <c r="G107" s="8" t="n">
        <v>2</v>
      </c>
      <c r="H107" s="8" t="n">
        <v>0</v>
      </c>
      <c r="I107" s="8" t="s">
        <v>1948</v>
      </c>
      <c r="J107" s="8" t="s">
        <v>1951</v>
      </c>
      <c r="K107" s="8" t="s">
        <v>1948</v>
      </c>
      <c r="L107" s="8" t="s">
        <v>1949</v>
      </c>
      <c r="M107" s="28" t="n">
        <f aca="false">'Disease Prediction Model'!$C$9+'Disease Prediction Model'!$C$10*B107+'Disease Prediction Model'!$C$11*C107+'Disease Prediction Model'!$C$12*D107+'Disease Prediction Model'!$C$13*E107+'Disease Prediction Model'!$C$14*F107+'Disease Prediction Model'!$C$15*G107</f>
        <v>0.154332</v>
      </c>
      <c r="N107" s="8" t="str">
        <f aca="false">IF(M107&gt;=0.5,"Yes","No")</f>
        <v>No</v>
      </c>
    </row>
    <row r="108" customFormat="false" ht="15" hidden="false" customHeight="false" outlineLevel="0" collapsed="false">
      <c r="A108" s="8" t="s">
        <v>2055</v>
      </c>
      <c r="B108" s="8" t="n">
        <v>37</v>
      </c>
      <c r="C108" s="8" t="n">
        <v>23.8</v>
      </c>
      <c r="D108" s="8" t="n">
        <v>138</v>
      </c>
      <c r="E108" s="8" t="n">
        <v>96</v>
      </c>
      <c r="F108" s="8" t="n">
        <v>0</v>
      </c>
      <c r="G108" s="8" t="n">
        <v>0</v>
      </c>
      <c r="H108" s="8" t="n">
        <v>0</v>
      </c>
      <c r="I108" s="8" t="s">
        <v>1948</v>
      </c>
      <c r="J108" s="8" t="s">
        <v>1959</v>
      </c>
      <c r="K108" s="8" t="s">
        <v>1948</v>
      </c>
      <c r="L108" s="8" t="s">
        <v>1949</v>
      </c>
      <c r="M108" s="28" t="n">
        <f aca="false">'Disease Prediction Model'!$C$9+'Disease Prediction Model'!$C$10*B108+'Disease Prediction Model'!$C$11*C108+'Disease Prediction Model'!$C$12*D108+'Disease Prediction Model'!$C$13*E108+'Disease Prediction Model'!$C$14*F108+'Disease Prediction Model'!$C$15*G108</f>
        <v>0.277512</v>
      </c>
      <c r="N108" s="8" t="str">
        <f aca="false">IF(M108&gt;=0.5,"Yes","No")</f>
        <v>No</v>
      </c>
    </row>
    <row r="109" customFormat="false" ht="15" hidden="false" customHeight="false" outlineLevel="0" collapsed="false">
      <c r="A109" s="8" t="s">
        <v>2056</v>
      </c>
      <c r="B109" s="8" t="n">
        <v>64</v>
      </c>
      <c r="C109" s="8" t="n">
        <v>24.1</v>
      </c>
      <c r="D109" s="8" t="n">
        <v>131</v>
      </c>
      <c r="E109" s="8" t="n">
        <v>100</v>
      </c>
      <c r="F109" s="8" t="n">
        <v>0</v>
      </c>
      <c r="G109" s="8" t="n">
        <v>1</v>
      </c>
      <c r="H109" s="8" t="n">
        <v>0</v>
      </c>
      <c r="I109" s="8" t="s">
        <v>1948</v>
      </c>
      <c r="J109" s="8" t="s">
        <v>1405</v>
      </c>
      <c r="K109" s="8" t="s">
        <v>1948</v>
      </c>
      <c r="L109" s="8" t="s">
        <v>1949</v>
      </c>
      <c r="M109" s="28" t="n">
        <f aca="false">'Disease Prediction Model'!$C$9+'Disease Prediction Model'!$C$10*B109+'Disease Prediction Model'!$C$11*C109+'Disease Prediction Model'!$C$12*D109+'Disease Prediction Model'!$C$13*E109+'Disease Prediction Model'!$C$14*F109+'Disease Prediction Model'!$C$15*G109</f>
        <v>0.270889</v>
      </c>
      <c r="N109" s="8" t="str">
        <f aca="false">IF(M109&gt;=0.5,"Yes","No")</f>
        <v>No</v>
      </c>
    </row>
    <row r="110" customFormat="false" ht="15" hidden="false" customHeight="false" outlineLevel="0" collapsed="false">
      <c r="A110" s="8" t="s">
        <v>2057</v>
      </c>
      <c r="B110" s="8" t="n">
        <v>44</v>
      </c>
      <c r="C110" s="8" t="n">
        <v>30.7</v>
      </c>
      <c r="D110" s="8" t="n">
        <v>117</v>
      </c>
      <c r="E110" s="8" t="n">
        <v>71</v>
      </c>
      <c r="F110" s="8" t="n">
        <v>0</v>
      </c>
      <c r="G110" s="8" t="n">
        <v>1</v>
      </c>
      <c r="H110" s="8" t="n">
        <v>0</v>
      </c>
      <c r="I110" s="8" t="s">
        <v>1948</v>
      </c>
      <c r="J110" s="8" t="s">
        <v>1405</v>
      </c>
      <c r="K110" s="8" t="s">
        <v>1948</v>
      </c>
      <c r="L110" s="8" t="s">
        <v>1949</v>
      </c>
      <c r="M110" s="28" t="n">
        <f aca="false">'Disease Prediction Model'!$C$9+'Disease Prediction Model'!$C$10*B110+'Disease Prediction Model'!$C$11*C110+'Disease Prediction Model'!$C$12*D110+'Disease Prediction Model'!$C$13*E110+'Disease Prediction Model'!$C$14*F110+'Disease Prediction Model'!$C$15*G110</f>
        <v>-0.0309970000000002</v>
      </c>
      <c r="N110" s="8" t="str">
        <f aca="false">IF(M110&gt;=0.5,"Yes","No")</f>
        <v>No</v>
      </c>
    </row>
    <row r="111" customFormat="false" ht="15" hidden="false" customHeight="false" outlineLevel="0" collapsed="false">
      <c r="A111" s="8" t="s">
        <v>2058</v>
      </c>
      <c r="B111" s="8" t="n">
        <v>79</v>
      </c>
      <c r="C111" s="8" t="n">
        <v>30.2</v>
      </c>
      <c r="D111" s="8" t="n">
        <v>121</v>
      </c>
      <c r="E111" s="8" t="n">
        <v>84</v>
      </c>
      <c r="F111" s="8" t="n">
        <v>0</v>
      </c>
      <c r="G111" s="8" t="n">
        <v>1</v>
      </c>
      <c r="H111" s="8" t="n">
        <v>0</v>
      </c>
      <c r="I111" s="8" t="s">
        <v>1948</v>
      </c>
      <c r="J111" s="8" t="s">
        <v>1405</v>
      </c>
      <c r="K111" s="8" t="s">
        <v>1948</v>
      </c>
      <c r="L111" s="8" t="s">
        <v>1949</v>
      </c>
      <c r="M111" s="28" t="n">
        <f aca="false">'Disease Prediction Model'!$C$9+'Disease Prediction Model'!$C$10*B111+'Disease Prediction Model'!$C$11*C111+'Disease Prediction Model'!$C$12*D111+'Disease Prediction Model'!$C$13*E111+'Disease Prediction Model'!$C$14*F111+'Disease Prediction Model'!$C$15*G111</f>
        <v>0.200208</v>
      </c>
      <c r="N111" s="8" t="str">
        <f aca="false">IF(M111&gt;=0.5,"Yes","No")</f>
        <v>No</v>
      </c>
    </row>
    <row r="112" customFormat="false" ht="15" hidden="false" customHeight="false" outlineLevel="0" collapsed="false">
      <c r="A112" s="8" t="s">
        <v>2059</v>
      </c>
      <c r="B112" s="8" t="n">
        <v>35</v>
      </c>
      <c r="C112" s="8" t="n">
        <v>21.6</v>
      </c>
      <c r="D112" s="8" t="n">
        <v>125</v>
      </c>
      <c r="E112" s="8" t="n">
        <v>131</v>
      </c>
      <c r="F112" s="8" t="n">
        <v>0</v>
      </c>
      <c r="G112" s="8" t="n">
        <v>0</v>
      </c>
      <c r="H112" s="8" t="n">
        <v>1</v>
      </c>
      <c r="I112" s="8" t="s">
        <v>1948</v>
      </c>
      <c r="J112" s="8" t="s">
        <v>1959</v>
      </c>
      <c r="K112" s="8" t="s">
        <v>1954</v>
      </c>
      <c r="L112" s="8" t="s">
        <v>1949</v>
      </c>
      <c r="M112" s="28" t="n">
        <f aca="false">'Disease Prediction Model'!$C$9+'Disease Prediction Model'!$C$10*B112+'Disease Prediction Model'!$C$11*C112+'Disease Prediction Model'!$C$12*D112+'Disease Prediction Model'!$C$13*E112+'Disease Prediction Model'!$C$14*F112+'Disease Prediction Model'!$C$15*G112</f>
        <v>0.524174</v>
      </c>
      <c r="N112" s="8" t="str">
        <f aca="false">IF(M112&gt;=0.5,"Yes","No")</f>
        <v>Yes</v>
      </c>
    </row>
    <row r="113" customFormat="false" ht="15" hidden="false" customHeight="false" outlineLevel="0" collapsed="false">
      <c r="A113" s="8" t="s">
        <v>2060</v>
      </c>
      <c r="B113" s="8" t="n">
        <v>51</v>
      </c>
      <c r="C113" s="8" t="n">
        <v>26.8</v>
      </c>
      <c r="D113" s="8" t="n">
        <v>131</v>
      </c>
      <c r="E113" s="8" t="n">
        <v>110</v>
      </c>
      <c r="F113" s="8" t="n">
        <v>0</v>
      </c>
      <c r="G113" s="8" t="n">
        <v>0</v>
      </c>
      <c r="H113" s="8" t="n">
        <v>0</v>
      </c>
      <c r="I113" s="8" t="s">
        <v>1948</v>
      </c>
      <c r="J113" s="8" t="s">
        <v>1959</v>
      </c>
      <c r="K113" s="8" t="s">
        <v>1948</v>
      </c>
      <c r="L113" s="8" t="s">
        <v>1949</v>
      </c>
      <c r="M113" s="28" t="n">
        <f aca="false">'Disease Prediction Model'!$C$9+'Disease Prediction Model'!$C$10*B113+'Disease Prediction Model'!$C$11*C113+'Disease Prediction Model'!$C$12*D113+'Disease Prediction Model'!$C$13*E113+'Disease Prediction Model'!$C$14*F113+'Disease Prediction Model'!$C$15*G113</f>
        <v>0.457142</v>
      </c>
      <c r="N113" s="8" t="str">
        <f aca="false">IF(M113&gt;=0.5,"Yes","No")</f>
        <v>No</v>
      </c>
    </row>
    <row r="114" customFormat="false" ht="15" hidden="false" customHeight="false" outlineLevel="0" collapsed="false">
      <c r="A114" s="8" t="s">
        <v>2061</v>
      </c>
      <c r="B114" s="8" t="n">
        <v>27</v>
      </c>
      <c r="C114" s="8" t="n">
        <v>27.2</v>
      </c>
      <c r="D114" s="8" t="n">
        <v>114</v>
      </c>
      <c r="E114" s="8" t="n">
        <v>83</v>
      </c>
      <c r="F114" s="8" t="n">
        <v>0</v>
      </c>
      <c r="G114" s="8" t="n">
        <v>0</v>
      </c>
      <c r="H114" s="8" t="n">
        <v>0</v>
      </c>
      <c r="I114" s="8" t="s">
        <v>1948</v>
      </c>
      <c r="J114" s="8" t="s">
        <v>1959</v>
      </c>
      <c r="K114" s="8" t="s">
        <v>1948</v>
      </c>
      <c r="L114" s="8" t="s">
        <v>1949</v>
      </c>
      <c r="M114" s="28" t="n">
        <f aca="false">'Disease Prediction Model'!$C$9+'Disease Prediction Model'!$C$10*B114+'Disease Prediction Model'!$C$11*C114+'Disease Prediction Model'!$C$12*D114+'Disease Prediction Model'!$C$13*E114+'Disease Prediction Model'!$C$14*F114+'Disease Prediction Model'!$C$15*G114</f>
        <v>0.0807380000000001</v>
      </c>
      <c r="N114" s="8" t="str">
        <f aca="false">IF(M114&gt;=0.5,"Yes","No")</f>
        <v>No</v>
      </c>
    </row>
    <row r="115" customFormat="false" ht="15" hidden="false" customHeight="false" outlineLevel="0" collapsed="false">
      <c r="A115" s="8" t="s">
        <v>2062</v>
      </c>
      <c r="B115" s="8" t="n">
        <v>38</v>
      </c>
      <c r="C115" s="8" t="n">
        <v>30.1</v>
      </c>
      <c r="D115" s="8" t="n">
        <v>119</v>
      </c>
      <c r="E115" s="8" t="n">
        <v>91</v>
      </c>
      <c r="F115" s="8" t="n">
        <v>0</v>
      </c>
      <c r="G115" s="8" t="n">
        <v>0</v>
      </c>
      <c r="H115" s="8" t="n">
        <v>1</v>
      </c>
      <c r="I115" s="8" t="s">
        <v>1948</v>
      </c>
      <c r="J115" s="8" t="s">
        <v>1959</v>
      </c>
      <c r="K115" s="8" t="s">
        <v>1954</v>
      </c>
      <c r="L115" s="8" t="s">
        <v>1949</v>
      </c>
      <c r="M115" s="28" t="n">
        <f aca="false">'Disease Prediction Model'!$C$9+'Disease Prediction Model'!$C$10*B115+'Disease Prediction Model'!$C$11*C115+'Disease Prediction Model'!$C$12*D115+'Disease Prediction Model'!$C$13*E115+'Disease Prediction Model'!$C$14*F115+'Disease Prediction Model'!$C$15*G115</f>
        <v>0.237869</v>
      </c>
      <c r="N115" s="8" t="str">
        <f aca="false">IF(M115&gt;=0.5,"Yes","No")</f>
        <v>No</v>
      </c>
    </row>
    <row r="116" customFormat="false" ht="15" hidden="false" customHeight="false" outlineLevel="0" collapsed="false">
      <c r="A116" s="8" t="s">
        <v>2063</v>
      </c>
      <c r="B116" s="8" t="n">
        <v>84</v>
      </c>
      <c r="C116" s="8" t="n">
        <v>28.2</v>
      </c>
      <c r="D116" s="8" t="n">
        <v>112</v>
      </c>
      <c r="E116" s="8" t="n">
        <v>115</v>
      </c>
      <c r="F116" s="8" t="n">
        <v>0</v>
      </c>
      <c r="G116" s="8" t="n">
        <v>1</v>
      </c>
      <c r="H116" s="8" t="n">
        <v>0</v>
      </c>
      <c r="I116" s="8" t="s">
        <v>1948</v>
      </c>
      <c r="J116" s="8" t="s">
        <v>1405</v>
      </c>
      <c r="K116" s="8" t="s">
        <v>1948</v>
      </c>
      <c r="L116" s="8" t="s">
        <v>1949</v>
      </c>
      <c r="M116" s="28" t="n">
        <f aca="false">'Disease Prediction Model'!$C$9+'Disease Prediction Model'!$C$10*B116+'Disease Prediction Model'!$C$11*C116+'Disease Prediction Model'!$C$12*D116+'Disease Prediction Model'!$C$13*E116+'Disease Prediction Model'!$C$14*F116+'Disease Prediction Model'!$C$15*G116</f>
        <v>0.446868</v>
      </c>
      <c r="N116" s="8" t="str">
        <f aca="false">IF(M116&gt;=0.5,"Yes","No")</f>
        <v>No</v>
      </c>
    </row>
    <row r="117" customFormat="false" ht="15" hidden="false" customHeight="false" outlineLevel="0" collapsed="false">
      <c r="A117" s="8" t="s">
        <v>2064</v>
      </c>
      <c r="B117" s="8" t="n">
        <v>76</v>
      </c>
      <c r="C117" s="8" t="n">
        <v>36.5</v>
      </c>
      <c r="D117" s="8" t="n">
        <v>111</v>
      </c>
      <c r="E117" s="8" t="n">
        <v>116</v>
      </c>
      <c r="F117" s="8" t="n">
        <v>1</v>
      </c>
      <c r="G117" s="8" t="n">
        <v>1</v>
      </c>
      <c r="H117" s="8" t="n">
        <v>1</v>
      </c>
      <c r="I117" s="8" t="s">
        <v>1954</v>
      </c>
      <c r="J117" s="8" t="s">
        <v>1405</v>
      </c>
      <c r="K117" s="8" t="s">
        <v>1954</v>
      </c>
      <c r="L117" s="8" t="s">
        <v>1949</v>
      </c>
      <c r="M117" s="28" t="n">
        <f aca="false">'Disease Prediction Model'!$C$9+'Disease Prediction Model'!$C$10*B117+'Disease Prediction Model'!$C$11*C117+'Disease Prediction Model'!$C$12*D117+'Disease Prediction Model'!$C$13*E117+'Disease Prediction Model'!$C$14*F117+'Disease Prediction Model'!$C$15*G117</f>
        <v>0.655965</v>
      </c>
      <c r="N117" s="8" t="str">
        <f aca="false">IF(M117&gt;=0.5,"Yes","No")</f>
        <v>Yes</v>
      </c>
    </row>
    <row r="118" customFormat="false" ht="15" hidden="false" customHeight="false" outlineLevel="0" collapsed="false">
      <c r="A118" s="8" t="s">
        <v>2065</v>
      </c>
      <c r="B118" s="8" t="n">
        <v>46</v>
      </c>
      <c r="C118" s="8" t="n">
        <v>30.1</v>
      </c>
      <c r="D118" s="8" t="n">
        <v>144</v>
      </c>
      <c r="E118" s="8" t="n">
        <v>136</v>
      </c>
      <c r="F118" s="8" t="n">
        <v>1</v>
      </c>
      <c r="G118" s="8" t="n">
        <v>0</v>
      </c>
      <c r="H118" s="8" t="n">
        <v>1</v>
      </c>
      <c r="I118" s="8" t="s">
        <v>1954</v>
      </c>
      <c r="J118" s="8" t="s">
        <v>1959</v>
      </c>
      <c r="K118" s="8" t="s">
        <v>1954</v>
      </c>
      <c r="L118" s="8" t="s">
        <v>1949</v>
      </c>
      <c r="M118" s="28" t="n">
        <f aca="false">'Disease Prediction Model'!$C$9+'Disease Prediction Model'!$C$10*B118+'Disease Prediction Model'!$C$11*C118+'Disease Prediction Model'!$C$12*D118+'Disease Prediction Model'!$C$13*E118+'Disease Prediction Model'!$C$14*F118+'Disease Prediction Model'!$C$15*G118</f>
        <v>0.899669</v>
      </c>
      <c r="N118" s="8" t="str">
        <f aca="false">IF(M118&gt;=0.5,"Yes","No")</f>
        <v>Yes</v>
      </c>
    </row>
    <row r="119" customFormat="false" ht="15" hidden="false" customHeight="false" outlineLevel="0" collapsed="false">
      <c r="A119" s="8" t="s">
        <v>2066</v>
      </c>
      <c r="B119" s="8" t="n">
        <v>49</v>
      </c>
      <c r="C119" s="8" t="n">
        <v>21.8</v>
      </c>
      <c r="D119" s="8" t="n">
        <v>117</v>
      </c>
      <c r="E119" s="8" t="n">
        <v>119</v>
      </c>
      <c r="F119" s="8" t="n">
        <v>0</v>
      </c>
      <c r="G119" s="8" t="n">
        <v>0</v>
      </c>
      <c r="H119" s="8" t="n">
        <v>1</v>
      </c>
      <c r="I119" s="8" t="s">
        <v>1948</v>
      </c>
      <c r="J119" s="8" t="s">
        <v>1959</v>
      </c>
      <c r="K119" s="8" t="s">
        <v>1954</v>
      </c>
      <c r="L119" s="8" t="s">
        <v>1949</v>
      </c>
      <c r="M119" s="28" t="n">
        <f aca="false">'Disease Prediction Model'!$C$9+'Disease Prediction Model'!$C$10*B119+'Disease Prediction Model'!$C$11*C119+'Disease Prediction Model'!$C$12*D119+'Disease Prediction Model'!$C$13*E119+'Disease Prediction Model'!$C$14*F119+'Disease Prediction Model'!$C$15*G119</f>
        <v>0.427572</v>
      </c>
      <c r="N119" s="8" t="str">
        <f aca="false">IF(M119&gt;=0.5,"Yes","No")</f>
        <v>No</v>
      </c>
    </row>
    <row r="120" customFormat="false" ht="15" hidden="false" customHeight="false" outlineLevel="0" collapsed="false">
      <c r="A120" s="8" t="s">
        <v>2067</v>
      </c>
      <c r="B120" s="8" t="n">
        <v>20</v>
      </c>
      <c r="C120" s="8" t="n">
        <v>24.5</v>
      </c>
      <c r="D120" s="8" t="n">
        <v>133</v>
      </c>
      <c r="E120" s="8" t="n">
        <v>156</v>
      </c>
      <c r="F120" s="8" t="n">
        <v>0</v>
      </c>
      <c r="G120" s="8" t="n">
        <v>1</v>
      </c>
      <c r="H120" s="8" t="n">
        <v>1</v>
      </c>
      <c r="I120" s="8" t="s">
        <v>1948</v>
      </c>
      <c r="J120" s="8" t="s">
        <v>1405</v>
      </c>
      <c r="K120" s="8" t="s">
        <v>1954</v>
      </c>
      <c r="L120" s="8" t="s">
        <v>1949</v>
      </c>
      <c r="M120" s="28" t="n">
        <f aca="false">'Disease Prediction Model'!$C$9+'Disease Prediction Model'!$C$10*B120+'Disease Prediction Model'!$C$11*C120+'Disease Prediction Model'!$C$12*D120+'Disease Prediction Model'!$C$13*E120+'Disease Prediction Model'!$C$14*F120+'Disease Prediction Model'!$C$15*G120</f>
        <v>0.672685</v>
      </c>
      <c r="N120" s="8" t="str">
        <f aca="false">IF(M120&gt;=0.5,"Yes","No")</f>
        <v>Yes</v>
      </c>
    </row>
    <row r="121" customFormat="false" ht="15" hidden="false" customHeight="false" outlineLevel="0" collapsed="false">
      <c r="A121" s="8" t="s">
        <v>2068</v>
      </c>
      <c r="B121" s="8" t="n">
        <v>45</v>
      </c>
      <c r="C121" s="8" t="n">
        <v>27.4</v>
      </c>
      <c r="D121" s="8" t="n">
        <v>107</v>
      </c>
      <c r="E121" s="8" t="n">
        <v>117</v>
      </c>
      <c r="F121" s="8" t="n">
        <v>1</v>
      </c>
      <c r="G121" s="8" t="n">
        <v>2</v>
      </c>
      <c r="H121" s="8" t="n">
        <v>0</v>
      </c>
      <c r="I121" s="8" t="s">
        <v>1954</v>
      </c>
      <c r="J121" s="8" t="s">
        <v>1951</v>
      </c>
      <c r="K121" s="8" t="s">
        <v>1948</v>
      </c>
      <c r="L121" s="8" t="s">
        <v>1949</v>
      </c>
      <c r="M121" s="28" t="n">
        <f aca="false">'Disease Prediction Model'!$C$9+'Disease Prediction Model'!$C$10*B121+'Disease Prediction Model'!$C$11*C121+'Disease Prediction Model'!$C$12*D121+'Disease Prediction Model'!$C$13*E121+'Disease Prediction Model'!$C$14*F121+'Disease Prediction Model'!$C$15*G121</f>
        <v>0.355876</v>
      </c>
      <c r="N121" s="8" t="str">
        <f aca="false">IF(M121&gt;=0.5,"Yes","No")</f>
        <v>No</v>
      </c>
    </row>
    <row r="122" customFormat="false" ht="15" hidden="false" customHeight="false" outlineLevel="0" collapsed="false">
      <c r="A122" s="8" t="s">
        <v>2069</v>
      </c>
      <c r="B122" s="8" t="n">
        <v>32</v>
      </c>
      <c r="C122" s="8" t="n">
        <v>24.8</v>
      </c>
      <c r="D122" s="8" t="n">
        <v>148</v>
      </c>
      <c r="E122" s="8" t="n">
        <v>102</v>
      </c>
      <c r="F122" s="8" t="n">
        <v>0</v>
      </c>
      <c r="G122" s="8" t="n">
        <v>2</v>
      </c>
      <c r="H122" s="8" t="n">
        <v>0</v>
      </c>
      <c r="I122" s="8" t="s">
        <v>1948</v>
      </c>
      <c r="J122" s="8" t="s">
        <v>1951</v>
      </c>
      <c r="K122" s="8" t="s">
        <v>1948</v>
      </c>
      <c r="L122" s="8" t="s">
        <v>1949</v>
      </c>
      <c r="M122" s="28" t="n">
        <f aca="false">'Disease Prediction Model'!$C$9+'Disease Prediction Model'!$C$10*B122+'Disease Prediction Model'!$C$11*C122+'Disease Prediction Model'!$C$12*D122+'Disease Prediction Model'!$C$13*E122+'Disease Prediction Model'!$C$14*F122+'Disease Prediction Model'!$C$15*G122</f>
        <v>0.163942</v>
      </c>
      <c r="N122" s="8" t="str">
        <f aca="false">IF(M122&gt;=0.5,"Yes","No")</f>
        <v>No</v>
      </c>
    </row>
    <row r="123" customFormat="false" ht="15" hidden="false" customHeight="false" outlineLevel="0" collapsed="false">
      <c r="A123" s="8" t="s">
        <v>2070</v>
      </c>
      <c r="B123" s="8" t="n">
        <v>46</v>
      </c>
      <c r="C123" s="8" t="n">
        <v>22.4</v>
      </c>
      <c r="D123" s="8" t="n">
        <v>135</v>
      </c>
      <c r="E123" s="8" t="n">
        <v>88</v>
      </c>
      <c r="F123" s="8" t="n">
        <v>0</v>
      </c>
      <c r="G123" s="8" t="n">
        <v>0</v>
      </c>
      <c r="H123" s="8" t="n">
        <v>0</v>
      </c>
      <c r="I123" s="8" t="s">
        <v>1948</v>
      </c>
      <c r="J123" s="8" t="s">
        <v>1959</v>
      </c>
      <c r="K123" s="8" t="s">
        <v>1948</v>
      </c>
      <c r="L123" s="8" t="s">
        <v>1949</v>
      </c>
      <c r="M123" s="28" t="n">
        <f aca="false">'Disease Prediction Model'!$C$9+'Disease Prediction Model'!$C$10*B123+'Disease Prediction Model'!$C$11*C123+'Disease Prediction Model'!$C$12*D123+'Disease Prediction Model'!$C$13*E123+'Disease Prediction Model'!$C$14*F123+'Disease Prediction Model'!$C$15*G123</f>
        <v>0.203026</v>
      </c>
      <c r="N123" s="8" t="str">
        <f aca="false">IF(M123&gt;=0.5,"Yes","No")</f>
        <v>No</v>
      </c>
    </row>
    <row r="124" customFormat="false" ht="15" hidden="false" customHeight="false" outlineLevel="0" collapsed="false">
      <c r="A124" s="8" t="s">
        <v>2071</v>
      </c>
      <c r="B124" s="8" t="n">
        <v>18</v>
      </c>
      <c r="C124" s="8" t="n">
        <v>19</v>
      </c>
      <c r="D124" s="8" t="n">
        <v>133</v>
      </c>
      <c r="E124" s="8" t="n">
        <v>81</v>
      </c>
      <c r="F124" s="8" t="n">
        <v>0</v>
      </c>
      <c r="G124" s="8" t="n">
        <v>1</v>
      </c>
      <c r="H124" s="8" t="n">
        <v>0</v>
      </c>
      <c r="I124" s="8" t="s">
        <v>1948</v>
      </c>
      <c r="J124" s="8" t="s">
        <v>1405</v>
      </c>
      <c r="K124" s="8" t="s">
        <v>1948</v>
      </c>
      <c r="L124" s="8" t="s">
        <v>1949</v>
      </c>
      <c r="M124" s="28" t="n">
        <f aca="false">'Disease Prediction Model'!$C$9+'Disease Prediction Model'!$C$10*B124+'Disease Prediction Model'!$C$11*C124+'Disease Prediction Model'!$C$12*D124+'Disease Prediction Model'!$C$13*E124+'Disease Prediction Model'!$C$14*F124+'Disease Prediction Model'!$C$15*G124</f>
        <v>-0.0903000000000001</v>
      </c>
      <c r="N124" s="8" t="str">
        <f aca="false">IF(M124&gt;=0.5,"Yes","No")</f>
        <v>No</v>
      </c>
    </row>
    <row r="125" customFormat="false" ht="15" hidden="false" customHeight="false" outlineLevel="0" collapsed="false">
      <c r="A125" s="8" t="s">
        <v>2072</v>
      </c>
      <c r="B125" s="8" t="n">
        <v>34</v>
      </c>
      <c r="C125" s="8" t="n">
        <v>25.8</v>
      </c>
      <c r="D125" s="8" t="n">
        <v>117</v>
      </c>
      <c r="E125" s="8" t="n">
        <v>112</v>
      </c>
      <c r="F125" s="8" t="n">
        <v>0</v>
      </c>
      <c r="G125" s="8" t="n">
        <v>0</v>
      </c>
      <c r="H125" s="8" t="n">
        <v>0</v>
      </c>
      <c r="I125" s="8" t="s">
        <v>1948</v>
      </c>
      <c r="J125" s="8" t="s">
        <v>1959</v>
      </c>
      <c r="K125" s="8" t="s">
        <v>1948</v>
      </c>
      <c r="L125" s="8" t="s">
        <v>1949</v>
      </c>
      <c r="M125" s="28" t="n">
        <f aca="false">'Disease Prediction Model'!$C$9+'Disease Prediction Model'!$C$10*B125+'Disease Prediction Model'!$C$11*C125+'Disease Prediction Model'!$C$12*D125+'Disease Prediction Model'!$C$13*E125+'Disease Prediction Model'!$C$14*F125+'Disease Prediction Model'!$C$15*G125</f>
        <v>0.364512</v>
      </c>
      <c r="N125" s="8" t="str">
        <f aca="false">IF(M125&gt;=0.5,"Yes","No")</f>
        <v>No</v>
      </c>
    </row>
    <row r="126" customFormat="false" ht="15" hidden="false" customHeight="false" outlineLevel="0" collapsed="false">
      <c r="A126" s="8" t="s">
        <v>2073</v>
      </c>
      <c r="B126" s="8" t="n">
        <v>46</v>
      </c>
      <c r="C126" s="8" t="n">
        <v>16.1</v>
      </c>
      <c r="D126" s="8" t="n">
        <v>111</v>
      </c>
      <c r="E126" s="8" t="n">
        <v>84</v>
      </c>
      <c r="F126" s="8" t="n">
        <v>0</v>
      </c>
      <c r="G126" s="8" t="n">
        <v>0</v>
      </c>
      <c r="H126" s="8" t="n">
        <v>0</v>
      </c>
      <c r="I126" s="8" t="s">
        <v>1948</v>
      </c>
      <c r="J126" s="8" t="s">
        <v>1959</v>
      </c>
      <c r="K126" s="8" t="s">
        <v>1948</v>
      </c>
      <c r="L126" s="8" t="s">
        <v>1949</v>
      </c>
      <c r="M126" s="28" t="n">
        <f aca="false">'Disease Prediction Model'!$C$9+'Disease Prediction Model'!$C$10*B126+'Disease Prediction Model'!$C$11*C126+'Disease Prediction Model'!$C$12*D126+'Disease Prediction Model'!$C$13*E126+'Disease Prediction Model'!$C$14*F126+'Disease Prediction Model'!$C$15*G126</f>
        <v>0.0083089999999999</v>
      </c>
      <c r="N126" s="8" t="str">
        <f aca="false">IF(M126&gt;=0.5,"Yes","No")</f>
        <v>No</v>
      </c>
    </row>
    <row r="127" customFormat="false" ht="15" hidden="false" customHeight="false" outlineLevel="0" collapsed="false">
      <c r="A127" s="8" t="s">
        <v>2074</v>
      </c>
      <c r="B127" s="8" t="n">
        <v>59</v>
      </c>
      <c r="C127" s="8" t="n">
        <v>28.3</v>
      </c>
      <c r="D127" s="8" t="n">
        <v>138</v>
      </c>
      <c r="E127" s="8" t="n">
        <v>79</v>
      </c>
      <c r="F127" s="8" t="n">
        <v>0</v>
      </c>
      <c r="G127" s="8" t="n">
        <v>2</v>
      </c>
      <c r="H127" s="8" t="n">
        <v>0</v>
      </c>
      <c r="I127" s="8" t="s">
        <v>1948</v>
      </c>
      <c r="J127" s="8" t="s">
        <v>1951</v>
      </c>
      <c r="K127" s="8" t="s">
        <v>1948</v>
      </c>
      <c r="L127" s="8" t="s">
        <v>1949</v>
      </c>
      <c r="M127" s="28" t="n">
        <f aca="false">'Disease Prediction Model'!$C$9+'Disease Prediction Model'!$C$10*B127+'Disease Prediction Model'!$C$11*C127+'Disease Prediction Model'!$C$12*D127+'Disease Prediction Model'!$C$13*E127+'Disease Prediction Model'!$C$14*F127+'Disease Prediction Model'!$C$15*G127</f>
        <v>0.033867</v>
      </c>
      <c r="N127" s="8" t="str">
        <f aca="false">IF(M127&gt;=0.5,"Yes","No")</f>
        <v>No</v>
      </c>
    </row>
    <row r="128" customFormat="false" ht="15" hidden="false" customHeight="false" outlineLevel="0" collapsed="false">
      <c r="A128" s="8" t="s">
        <v>2075</v>
      </c>
      <c r="B128" s="8" t="n">
        <v>39</v>
      </c>
      <c r="C128" s="8" t="n">
        <v>36.1</v>
      </c>
      <c r="D128" s="8" t="n">
        <v>124</v>
      </c>
      <c r="E128" s="8" t="n">
        <v>70</v>
      </c>
      <c r="F128" s="8" t="n">
        <v>0</v>
      </c>
      <c r="G128" s="8" t="n">
        <v>0</v>
      </c>
      <c r="H128" s="8" t="n">
        <v>0</v>
      </c>
      <c r="I128" s="8" t="s">
        <v>1948</v>
      </c>
      <c r="J128" s="8" t="s">
        <v>1959</v>
      </c>
      <c r="K128" s="8" t="s">
        <v>1948</v>
      </c>
      <c r="L128" s="8" t="s">
        <v>1949</v>
      </c>
      <c r="M128" s="28" t="n">
        <f aca="false">'Disease Prediction Model'!$C$9+'Disease Prediction Model'!$C$10*B128+'Disease Prediction Model'!$C$11*C128+'Disease Prediction Model'!$C$12*D128+'Disease Prediction Model'!$C$13*E128+'Disease Prediction Model'!$C$14*F128+'Disease Prediction Model'!$C$15*G128</f>
        <v>0.132569</v>
      </c>
      <c r="N128" s="8" t="str">
        <f aca="false">IF(M128&gt;=0.5,"Yes","No")</f>
        <v>No</v>
      </c>
    </row>
    <row r="129" customFormat="false" ht="15" hidden="false" customHeight="false" outlineLevel="0" collapsed="false">
      <c r="A129" s="8" t="s">
        <v>2076</v>
      </c>
      <c r="B129" s="8" t="n">
        <v>63</v>
      </c>
      <c r="C129" s="8" t="n">
        <v>27.9</v>
      </c>
      <c r="D129" s="8" t="n">
        <v>126</v>
      </c>
      <c r="E129" s="8" t="n">
        <v>130</v>
      </c>
      <c r="F129" s="8" t="n">
        <v>0</v>
      </c>
      <c r="G129" s="8" t="n">
        <v>1</v>
      </c>
      <c r="H129" s="8" t="n">
        <v>0</v>
      </c>
      <c r="I129" s="8" t="s">
        <v>1948</v>
      </c>
      <c r="J129" s="8" t="s">
        <v>1405</v>
      </c>
      <c r="K129" s="8" t="s">
        <v>1948</v>
      </c>
      <c r="L129" s="8" t="s">
        <v>1949</v>
      </c>
      <c r="M129" s="28" t="n">
        <f aca="false">'Disease Prediction Model'!$C$9+'Disease Prediction Model'!$C$10*B129+'Disease Prediction Model'!$C$11*C129+'Disease Prediction Model'!$C$12*D129+'Disease Prediction Model'!$C$13*E129+'Disease Prediction Model'!$C$14*F129+'Disease Prediction Model'!$C$15*G129</f>
        <v>0.571151</v>
      </c>
      <c r="N129" s="8" t="str">
        <f aca="false">IF(M129&gt;=0.5,"Yes","No")</f>
        <v>Yes</v>
      </c>
    </row>
    <row r="130" customFormat="false" ht="15" hidden="false" customHeight="false" outlineLevel="0" collapsed="false">
      <c r="A130" s="8" t="s">
        <v>2077</v>
      </c>
      <c r="B130" s="8" t="n">
        <v>52</v>
      </c>
      <c r="C130" s="8" t="n">
        <v>22.8</v>
      </c>
      <c r="D130" s="8" t="n">
        <v>111</v>
      </c>
      <c r="E130" s="8" t="n">
        <v>82</v>
      </c>
      <c r="F130" s="8" t="n">
        <v>0</v>
      </c>
      <c r="G130" s="8" t="n">
        <v>2</v>
      </c>
      <c r="H130" s="8" t="n">
        <v>0</v>
      </c>
      <c r="I130" s="8" t="s">
        <v>1948</v>
      </c>
      <c r="J130" s="8" t="s">
        <v>1951</v>
      </c>
      <c r="K130" s="8" t="s">
        <v>1948</v>
      </c>
      <c r="L130" s="8" t="s">
        <v>1949</v>
      </c>
      <c r="M130" s="28" t="n">
        <f aca="false">'Disease Prediction Model'!$C$9+'Disease Prediction Model'!$C$10*B130+'Disease Prediction Model'!$C$11*C130+'Disease Prediction Model'!$C$12*D130+'Disease Prediction Model'!$C$13*E130+'Disease Prediction Model'!$C$14*F130+'Disease Prediction Model'!$C$15*G130</f>
        <v>-0.118098</v>
      </c>
      <c r="N130" s="8" t="str">
        <f aca="false">IF(M130&gt;=0.5,"Yes","No")</f>
        <v>No</v>
      </c>
    </row>
    <row r="131" customFormat="false" ht="15" hidden="false" customHeight="false" outlineLevel="0" collapsed="false">
      <c r="A131" s="8" t="s">
        <v>2078</v>
      </c>
      <c r="B131" s="8" t="n">
        <v>36</v>
      </c>
      <c r="C131" s="8" t="n">
        <v>20</v>
      </c>
      <c r="D131" s="8" t="n">
        <v>114</v>
      </c>
      <c r="E131" s="8" t="n">
        <v>91</v>
      </c>
      <c r="F131" s="8" t="n">
        <v>0</v>
      </c>
      <c r="G131" s="8" t="n">
        <v>2</v>
      </c>
      <c r="H131" s="8" t="n">
        <v>0</v>
      </c>
      <c r="I131" s="8" t="s">
        <v>1948</v>
      </c>
      <c r="J131" s="8" t="s">
        <v>1951</v>
      </c>
      <c r="K131" s="8" t="s">
        <v>1948</v>
      </c>
      <c r="L131" s="8" t="s">
        <v>1949</v>
      </c>
      <c r="M131" s="28" t="n">
        <f aca="false">'Disease Prediction Model'!$C$9+'Disease Prediction Model'!$C$10*B131+'Disease Prediction Model'!$C$11*C131+'Disease Prediction Model'!$C$12*D131+'Disease Prediction Model'!$C$13*E131+'Disease Prediction Model'!$C$14*F131+'Disease Prediction Model'!$C$15*G131</f>
        <v>-0.10263</v>
      </c>
      <c r="N131" s="8" t="str">
        <f aca="false">IF(M131&gt;=0.5,"Yes","No")</f>
        <v>No</v>
      </c>
    </row>
    <row r="132" customFormat="false" ht="15" hidden="false" customHeight="false" outlineLevel="0" collapsed="false">
      <c r="A132" s="8" t="s">
        <v>2079</v>
      </c>
      <c r="B132" s="8" t="n">
        <v>55</v>
      </c>
      <c r="C132" s="8" t="n">
        <v>29.4</v>
      </c>
      <c r="D132" s="8" t="n">
        <v>126</v>
      </c>
      <c r="E132" s="8" t="n">
        <v>108</v>
      </c>
      <c r="F132" s="8" t="n">
        <v>0</v>
      </c>
      <c r="G132" s="8" t="n">
        <v>1</v>
      </c>
      <c r="H132" s="8" t="n">
        <v>1</v>
      </c>
      <c r="I132" s="8" t="s">
        <v>1948</v>
      </c>
      <c r="J132" s="8" t="s">
        <v>1405</v>
      </c>
      <c r="K132" s="8" t="s">
        <v>1954</v>
      </c>
      <c r="L132" s="8" t="s">
        <v>1949</v>
      </c>
      <c r="M132" s="28" t="n">
        <f aca="false">'Disease Prediction Model'!$C$9+'Disease Prediction Model'!$C$10*B132+'Disease Prediction Model'!$C$11*C132+'Disease Prediction Model'!$C$12*D132+'Disease Prediction Model'!$C$13*E132+'Disease Prediction Model'!$C$14*F132+'Disease Prediction Model'!$C$15*G132</f>
        <v>0.361156</v>
      </c>
      <c r="N132" s="8" t="str">
        <f aca="false">IF(M132&gt;=0.5,"Yes","No")</f>
        <v>No</v>
      </c>
    </row>
    <row r="133" customFormat="false" ht="15" hidden="false" customHeight="false" outlineLevel="0" collapsed="false">
      <c r="A133" s="8" t="s">
        <v>2080</v>
      </c>
      <c r="B133" s="8" t="n">
        <v>67</v>
      </c>
      <c r="C133" s="8" t="n">
        <v>25</v>
      </c>
      <c r="D133" s="8" t="n">
        <v>125</v>
      </c>
      <c r="E133" s="8" t="n">
        <v>96</v>
      </c>
      <c r="F133" s="8" t="n">
        <v>1</v>
      </c>
      <c r="G133" s="8" t="n">
        <v>1</v>
      </c>
      <c r="H133" s="8" t="n">
        <v>0</v>
      </c>
      <c r="I133" s="8" t="s">
        <v>1954</v>
      </c>
      <c r="J133" s="8" t="s">
        <v>1405</v>
      </c>
      <c r="K133" s="8" t="s">
        <v>1948</v>
      </c>
      <c r="L133" s="8" t="s">
        <v>1949</v>
      </c>
      <c r="M133" s="28" t="n">
        <f aca="false">'Disease Prediction Model'!$C$9+'Disease Prediction Model'!$C$10*B133+'Disease Prediction Model'!$C$11*C133+'Disease Prediction Model'!$C$12*D133+'Disease Prediction Model'!$C$13*E133+'Disease Prediction Model'!$C$14*F133+'Disease Prediction Model'!$C$15*G133</f>
        <v>0.36362</v>
      </c>
      <c r="N133" s="8" t="str">
        <f aca="false">IF(M133&gt;=0.5,"Yes","No")</f>
        <v>No</v>
      </c>
    </row>
    <row r="134" customFormat="false" ht="15" hidden="false" customHeight="false" outlineLevel="0" collapsed="false">
      <c r="A134" s="8" t="s">
        <v>2081</v>
      </c>
      <c r="B134" s="8" t="n">
        <v>44</v>
      </c>
      <c r="C134" s="8" t="n">
        <v>23.4</v>
      </c>
      <c r="D134" s="8" t="n">
        <v>150</v>
      </c>
      <c r="E134" s="8" t="n">
        <v>89</v>
      </c>
      <c r="F134" s="8" t="n">
        <v>0</v>
      </c>
      <c r="G134" s="8" t="n">
        <v>0</v>
      </c>
      <c r="H134" s="8" t="n">
        <v>1</v>
      </c>
      <c r="I134" s="8" t="s">
        <v>1948</v>
      </c>
      <c r="J134" s="8" t="s">
        <v>1959</v>
      </c>
      <c r="K134" s="8" t="s">
        <v>1954</v>
      </c>
      <c r="L134" s="8" t="s">
        <v>1949</v>
      </c>
      <c r="M134" s="28" t="n">
        <f aca="false">'Disease Prediction Model'!$C$9+'Disease Prediction Model'!$C$10*B134+'Disease Prediction Model'!$C$11*C134+'Disease Prediction Model'!$C$12*D134+'Disease Prediction Model'!$C$13*E134+'Disease Prediction Model'!$C$14*F134+'Disease Prediction Model'!$C$15*G134</f>
        <v>0.271536</v>
      </c>
      <c r="N134" s="8" t="str">
        <f aca="false">IF(M134&gt;=0.5,"Yes","No")</f>
        <v>No</v>
      </c>
    </row>
    <row r="135" customFormat="false" ht="15" hidden="false" customHeight="false" outlineLevel="0" collapsed="false">
      <c r="A135" s="8" t="s">
        <v>2082</v>
      </c>
      <c r="B135" s="8" t="n">
        <v>58</v>
      </c>
      <c r="C135" s="8" t="n">
        <v>26.2</v>
      </c>
      <c r="D135" s="8" t="n">
        <v>101</v>
      </c>
      <c r="E135" s="8" t="n">
        <v>70</v>
      </c>
      <c r="F135" s="8" t="n">
        <v>0</v>
      </c>
      <c r="G135" s="8" t="n">
        <v>2</v>
      </c>
      <c r="H135" s="8" t="n">
        <v>0</v>
      </c>
      <c r="I135" s="8" t="s">
        <v>1948</v>
      </c>
      <c r="J135" s="8" t="s">
        <v>1951</v>
      </c>
      <c r="K135" s="8" t="s">
        <v>1948</v>
      </c>
      <c r="L135" s="8" t="s">
        <v>1949</v>
      </c>
      <c r="M135" s="28" t="n">
        <f aca="false">'Disease Prediction Model'!$C$9+'Disease Prediction Model'!$C$10*B135+'Disease Prediction Model'!$C$11*C135+'Disease Prediction Model'!$C$12*D135+'Disease Prediction Model'!$C$13*E135+'Disease Prediction Model'!$C$14*F135+'Disease Prediction Model'!$C$15*G135</f>
        <v>-0.208772</v>
      </c>
      <c r="N135" s="8" t="str">
        <f aca="false">IF(M135&gt;=0.5,"Yes","No")</f>
        <v>No</v>
      </c>
    </row>
    <row r="136" customFormat="false" ht="15" hidden="false" customHeight="false" outlineLevel="0" collapsed="false">
      <c r="A136" s="8" t="s">
        <v>2083</v>
      </c>
      <c r="B136" s="8" t="n">
        <v>61</v>
      </c>
      <c r="C136" s="8" t="n">
        <v>25.5</v>
      </c>
      <c r="D136" s="8" t="n">
        <v>116</v>
      </c>
      <c r="E136" s="8" t="n">
        <v>103</v>
      </c>
      <c r="F136" s="8" t="n">
        <v>0</v>
      </c>
      <c r="G136" s="8" t="n">
        <v>2</v>
      </c>
      <c r="H136" s="8" t="n">
        <v>0</v>
      </c>
      <c r="I136" s="8" t="s">
        <v>1948</v>
      </c>
      <c r="J136" s="8" t="s">
        <v>1951</v>
      </c>
      <c r="K136" s="8" t="s">
        <v>1948</v>
      </c>
      <c r="L136" s="8" t="s">
        <v>1949</v>
      </c>
      <c r="M136" s="28" t="n">
        <f aca="false">'Disease Prediction Model'!$C$9+'Disease Prediction Model'!$C$10*B136+'Disease Prediction Model'!$C$11*C136+'Disease Prediction Model'!$C$12*D136+'Disease Prediction Model'!$C$13*E136+'Disease Prediction Model'!$C$14*F136+'Disease Prediction Model'!$C$15*G136</f>
        <v>0.151295</v>
      </c>
      <c r="N136" s="8" t="str">
        <f aca="false">IF(M136&gt;=0.5,"Yes","No")</f>
        <v>No</v>
      </c>
    </row>
    <row r="137" customFormat="false" ht="15" hidden="false" customHeight="false" outlineLevel="0" collapsed="false">
      <c r="A137" s="8" t="s">
        <v>2084</v>
      </c>
      <c r="B137" s="8" t="n">
        <v>72</v>
      </c>
      <c r="C137" s="8" t="n">
        <v>22.2</v>
      </c>
      <c r="D137" s="8" t="n">
        <v>146</v>
      </c>
      <c r="E137" s="8" t="n">
        <v>109</v>
      </c>
      <c r="F137" s="8" t="n">
        <v>0</v>
      </c>
      <c r="G137" s="8" t="n">
        <v>0</v>
      </c>
      <c r="H137" s="8" t="n">
        <v>1</v>
      </c>
      <c r="I137" s="8" t="s">
        <v>1948</v>
      </c>
      <c r="J137" s="8" t="s">
        <v>1959</v>
      </c>
      <c r="K137" s="8" t="s">
        <v>1954</v>
      </c>
      <c r="L137" s="8" t="s">
        <v>1949</v>
      </c>
      <c r="M137" s="28" t="n">
        <f aca="false">'Disease Prediction Model'!$C$9+'Disease Prediction Model'!$C$10*B137+'Disease Prediction Model'!$C$11*C137+'Disease Prediction Model'!$C$12*D137+'Disease Prediction Model'!$C$13*E137+'Disease Prediction Model'!$C$14*F137+'Disease Prediction Model'!$C$15*G137</f>
        <v>0.510508</v>
      </c>
      <c r="N137" s="8" t="str">
        <f aca="false">IF(M137&gt;=0.5,"Yes","No")</f>
        <v>Yes</v>
      </c>
    </row>
    <row r="138" customFormat="false" ht="15" hidden="false" customHeight="false" outlineLevel="0" collapsed="false">
      <c r="A138" s="8" t="s">
        <v>2085</v>
      </c>
      <c r="B138" s="8" t="n">
        <v>52</v>
      </c>
      <c r="C138" s="8" t="n">
        <v>33.6</v>
      </c>
      <c r="D138" s="8" t="n">
        <v>105</v>
      </c>
      <c r="E138" s="8" t="n">
        <v>70</v>
      </c>
      <c r="F138" s="8" t="n">
        <v>1</v>
      </c>
      <c r="G138" s="8" t="n">
        <v>0</v>
      </c>
      <c r="H138" s="8" t="n">
        <v>0</v>
      </c>
      <c r="I138" s="8" t="s">
        <v>1954</v>
      </c>
      <c r="J138" s="8" t="s">
        <v>1959</v>
      </c>
      <c r="K138" s="8" t="s">
        <v>1948</v>
      </c>
      <c r="L138" s="8" t="s">
        <v>1949</v>
      </c>
      <c r="M138" s="28" t="n">
        <f aca="false">'Disease Prediction Model'!$C$9+'Disease Prediction Model'!$C$10*B138+'Disease Prediction Model'!$C$11*C138+'Disease Prediction Model'!$C$12*D138+'Disease Prediction Model'!$C$13*E138+'Disease Prediction Model'!$C$14*F138+'Disease Prediction Model'!$C$15*G138</f>
        <v>0.206274</v>
      </c>
      <c r="N138" s="8" t="str">
        <f aca="false">IF(M138&gt;=0.5,"Yes","No")</f>
        <v>No</v>
      </c>
    </row>
    <row r="139" customFormat="false" ht="15" hidden="false" customHeight="false" outlineLevel="0" collapsed="false">
      <c r="A139" s="8" t="s">
        <v>2086</v>
      </c>
      <c r="B139" s="8" t="n">
        <v>43</v>
      </c>
      <c r="C139" s="8" t="n">
        <v>23.4</v>
      </c>
      <c r="D139" s="8" t="n">
        <v>127</v>
      </c>
      <c r="E139" s="8" t="n">
        <v>95</v>
      </c>
      <c r="F139" s="8" t="n">
        <v>0</v>
      </c>
      <c r="G139" s="8" t="n">
        <v>2</v>
      </c>
      <c r="H139" s="8" t="n">
        <v>0</v>
      </c>
      <c r="I139" s="8" t="s">
        <v>1948</v>
      </c>
      <c r="J139" s="8" t="s">
        <v>1951</v>
      </c>
      <c r="K139" s="8" t="s">
        <v>1948</v>
      </c>
      <c r="L139" s="8" t="s">
        <v>1949</v>
      </c>
      <c r="M139" s="28" t="n">
        <f aca="false">'Disease Prediction Model'!$C$9+'Disease Prediction Model'!$C$10*B139+'Disease Prediction Model'!$C$11*C139+'Disease Prediction Model'!$C$12*D139+'Disease Prediction Model'!$C$13*E139+'Disease Prediction Model'!$C$14*F139+'Disease Prediction Model'!$C$15*G139</f>
        <v>0.040116</v>
      </c>
      <c r="N139" s="8" t="str">
        <f aca="false">IF(M139&gt;=0.5,"Yes","No")</f>
        <v>No</v>
      </c>
    </row>
    <row r="140" customFormat="false" ht="15" hidden="false" customHeight="false" outlineLevel="0" collapsed="false">
      <c r="A140" s="8" t="s">
        <v>2087</v>
      </c>
      <c r="B140" s="8" t="n">
        <v>63</v>
      </c>
      <c r="C140" s="8" t="n">
        <v>25.7</v>
      </c>
      <c r="D140" s="8" t="n">
        <v>137</v>
      </c>
      <c r="E140" s="8" t="n">
        <v>70</v>
      </c>
      <c r="F140" s="8" t="n">
        <v>0</v>
      </c>
      <c r="G140" s="8" t="n">
        <v>1</v>
      </c>
      <c r="H140" s="8" t="n">
        <v>0</v>
      </c>
      <c r="I140" s="8" t="s">
        <v>1948</v>
      </c>
      <c r="J140" s="8" t="s">
        <v>1405</v>
      </c>
      <c r="K140" s="8" t="s">
        <v>1948</v>
      </c>
      <c r="L140" s="8" t="s">
        <v>1949</v>
      </c>
      <c r="M140" s="28" t="n">
        <f aca="false">'Disease Prediction Model'!$C$9+'Disease Prediction Model'!$C$10*B140+'Disease Prediction Model'!$C$11*C140+'Disease Prediction Model'!$C$12*D140+'Disease Prediction Model'!$C$13*E140+'Disease Prediction Model'!$C$14*F140+'Disease Prediction Model'!$C$15*G140</f>
        <v>0.0298729999999999</v>
      </c>
      <c r="N140" s="8" t="str">
        <f aca="false">IF(M140&gt;=0.5,"Yes","No")</f>
        <v>No</v>
      </c>
    </row>
    <row r="141" customFormat="false" ht="15" hidden="false" customHeight="false" outlineLevel="0" collapsed="false">
      <c r="A141" s="8" t="s">
        <v>2088</v>
      </c>
      <c r="B141" s="8" t="n">
        <v>53</v>
      </c>
      <c r="C141" s="8" t="n">
        <v>18.9</v>
      </c>
      <c r="D141" s="8" t="n">
        <v>129</v>
      </c>
      <c r="E141" s="8" t="n">
        <v>104</v>
      </c>
      <c r="F141" s="8" t="n">
        <v>1</v>
      </c>
      <c r="G141" s="8" t="n">
        <v>2</v>
      </c>
      <c r="H141" s="8" t="n">
        <v>0</v>
      </c>
      <c r="I141" s="8" t="s">
        <v>1954</v>
      </c>
      <c r="J141" s="8" t="s">
        <v>1951</v>
      </c>
      <c r="K141" s="8" t="s">
        <v>1948</v>
      </c>
      <c r="L141" s="8" t="s">
        <v>1949</v>
      </c>
      <c r="M141" s="28" t="n">
        <f aca="false">'Disease Prediction Model'!$C$9+'Disease Prediction Model'!$C$10*B141+'Disease Prediction Model'!$C$11*C141+'Disease Prediction Model'!$C$12*D141+'Disease Prediction Model'!$C$13*E141+'Disease Prediction Model'!$C$14*F141+'Disease Prediction Model'!$C$15*G141</f>
        <v>0.240801</v>
      </c>
      <c r="N141" s="8" t="str">
        <f aca="false">IF(M141&gt;=0.5,"Yes","No")</f>
        <v>No</v>
      </c>
    </row>
    <row r="142" customFormat="false" ht="15" hidden="false" customHeight="false" outlineLevel="0" collapsed="false">
      <c r="A142" s="8" t="s">
        <v>2089</v>
      </c>
      <c r="B142" s="8" t="n">
        <v>34</v>
      </c>
      <c r="C142" s="8" t="n">
        <v>29.5</v>
      </c>
      <c r="D142" s="8" t="n">
        <v>140</v>
      </c>
      <c r="E142" s="8" t="n">
        <v>92</v>
      </c>
      <c r="F142" s="8" t="n">
        <v>0</v>
      </c>
      <c r="G142" s="8" t="n">
        <v>1</v>
      </c>
      <c r="H142" s="8" t="n">
        <v>0</v>
      </c>
      <c r="I142" s="8" t="s">
        <v>1948</v>
      </c>
      <c r="J142" s="8" t="s">
        <v>1405</v>
      </c>
      <c r="K142" s="8" t="s">
        <v>1948</v>
      </c>
      <c r="L142" s="8" t="s">
        <v>1949</v>
      </c>
      <c r="M142" s="28" t="n">
        <f aca="false">'Disease Prediction Model'!$C$9+'Disease Prediction Model'!$C$10*B142+'Disease Prediction Model'!$C$11*C142+'Disease Prediction Model'!$C$12*D142+'Disease Prediction Model'!$C$13*E142+'Disease Prediction Model'!$C$14*F142+'Disease Prediction Model'!$C$15*G142</f>
        <v>0.202935</v>
      </c>
      <c r="N142" s="8" t="str">
        <f aca="false">IF(M142&gt;=0.5,"Yes","No")</f>
        <v>No</v>
      </c>
    </row>
    <row r="143" customFormat="false" ht="15" hidden="false" customHeight="false" outlineLevel="0" collapsed="false">
      <c r="A143" s="8" t="s">
        <v>2090</v>
      </c>
      <c r="B143" s="8" t="n">
        <v>41</v>
      </c>
      <c r="C143" s="8" t="n">
        <v>20.2</v>
      </c>
      <c r="D143" s="8" t="n">
        <v>103</v>
      </c>
      <c r="E143" s="8" t="n">
        <v>112</v>
      </c>
      <c r="F143" s="8" t="n">
        <v>0</v>
      </c>
      <c r="G143" s="8" t="n">
        <v>1</v>
      </c>
      <c r="H143" s="8" t="n">
        <v>0</v>
      </c>
      <c r="I143" s="8" t="s">
        <v>1948</v>
      </c>
      <c r="J143" s="8" t="s">
        <v>1405</v>
      </c>
      <c r="K143" s="8" t="s">
        <v>1948</v>
      </c>
      <c r="L143" s="8" t="s">
        <v>1949</v>
      </c>
      <c r="M143" s="28" t="n">
        <f aca="false">'Disease Prediction Model'!$C$9+'Disease Prediction Model'!$C$10*B143+'Disease Prediction Model'!$C$11*C143+'Disease Prediction Model'!$C$12*D143+'Disease Prediction Model'!$C$13*E143+'Disease Prediction Model'!$C$14*F143+'Disease Prediction Model'!$C$15*G143</f>
        <v>0.170188</v>
      </c>
      <c r="N143" s="8" t="str">
        <f aca="false">IF(M143&gt;=0.5,"Yes","No")</f>
        <v>No</v>
      </c>
    </row>
    <row r="144" customFormat="false" ht="15" hidden="false" customHeight="false" outlineLevel="0" collapsed="false">
      <c r="A144" s="8" t="s">
        <v>2091</v>
      </c>
      <c r="B144" s="8" t="n">
        <v>46</v>
      </c>
      <c r="C144" s="8" t="n">
        <v>19.8</v>
      </c>
      <c r="D144" s="8" t="n">
        <v>123</v>
      </c>
      <c r="E144" s="8" t="n">
        <v>117</v>
      </c>
      <c r="F144" s="8" t="n">
        <v>0</v>
      </c>
      <c r="G144" s="8" t="n">
        <v>1</v>
      </c>
      <c r="H144" s="8" t="n">
        <v>0</v>
      </c>
      <c r="I144" s="8" t="s">
        <v>1948</v>
      </c>
      <c r="J144" s="8" t="s">
        <v>1405</v>
      </c>
      <c r="K144" s="8" t="s">
        <v>1948</v>
      </c>
      <c r="L144" s="8" t="s">
        <v>1949</v>
      </c>
      <c r="M144" s="28" t="n">
        <f aca="false">'Disease Prediction Model'!$C$9+'Disease Prediction Model'!$C$10*B144+'Disease Prediction Model'!$C$11*C144+'Disease Prediction Model'!$C$12*D144+'Disease Prediction Model'!$C$13*E144+'Disease Prediction Model'!$C$14*F144+'Disease Prediction Model'!$C$15*G144</f>
        <v>0.298132</v>
      </c>
      <c r="N144" s="8" t="str">
        <f aca="false">IF(M144&gt;=0.5,"Yes","No")</f>
        <v>No</v>
      </c>
    </row>
    <row r="145" customFormat="false" ht="15" hidden="false" customHeight="false" outlineLevel="0" collapsed="false">
      <c r="A145" s="8" t="s">
        <v>2092</v>
      </c>
      <c r="B145" s="8" t="n">
        <v>65</v>
      </c>
      <c r="C145" s="8" t="n">
        <v>31.7</v>
      </c>
      <c r="D145" s="8" t="n">
        <v>114</v>
      </c>
      <c r="E145" s="8" t="n">
        <v>96</v>
      </c>
      <c r="F145" s="8" t="n">
        <v>0</v>
      </c>
      <c r="G145" s="8" t="n">
        <v>1</v>
      </c>
      <c r="H145" s="8" t="n">
        <v>0</v>
      </c>
      <c r="I145" s="8" t="s">
        <v>1948</v>
      </c>
      <c r="J145" s="8" t="s">
        <v>1405</v>
      </c>
      <c r="K145" s="8" t="s">
        <v>1948</v>
      </c>
      <c r="L145" s="8" t="s">
        <v>1949</v>
      </c>
      <c r="M145" s="28" t="n">
        <f aca="false">'Disease Prediction Model'!$C$9+'Disease Prediction Model'!$C$10*B145+'Disease Prediction Model'!$C$11*C145+'Disease Prediction Model'!$C$12*D145+'Disease Prediction Model'!$C$13*E145+'Disease Prediction Model'!$C$14*F145+'Disease Prediction Model'!$C$15*G145</f>
        <v>0.262473</v>
      </c>
      <c r="N145" s="8" t="str">
        <f aca="false">IF(M145&gt;=0.5,"Yes","No")</f>
        <v>No</v>
      </c>
    </row>
    <row r="146" customFormat="false" ht="15" hidden="false" customHeight="false" outlineLevel="0" collapsed="false">
      <c r="A146" s="8" t="s">
        <v>2093</v>
      </c>
      <c r="B146" s="8" t="n">
        <v>46</v>
      </c>
      <c r="C146" s="8" t="n">
        <v>30.8</v>
      </c>
      <c r="D146" s="8" t="n">
        <v>130</v>
      </c>
      <c r="E146" s="8" t="n">
        <v>115</v>
      </c>
      <c r="F146" s="8" t="n">
        <v>0</v>
      </c>
      <c r="G146" s="8" t="n">
        <v>0</v>
      </c>
      <c r="H146" s="8" t="n">
        <v>0</v>
      </c>
      <c r="I146" s="8" t="s">
        <v>1948</v>
      </c>
      <c r="J146" s="8" t="s">
        <v>1959</v>
      </c>
      <c r="K146" s="8" t="s">
        <v>1948</v>
      </c>
      <c r="L146" s="8" t="s">
        <v>1949</v>
      </c>
      <c r="M146" s="28" t="n">
        <f aca="false">'Disease Prediction Model'!$C$9+'Disease Prediction Model'!$C$10*B146+'Disease Prediction Model'!$C$11*C146+'Disease Prediction Model'!$C$12*D146+'Disease Prediction Model'!$C$13*E146+'Disease Prediction Model'!$C$14*F146+'Disease Prediction Model'!$C$15*G146</f>
        <v>0.530822</v>
      </c>
      <c r="N146" s="8" t="str">
        <f aca="false">IF(M146&gt;=0.5,"Yes","No")</f>
        <v>Yes</v>
      </c>
    </row>
    <row r="147" customFormat="false" ht="15" hidden="false" customHeight="false" outlineLevel="0" collapsed="false">
      <c r="A147" s="8" t="s">
        <v>2094</v>
      </c>
      <c r="B147" s="8" t="n">
        <v>41</v>
      </c>
      <c r="C147" s="8" t="n">
        <v>26.4</v>
      </c>
      <c r="D147" s="8" t="n">
        <v>136</v>
      </c>
      <c r="E147" s="8" t="n">
        <v>100</v>
      </c>
      <c r="F147" s="8" t="n">
        <v>0</v>
      </c>
      <c r="G147" s="8" t="n">
        <v>0</v>
      </c>
      <c r="H147" s="8" t="n">
        <v>0</v>
      </c>
      <c r="I147" s="8" t="s">
        <v>1948</v>
      </c>
      <c r="J147" s="8" t="s">
        <v>1959</v>
      </c>
      <c r="K147" s="8" t="s">
        <v>1948</v>
      </c>
      <c r="L147" s="8" t="s">
        <v>1949</v>
      </c>
      <c r="M147" s="28" t="n">
        <f aca="false">'Disease Prediction Model'!$C$9+'Disease Prediction Model'!$C$10*B147+'Disease Prediction Model'!$C$11*C147+'Disease Prediction Model'!$C$12*D147+'Disease Prediction Model'!$C$13*E147+'Disease Prediction Model'!$C$14*F147+'Disease Prediction Model'!$C$15*G147</f>
        <v>0.348686</v>
      </c>
      <c r="N147" s="8" t="str">
        <f aca="false">IF(M147&gt;=0.5,"Yes","No")</f>
        <v>No</v>
      </c>
    </row>
    <row r="148" customFormat="false" ht="15" hidden="false" customHeight="false" outlineLevel="0" collapsed="false">
      <c r="A148" s="8" t="s">
        <v>2095</v>
      </c>
      <c r="B148" s="8" t="n">
        <v>63</v>
      </c>
      <c r="C148" s="8" t="n">
        <v>16</v>
      </c>
      <c r="D148" s="8" t="n">
        <v>113</v>
      </c>
      <c r="E148" s="8" t="n">
        <v>73</v>
      </c>
      <c r="F148" s="8" t="n">
        <v>0</v>
      </c>
      <c r="G148" s="8" t="n">
        <v>0</v>
      </c>
      <c r="H148" s="8" t="n">
        <v>0</v>
      </c>
      <c r="I148" s="8" t="s">
        <v>1948</v>
      </c>
      <c r="J148" s="8" t="s">
        <v>1959</v>
      </c>
      <c r="K148" s="8" t="s">
        <v>1948</v>
      </c>
      <c r="L148" s="8" t="s">
        <v>1949</v>
      </c>
      <c r="M148" s="28" t="n">
        <f aca="false">'Disease Prediction Model'!$C$9+'Disease Prediction Model'!$C$10*B148+'Disease Prediction Model'!$C$11*C148+'Disease Prediction Model'!$C$12*D148+'Disease Prediction Model'!$C$13*E148+'Disease Prediction Model'!$C$14*F148+'Disease Prediction Model'!$C$15*G148</f>
        <v>-0.0378900000000002</v>
      </c>
      <c r="N148" s="8" t="str">
        <f aca="false">IF(M148&gt;=0.5,"Yes","No")</f>
        <v>No</v>
      </c>
    </row>
    <row r="149" customFormat="false" ht="15" hidden="false" customHeight="false" outlineLevel="0" collapsed="false">
      <c r="A149" s="8" t="s">
        <v>2096</v>
      </c>
      <c r="B149" s="8" t="n">
        <v>25</v>
      </c>
      <c r="C149" s="8" t="n">
        <v>24.6</v>
      </c>
      <c r="D149" s="8" t="n">
        <v>127</v>
      </c>
      <c r="E149" s="8" t="n">
        <v>94</v>
      </c>
      <c r="F149" s="8" t="n">
        <v>0</v>
      </c>
      <c r="G149" s="8" t="n">
        <v>0</v>
      </c>
      <c r="H149" s="8" t="n">
        <v>0</v>
      </c>
      <c r="I149" s="8" t="s">
        <v>1948</v>
      </c>
      <c r="J149" s="8" t="s">
        <v>1959</v>
      </c>
      <c r="K149" s="8" t="s">
        <v>1948</v>
      </c>
      <c r="L149" s="8" t="s">
        <v>1949</v>
      </c>
      <c r="M149" s="28" t="n">
        <f aca="false">'Disease Prediction Model'!$C$9+'Disease Prediction Model'!$C$10*B149+'Disease Prediction Model'!$C$11*C149+'Disease Prediction Model'!$C$12*D149+'Disease Prediction Model'!$C$13*E149+'Disease Prediction Model'!$C$14*F149+'Disease Prediction Model'!$C$15*G149</f>
        <v>0.193684</v>
      </c>
      <c r="N149" s="8" t="str">
        <f aca="false">IF(M149&gt;=0.5,"Yes","No")</f>
        <v>No</v>
      </c>
    </row>
    <row r="150" customFormat="false" ht="15" hidden="false" customHeight="false" outlineLevel="0" collapsed="false">
      <c r="A150" s="8" t="s">
        <v>2097</v>
      </c>
      <c r="B150" s="8" t="n">
        <v>65</v>
      </c>
      <c r="C150" s="8" t="n">
        <v>22.8</v>
      </c>
      <c r="D150" s="8" t="n">
        <v>90</v>
      </c>
      <c r="E150" s="8" t="n">
        <v>93</v>
      </c>
      <c r="F150" s="8" t="n">
        <v>1</v>
      </c>
      <c r="G150" s="8" t="n">
        <v>1</v>
      </c>
      <c r="H150" s="8" t="n">
        <v>0</v>
      </c>
      <c r="I150" s="8" t="s">
        <v>1954</v>
      </c>
      <c r="J150" s="8" t="s">
        <v>1405</v>
      </c>
      <c r="K150" s="8" t="s">
        <v>1948</v>
      </c>
      <c r="L150" s="8" t="s">
        <v>1949</v>
      </c>
      <c r="M150" s="28" t="n">
        <f aca="false">'Disease Prediction Model'!$C$9+'Disease Prediction Model'!$C$10*B150+'Disease Prediction Model'!$C$11*C150+'Disease Prediction Model'!$C$12*D150+'Disease Prediction Model'!$C$13*E150+'Disease Prediction Model'!$C$14*F150+'Disease Prediction Model'!$C$15*G150</f>
        <v>0.179642</v>
      </c>
      <c r="N150" s="8" t="str">
        <f aca="false">IF(M150&gt;=0.5,"Yes","No")</f>
        <v>No</v>
      </c>
    </row>
    <row r="151" customFormat="false" ht="15" hidden="false" customHeight="false" outlineLevel="0" collapsed="false">
      <c r="A151" s="8" t="s">
        <v>2098</v>
      </c>
      <c r="B151" s="8" t="n">
        <v>47</v>
      </c>
      <c r="C151" s="8" t="n">
        <v>28.6</v>
      </c>
      <c r="D151" s="8" t="n">
        <v>124</v>
      </c>
      <c r="E151" s="8" t="n">
        <v>118</v>
      </c>
      <c r="F151" s="8" t="n">
        <v>0</v>
      </c>
      <c r="G151" s="8" t="n">
        <v>1</v>
      </c>
      <c r="H151" s="8" t="n">
        <v>0</v>
      </c>
      <c r="I151" s="8" t="s">
        <v>1948</v>
      </c>
      <c r="J151" s="8" t="s">
        <v>1405</v>
      </c>
      <c r="K151" s="8" t="s">
        <v>1948</v>
      </c>
      <c r="L151" s="8" t="s">
        <v>1949</v>
      </c>
      <c r="M151" s="28" t="n">
        <f aca="false">'Disease Prediction Model'!$C$9+'Disease Prediction Model'!$C$10*B151+'Disease Prediction Model'!$C$11*C151+'Disease Prediction Model'!$C$12*D151+'Disease Prediction Model'!$C$13*E151+'Disease Prediction Model'!$C$14*F151+'Disease Prediction Model'!$C$15*G151</f>
        <v>0.414124</v>
      </c>
      <c r="N151" s="8" t="str">
        <f aca="false">IF(M151&gt;=0.5,"Yes","No")</f>
        <v>No</v>
      </c>
    </row>
    <row r="152" customFormat="false" ht="15" hidden="false" customHeight="false" outlineLevel="0" collapsed="false">
      <c r="A152" s="8" t="s">
        <v>2099</v>
      </c>
      <c r="B152" s="8" t="n">
        <v>25</v>
      </c>
      <c r="C152" s="8" t="n">
        <v>29.5</v>
      </c>
      <c r="D152" s="8" t="n">
        <v>145</v>
      </c>
      <c r="E152" s="8" t="n">
        <v>98</v>
      </c>
      <c r="F152" s="8" t="n">
        <v>0</v>
      </c>
      <c r="G152" s="8" t="n">
        <v>2</v>
      </c>
      <c r="H152" s="8" t="n">
        <v>0</v>
      </c>
      <c r="I152" s="8" t="s">
        <v>1948</v>
      </c>
      <c r="J152" s="8" t="s">
        <v>1951</v>
      </c>
      <c r="K152" s="8" t="s">
        <v>1948</v>
      </c>
      <c r="L152" s="8" t="s">
        <v>1949</v>
      </c>
      <c r="M152" s="28" t="n">
        <f aca="false">'Disease Prediction Model'!$C$9+'Disease Prediction Model'!$C$10*B152+'Disease Prediction Model'!$C$11*C152+'Disease Prediction Model'!$C$12*D152+'Disease Prediction Model'!$C$13*E152+'Disease Prediction Model'!$C$14*F152+'Disease Prediction Model'!$C$15*G152</f>
        <v>0.149255</v>
      </c>
      <c r="N152" s="8" t="str">
        <f aca="false">IF(M152&gt;=0.5,"Yes","No")</f>
        <v>No</v>
      </c>
    </row>
    <row r="153" customFormat="false" ht="15" hidden="false" customHeight="false" outlineLevel="0" collapsed="false">
      <c r="A153" s="8" t="s">
        <v>2100</v>
      </c>
      <c r="B153" s="8" t="n">
        <v>21</v>
      </c>
      <c r="C153" s="8" t="n">
        <v>21</v>
      </c>
      <c r="D153" s="8" t="n">
        <v>105</v>
      </c>
      <c r="E153" s="8" t="n">
        <v>125</v>
      </c>
      <c r="F153" s="8" t="n">
        <v>0</v>
      </c>
      <c r="G153" s="8" t="n">
        <v>1</v>
      </c>
      <c r="H153" s="8" t="n">
        <v>0</v>
      </c>
      <c r="I153" s="8" t="s">
        <v>1948</v>
      </c>
      <c r="J153" s="8" t="s">
        <v>1405</v>
      </c>
      <c r="K153" s="8" t="s">
        <v>1948</v>
      </c>
      <c r="L153" s="8" t="s">
        <v>1949</v>
      </c>
      <c r="M153" s="28" t="n">
        <f aca="false">'Disease Prediction Model'!$C$9+'Disease Prediction Model'!$C$10*B153+'Disease Prediction Model'!$C$11*C153+'Disease Prediction Model'!$C$12*D153+'Disease Prediction Model'!$C$13*E153+'Disease Prediction Model'!$C$14*F153+'Disease Prediction Model'!$C$15*G153</f>
        <v>0.24844</v>
      </c>
      <c r="N153" s="8" t="str">
        <f aca="false">IF(M153&gt;=0.5,"Yes","No")</f>
        <v>No</v>
      </c>
    </row>
    <row r="154" customFormat="false" ht="15" hidden="false" customHeight="false" outlineLevel="0" collapsed="false">
      <c r="A154" s="8" t="s">
        <v>2101</v>
      </c>
      <c r="B154" s="8" t="n">
        <v>59</v>
      </c>
      <c r="C154" s="8" t="n">
        <v>33</v>
      </c>
      <c r="D154" s="8" t="n">
        <v>112</v>
      </c>
      <c r="E154" s="8" t="n">
        <v>93</v>
      </c>
      <c r="F154" s="8" t="n">
        <v>0</v>
      </c>
      <c r="G154" s="8" t="n">
        <v>0</v>
      </c>
      <c r="H154" s="8" t="n">
        <v>0</v>
      </c>
      <c r="I154" s="8" t="s">
        <v>1948</v>
      </c>
      <c r="J154" s="8" t="s">
        <v>1959</v>
      </c>
      <c r="K154" s="8" t="s">
        <v>1948</v>
      </c>
      <c r="L154" s="8" t="s">
        <v>1949</v>
      </c>
      <c r="M154" s="28" t="n">
        <f aca="false">'Disease Prediction Model'!$C$9+'Disease Prediction Model'!$C$10*B154+'Disease Prediction Model'!$C$11*C154+'Disease Prediction Model'!$C$12*D154+'Disease Prediction Model'!$C$13*E154+'Disease Prediction Model'!$C$14*F154+'Disease Prediction Model'!$C$15*G154</f>
        <v>0.32568</v>
      </c>
      <c r="N154" s="8" t="str">
        <f aca="false">IF(M154&gt;=0.5,"Yes","No")</f>
        <v>No</v>
      </c>
    </row>
    <row r="155" customFormat="false" ht="15" hidden="false" customHeight="false" outlineLevel="0" collapsed="false">
      <c r="A155" s="8" t="s">
        <v>2102</v>
      </c>
      <c r="B155" s="8" t="n">
        <v>32</v>
      </c>
      <c r="C155" s="8" t="n">
        <v>27.9</v>
      </c>
      <c r="D155" s="8" t="n">
        <v>118</v>
      </c>
      <c r="E155" s="8" t="n">
        <v>98</v>
      </c>
      <c r="F155" s="8" t="n">
        <v>0</v>
      </c>
      <c r="G155" s="8" t="n">
        <v>1</v>
      </c>
      <c r="H155" s="8" t="n">
        <v>0</v>
      </c>
      <c r="I155" s="8" t="s">
        <v>1948</v>
      </c>
      <c r="J155" s="8" t="s">
        <v>1405</v>
      </c>
      <c r="K155" s="8" t="s">
        <v>1948</v>
      </c>
      <c r="L155" s="8" t="s">
        <v>1949</v>
      </c>
      <c r="M155" s="28" t="n">
        <f aca="false">'Disease Prediction Model'!$C$9+'Disease Prediction Model'!$C$10*B155+'Disease Prediction Model'!$C$11*C155+'Disease Prediction Model'!$C$12*D155+'Disease Prediction Model'!$C$13*E155+'Disease Prediction Model'!$C$14*F155+'Disease Prediction Model'!$C$15*G155</f>
        <v>0.155671</v>
      </c>
      <c r="N155" s="8" t="str">
        <f aca="false">IF(M155&gt;=0.5,"Yes","No")</f>
        <v>No</v>
      </c>
    </row>
    <row r="156" customFormat="false" ht="15" hidden="false" customHeight="false" outlineLevel="0" collapsed="false">
      <c r="A156" s="8" t="s">
        <v>2103</v>
      </c>
      <c r="B156" s="8" t="n">
        <v>41</v>
      </c>
      <c r="C156" s="8" t="n">
        <v>26.5</v>
      </c>
      <c r="D156" s="8" t="n">
        <v>95</v>
      </c>
      <c r="E156" s="8" t="n">
        <v>77</v>
      </c>
      <c r="F156" s="8" t="n">
        <v>0</v>
      </c>
      <c r="G156" s="8" t="n">
        <v>0</v>
      </c>
      <c r="H156" s="8" t="n">
        <v>0</v>
      </c>
      <c r="I156" s="8" t="s">
        <v>1948</v>
      </c>
      <c r="J156" s="8" t="s">
        <v>1959</v>
      </c>
      <c r="K156" s="8" t="s">
        <v>1948</v>
      </c>
      <c r="L156" s="8" t="s">
        <v>1949</v>
      </c>
      <c r="M156" s="28" t="n">
        <f aca="false">'Disease Prediction Model'!$C$9+'Disease Prediction Model'!$C$10*B156+'Disease Prediction Model'!$C$11*C156+'Disease Prediction Model'!$C$12*D156+'Disease Prediction Model'!$C$13*E156+'Disease Prediction Model'!$C$14*F156+'Disease Prediction Model'!$C$15*G156</f>
        <v>-0.00993499999999992</v>
      </c>
      <c r="N156" s="8" t="str">
        <f aca="false">IF(M156&gt;=0.5,"Yes","No")</f>
        <v>No</v>
      </c>
    </row>
    <row r="157" customFormat="false" ht="15" hidden="false" customHeight="false" outlineLevel="0" collapsed="false">
      <c r="A157" s="8" t="s">
        <v>2104</v>
      </c>
      <c r="B157" s="8" t="n">
        <v>57</v>
      </c>
      <c r="C157" s="8" t="n">
        <v>28.1</v>
      </c>
      <c r="D157" s="8" t="n">
        <v>102</v>
      </c>
      <c r="E157" s="8" t="n">
        <v>119</v>
      </c>
      <c r="F157" s="8" t="n">
        <v>0</v>
      </c>
      <c r="G157" s="8" t="n">
        <v>0</v>
      </c>
      <c r="H157" s="8" t="n">
        <v>1</v>
      </c>
      <c r="I157" s="8" t="s">
        <v>1948</v>
      </c>
      <c r="J157" s="8" t="s">
        <v>1959</v>
      </c>
      <c r="K157" s="8" t="s">
        <v>1954</v>
      </c>
      <c r="L157" s="8" t="s">
        <v>1949</v>
      </c>
      <c r="M157" s="28" t="n">
        <f aca="false">'Disease Prediction Model'!$C$9+'Disease Prediction Model'!$C$10*B157+'Disease Prediction Model'!$C$11*C157+'Disease Prediction Model'!$C$12*D157+'Disease Prediction Model'!$C$13*E157+'Disease Prediction Model'!$C$14*F157+'Disease Prediction Model'!$C$15*G157</f>
        <v>0.468989</v>
      </c>
      <c r="N157" s="8" t="str">
        <f aca="false">IF(M157&gt;=0.5,"Yes","No")</f>
        <v>No</v>
      </c>
    </row>
    <row r="158" customFormat="false" ht="15" hidden="false" customHeight="false" outlineLevel="0" collapsed="false">
      <c r="A158" s="8" t="s">
        <v>2105</v>
      </c>
      <c r="B158" s="8" t="n">
        <v>35</v>
      </c>
      <c r="C158" s="8" t="n">
        <v>22.7</v>
      </c>
      <c r="D158" s="8" t="n">
        <v>131</v>
      </c>
      <c r="E158" s="8" t="n">
        <v>107</v>
      </c>
      <c r="F158" s="8" t="n">
        <v>0</v>
      </c>
      <c r="G158" s="8" t="n">
        <v>1</v>
      </c>
      <c r="H158" s="8" t="n">
        <v>0</v>
      </c>
      <c r="I158" s="8" t="s">
        <v>1948</v>
      </c>
      <c r="J158" s="8" t="s">
        <v>1405</v>
      </c>
      <c r="K158" s="8" t="s">
        <v>1948</v>
      </c>
      <c r="L158" s="8" t="s">
        <v>1949</v>
      </c>
      <c r="M158" s="28" t="n">
        <f aca="false">'Disease Prediction Model'!$C$9+'Disease Prediction Model'!$C$10*B158+'Disease Prediction Model'!$C$11*C158+'Disease Prediction Model'!$C$12*D158+'Disease Prediction Model'!$C$13*E158+'Disease Prediction Model'!$C$14*F158+'Disease Prediction Model'!$C$15*G158</f>
        <v>0.235083</v>
      </c>
      <c r="N158" s="8" t="str">
        <f aca="false">IF(M158&gt;=0.5,"Yes","No")</f>
        <v>No</v>
      </c>
    </row>
    <row r="159" customFormat="false" ht="15" hidden="false" customHeight="false" outlineLevel="0" collapsed="false">
      <c r="A159" s="8" t="s">
        <v>2106</v>
      </c>
      <c r="B159" s="8" t="n">
        <v>66</v>
      </c>
      <c r="C159" s="8" t="n">
        <v>28.5</v>
      </c>
      <c r="D159" s="8" t="n">
        <v>146</v>
      </c>
      <c r="E159" s="8" t="n">
        <v>144</v>
      </c>
      <c r="F159" s="8" t="n">
        <v>0</v>
      </c>
      <c r="G159" s="8" t="n">
        <v>1</v>
      </c>
      <c r="H159" s="8" t="n">
        <v>1</v>
      </c>
      <c r="I159" s="8" t="s">
        <v>1948</v>
      </c>
      <c r="J159" s="8" t="s">
        <v>1405</v>
      </c>
      <c r="K159" s="8" t="s">
        <v>1954</v>
      </c>
      <c r="L159" s="8" t="s">
        <v>1949</v>
      </c>
      <c r="M159" s="28" t="n">
        <f aca="false">'Disease Prediction Model'!$C$9+'Disease Prediction Model'!$C$10*B159+'Disease Prediction Model'!$C$11*C159+'Disease Prediction Model'!$C$12*D159+'Disease Prediction Model'!$C$13*E159+'Disease Prediction Model'!$C$14*F159+'Disease Prediction Model'!$C$15*G159</f>
        <v>0.787985</v>
      </c>
      <c r="N159" s="8" t="str">
        <f aca="false">IF(M159&gt;=0.5,"Yes","No")</f>
        <v>Yes</v>
      </c>
    </row>
    <row r="160" customFormat="false" ht="15" hidden="false" customHeight="false" outlineLevel="0" collapsed="false">
      <c r="A160" s="8" t="s">
        <v>2107</v>
      </c>
      <c r="B160" s="8" t="n">
        <v>24</v>
      </c>
      <c r="C160" s="8" t="n">
        <v>25</v>
      </c>
      <c r="D160" s="8" t="n">
        <v>121</v>
      </c>
      <c r="E160" s="8" t="n">
        <v>104</v>
      </c>
      <c r="F160" s="8" t="n">
        <v>0</v>
      </c>
      <c r="G160" s="8" t="n">
        <v>2</v>
      </c>
      <c r="H160" s="8" t="n">
        <v>0</v>
      </c>
      <c r="I160" s="8" t="s">
        <v>1948</v>
      </c>
      <c r="J160" s="8" t="s">
        <v>1951</v>
      </c>
      <c r="K160" s="8" t="s">
        <v>1948</v>
      </c>
      <c r="L160" s="8" t="s">
        <v>1949</v>
      </c>
      <c r="M160" s="28" t="n">
        <f aca="false">'Disease Prediction Model'!$C$9+'Disease Prediction Model'!$C$10*B160+'Disease Prediction Model'!$C$11*C160+'Disease Prediction Model'!$C$12*D160+'Disease Prediction Model'!$C$13*E160+'Disease Prediction Model'!$C$14*F160+'Disease Prediction Model'!$C$15*G160</f>
        <v>0.0647199999999999</v>
      </c>
      <c r="N160" s="8" t="str">
        <f aca="false">IF(M160&gt;=0.5,"Yes","No")</f>
        <v>No</v>
      </c>
    </row>
    <row r="161" customFormat="false" ht="15" hidden="false" customHeight="false" outlineLevel="0" collapsed="false">
      <c r="A161" s="8" t="s">
        <v>2108</v>
      </c>
      <c r="B161" s="8" t="n">
        <v>62</v>
      </c>
      <c r="C161" s="8" t="n">
        <v>27.4</v>
      </c>
      <c r="D161" s="8" t="n">
        <v>114</v>
      </c>
      <c r="E161" s="8" t="n">
        <v>94</v>
      </c>
      <c r="F161" s="8" t="n">
        <v>1</v>
      </c>
      <c r="G161" s="8" t="n">
        <v>1</v>
      </c>
      <c r="H161" s="8" t="n">
        <v>0</v>
      </c>
      <c r="I161" s="8" t="s">
        <v>1954</v>
      </c>
      <c r="J161" s="8" t="s">
        <v>1405</v>
      </c>
      <c r="K161" s="8" t="s">
        <v>1948</v>
      </c>
      <c r="L161" s="8" t="s">
        <v>1949</v>
      </c>
      <c r="M161" s="28" t="n">
        <f aca="false">'Disease Prediction Model'!$C$9+'Disease Prediction Model'!$C$10*B161+'Disease Prediction Model'!$C$11*C161+'Disease Prediction Model'!$C$12*D161+'Disease Prediction Model'!$C$13*E161+'Disease Prediction Model'!$C$14*F161+'Disease Prediction Model'!$C$15*G161</f>
        <v>0.318456</v>
      </c>
      <c r="N161" s="8" t="str">
        <f aca="false">IF(M161&gt;=0.5,"Yes","No")</f>
        <v>No</v>
      </c>
    </row>
    <row r="162" customFormat="false" ht="15" hidden="false" customHeight="false" outlineLevel="0" collapsed="false">
      <c r="A162" s="8" t="s">
        <v>2109</v>
      </c>
      <c r="B162" s="8" t="n">
        <v>27</v>
      </c>
      <c r="C162" s="8" t="n">
        <v>40.1</v>
      </c>
      <c r="D162" s="8" t="n">
        <v>120</v>
      </c>
      <c r="E162" s="8" t="n">
        <v>123</v>
      </c>
      <c r="F162" s="8" t="n">
        <v>0</v>
      </c>
      <c r="G162" s="8" t="n">
        <v>0</v>
      </c>
      <c r="H162" s="8" t="n">
        <v>1</v>
      </c>
      <c r="I162" s="8" t="s">
        <v>1948</v>
      </c>
      <c r="J162" s="8" t="s">
        <v>1959</v>
      </c>
      <c r="K162" s="8" t="s">
        <v>1954</v>
      </c>
      <c r="L162" s="8" t="s">
        <v>1949</v>
      </c>
      <c r="M162" s="28" t="n">
        <f aca="false">'Disease Prediction Model'!$C$9+'Disease Prediction Model'!$C$10*B162+'Disease Prediction Model'!$C$11*C162+'Disease Prediction Model'!$C$12*D162+'Disease Prediction Model'!$C$13*E162+'Disease Prediction Model'!$C$14*F162+'Disease Prediction Model'!$C$15*G162</f>
        <v>0.619549</v>
      </c>
      <c r="N162" s="8" t="str">
        <f aca="false">IF(M162&gt;=0.5,"Yes","No")</f>
        <v>Yes</v>
      </c>
    </row>
    <row r="163" customFormat="false" ht="15" hidden="false" customHeight="false" outlineLevel="0" collapsed="false">
      <c r="A163" s="8" t="s">
        <v>2110</v>
      </c>
      <c r="B163" s="8" t="n">
        <v>47</v>
      </c>
      <c r="C163" s="8" t="n">
        <v>23.2</v>
      </c>
      <c r="D163" s="8" t="n">
        <v>130</v>
      </c>
      <c r="E163" s="8" t="n">
        <v>93</v>
      </c>
      <c r="F163" s="8" t="n">
        <v>0</v>
      </c>
      <c r="G163" s="8" t="n">
        <v>1</v>
      </c>
      <c r="H163" s="8" t="n">
        <v>0</v>
      </c>
      <c r="I163" s="8" t="s">
        <v>1948</v>
      </c>
      <c r="J163" s="8" t="s">
        <v>1405</v>
      </c>
      <c r="K163" s="8" t="s">
        <v>1948</v>
      </c>
      <c r="L163" s="8" t="s">
        <v>1949</v>
      </c>
      <c r="M163" s="28" t="n">
        <f aca="false">'Disease Prediction Model'!$C$9+'Disease Prediction Model'!$C$10*B163+'Disease Prediction Model'!$C$11*C163+'Disease Prediction Model'!$C$12*D163+'Disease Prediction Model'!$C$13*E163+'Disease Prediction Model'!$C$14*F163+'Disease Prediction Model'!$C$15*G163</f>
        <v>0.142598</v>
      </c>
      <c r="N163" s="8" t="str">
        <f aca="false">IF(M163&gt;=0.5,"Yes","No")</f>
        <v>No</v>
      </c>
    </row>
    <row r="164" customFormat="false" ht="15" hidden="false" customHeight="false" outlineLevel="0" collapsed="false">
      <c r="A164" s="8" t="s">
        <v>2111</v>
      </c>
      <c r="B164" s="8" t="n">
        <v>62</v>
      </c>
      <c r="C164" s="8" t="n">
        <v>30.8</v>
      </c>
      <c r="D164" s="8" t="n">
        <v>129</v>
      </c>
      <c r="E164" s="8" t="n">
        <v>70</v>
      </c>
      <c r="F164" s="8" t="n">
        <v>0</v>
      </c>
      <c r="G164" s="8" t="n">
        <v>1</v>
      </c>
      <c r="H164" s="8" t="n">
        <v>0</v>
      </c>
      <c r="I164" s="8" t="s">
        <v>1948</v>
      </c>
      <c r="J164" s="8" t="s">
        <v>1405</v>
      </c>
      <c r="K164" s="8" t="s">
        <v>1948</v>
      </c>
      <c r="L164" s="8" t="s">
        <v>1949</v>
      </c>
      <c r="M164" s="28" t="n">
        <f aca="false">'Disease Prediction Model'!$C$9+'Disease Prediction Model'!$C$10*B164+'Disease Prediction Model'!$C$11*C164+'Disease Prediction Model'!$C$12*D164+'Disease Prediction Model'!$C$13*E164+'Disease Prediction Model'!$C$14*F164+'Disease Prediction Model'!$C$15*G164</f>
        <v>0.0564019999999998</v>
      </c>
      <c r="N164" s="8" t="str">
        <f aca="false">IF(M164&gt;=0.5,"Yes","No")</f>
        <v>No</v>
      </c>
    </row>
    <row r="165" customFormat="false" ht="15" hidden="false" customHeight="false" outlineLevel="0" collapsed="false">
      <c r="A165" s="8" t="s">
        <v>2112</v>
      </c>
      <c r="B165" s="8" t="n">
        <v>50</v>
      </c>
      <c r="C165" s="8" t="n">
        <v>25.6</v>
      </c>
      <c r="D165" s="8" t="n">
        <v>142</v>
      </c>
      <c r="E165" s="8" t="n">
        <v>121</v>
      </c>
      <c r="F165" s="8" t="n">
        <v>0</v>
      </c>
      <c r="G165" s="8" t="n">
        <v>0</v>
      </c>
      <c r="H165" s="8" t="n">
        <v>1</v>
      </c>
      <c r="I165" s="8" t="s">
        <v>1948</v>
      </c>
      <c r="J165" s="8" t="s">
        <v>1959</v>
      </c>
      <c r="K165" s="8" t="s">
        <v>1954</v>
      </c>
      <c r="L165" s="8" t="s">
        <v>1949</v>
      </c>
      <c r="M165" s="28" t="n">
        <f aca="false">'Disease Prediction Model'!$C$9+'Disease Prediction Model'!$C$10*B165+'Disease Prediction Model'!$C$11*C165+'Disease Prediction Model'!$C$12*D165+'Disease Prediction Model'!$C$13*E165+'Disease Prediction Model'!$C$14*F165+'Disease Prediction Model'!$C$15*G165</f>
        <v>0.581794</v>
      </c>
      <c r="N165" s="8" t="str">
        <f aca="false">IF(M165&gt;=0.5,"Yes","No")</f>
        <v>Yes</v>
      </c>
    </row>
    <row r="166" customFormat="false" ht="15" hidden="false" customHeight="false" outlineLevel="0" collapsed="false">
      <c r="A166" s="8" t="s">
        <v>2113</v>
      </c>
      <c r="B166" s="8" t="n">
        <v>43</v>
      </c>
      <c r="C166" s="8" t="n">
        <v>16.3</v>
      </c>
      <c r="D166" s="8" t="n">
        <v>127</v>
      </c>
      <c r="E166" s="8" t="n">
        <v>141</v>
      </c>
      <c r="F166" s="8" t="n">
        <v>1</v>
      </c>
      <c r="G166" s="8" t="n">
        <v>0</v>
      </c>
      <c r="H166" s="8" t="n">
        <v>1</v>
      </c>
      <c r="I166" s="8" t="s">
        <v>1954</v>
      </c>
      <c r="J166" s="8" t="s">
        <v>1959</v>
      </c>
      <c r="K166" s="8" t="s">
        <v>1954</v>
      </c>
      <c r="L166" s="8" t="s">
        <v>1949</v>
      </c>
      <c r="M166" s="28" t="n">
        <f aca="false">'Disease Prediction Model'!$C$9+'Disease Prediction Model'!$C$10*B166+'Disease Prediction Model'!$C$11*C166+'Disease Prediction Model'!$C$12*D166+'Disease Prediction Model'!$C$13*E166+'Disease Prediction Model'!$C$14*F166+'Disease Prediction Model'!$C$15*G166</f>
        <v>0.719167</v>
      </c>
      <c r="N166" s="8" t="str">
        <f aca="false">IF(M166&gt;=0.5,"Yes","No")</f>
        <v>Yes</v>
      </c>
    </row>
    <row r="167" customFormat="false" ht="15" hidden="false" customHeight="false" outlineLevel="0" collapsed="false">
      <c r="A167" s="8" t="s">
        <v>2114</v>
      </c>
      <c r="B167" s="8" t="n">
        <v>18</v>
      </c>
      <c r="C167" s="8" t="n">
        <v>34.8</v>
      </c>
      <c r="D167" s="8" t="n">
        <v>124</v>
      </c>
      <c r="E167" s="8" t="n">
        <v>93</v>
      </c>
      <c r="F167" s="8" t="n">
        <v>0</v>
      </c>
      <c r="G167" s="8" t="n">
        <v>2</v>
      </c>
      <c r="H167" s="8" t="n">
        <v>0</v>
      </c>
      <c r="I167" s="8" t="s">
        <v>1948</v>
      </c>
      <c r="J167" s="8" t="s">
        <v>1951</v>
      </c>
      <c r="K167" s="8" t="s">
        <v>1948</v>
      </c>
      <c r="L167" s="8" t="s">
        <v>1949</v>
      </c>
      <c r="M167" s="28" t="n">
        <f aca="false">'Disease Prediction Model'!$C$9+'Disease Prediction Model'!$C$10*B167+'Disease Prediction Model'!$C$11*C167+'Disease Prediction Model'!$C$12*D167+'Disease Prediction Model'!$C$13*E167+'Disease Prediction Model'!$C$14*F167+'Disease Prediction Model'!$C$15*G167</f>
        <v>0.0677019999999998</v>
      </c>
      <c r="N167" s="8" t="str">
        <f aca="false">IF(M167&gt;=0.5,"Yes","No")</f>
        <v>No</v>
      </c>
    </row>
    <row r="168" customFormat="false" ht="15" hidden="false" customHeight="false" outlineLevel="0" collapsed="false">
      <c r="A168" s="8" t="s">
        <v>2115</v>
      </c>
      <c r="B168" s="8" t="n">
        <v>62</v>
      </c>
      <c r="C168" s="8" t="n">
        <v>26.1</v>
      </c>
      <c r="D168" s="8" t="n">
        <v>109</v>
      </c>
      <c r="E168" s="8" t="n">
        <v>135</v>
      </c>
      <c r="F168" s="8" t="n">
        <v>0</v>
      </c>
      <c r="G168" s="8" t="n">
        <v>0</v>
      </c>
      <c r="H168" s="8" t="n">
        <v>1</v>
      </c>
      <c r="I168" s="8" t="s">
        <v>1948</v>
      </c>
      <c r="J168" s="8" t="s">
        <v>1959</v>
      </c>
      <c r="K168" s="8" t="s">
        <v>1954</v>
      </c>
      <c r="L168" s="8" t="s">
        <v>1949</v>
      </c>
      <c r="M168" s="28" t="n">
        <f aca="false">'Disease Prediction Model'!$C$9+'Disease Prediction Model'!$C$10*B168+'Disease Prediction Model'!$C$11*C168+'Disease Prediction Model'!$C$12*D168+'Disease Prediction Model'!$C$13*E168+'Disease Prediction Model'!$C$14*F168+'Disease Prediction Model'!$C$15*G168</f>
        <v>0.634029</v>
      </c>
      <c r="N168" s="8" t="str">
        <f aca="false">IF(M168&gt;=0.5,"Yes","No")</f>
        <v>Yes</v>
      </c>
    </row>
    <row r="169" customFormat="false" ht="15" hidden="false" customHeight="false" outlineLevel="0" collapsed="false">
      <c r="A169" s="8" t="s">
        <v>2116</v>
      </c>
      <c r="B169" s="8" t="n">
        <v>48</v>
      </c>
      <c r="C169" s="8" t="n">
        <v>29.8</v>
      </c>
      <c r="D169" s="8" t="n">
        <v>135</v>
      </c>
      <c r="E169" s="8" t="n">
        <v>84</v>
      </c>
      <c r="F169" s="8" t="n">
        <v>0</v>
      </c>
      <c r="G169" s="8" t="n">
        <v>2</v>
      </c>
      <c r="H169" s="8" t="n">
        <v>0</v>
      </c>
      <c r="I169" s="8" t="s">
        <v>1948</v>
      </c>
      <c r="J169" s="8" t="s">
        <v>1951</v>
      </c>
      <c r="K169" s="8" t="s">
        <v>1948</v>
      </c>
      <c r="L169" s="8" t="s">
        <v>1949</v>
      </c>
      <c r="M169" s="28" t="n">
        <f aca="false">'Disease Prediction Model'!$C$9+'Disease Prediction Model'!$C$10*B169+'Disease Prediction Model'!$C$11*C169+'Disease Prediction Model'!$C$12*D169+'Disease Prediction Model'!$C$13*E169+'Disease Prediction Model'!$C$14*F169+'Disease Prediction Model'!$C$15*G169</f>
        <v>0.0543920000000001</v>
      </c>
      <c r="N169" s="8" t="str">
        <f aca="false">IF(M169&gt;=0.5,"Yes","No")</f>
        <v>No</v>
      </c>
    </row>
    <row r="170" customFormat="false" ht="15" hidden="false" customHeight="false" outlineLevel="0" collapsed="false">
      <c r="A170" s="8" t="s">
        <v>2117</v>
      </c>
      <c r="B170" s="8" t="n">
        <v>54</v>
      </c>
      <c r="C170" s="8" t="n">
        <v>29.4</v>
      </c>
      <c r="D170" s="8" t="n">
        <v>140</v>
      </c>
      <c r="E170" s="8" t="n">
        <v>113</v>
      </c>
      <c r="F170" s="8" t="n">
        <v>0</v>
      </c>
      <c r="G170" s="8" t="n">
        <v>1</v>
      </c>
      <c r="H170" s="8" t="n">
        <v>1</v>
      </c>
      <c r="I170" s="8" t="s">
        <v>1948</v>
      </c>
      <c r="J170" s="8" t="s">
        <v>1405</v>
      </c>
      <c r="K170" s="8" t="s">
        <v>1954</v>
      </c>
      <c r="L170" s="8" t="s">
        <v>1949</v>
      </c>
      <c r="M170" s="28" t="n">
        <f aca="false">'Disease Prediction Model'!$C$9+'Disease Prediction Model'!$C$10*B170+'Disease Prediction Model'!$C$11*C170+'Disease Prediction Model'!$C$12*D170+'Disease Prediction Model'!$C$13*E170+'Disease Prediction Model'!$C$14*F170+'Disease Prediction Model'!$C$15*G170</f>
        <v>0.454656</v>
      </c>
      <c r="N170" s="8" t="str">
        <f aca="false">IF(M170&gt;=0.5,"Yes","No")</f>
        <v>No</v>
      </c>
    </row>
    <row r="171" customFormat="false" ht="15" hidden="false" customHeight="false" outlineLevel="0" collapsed="false">
      <c r="A171" s="8" t="s">
        <v>2118</v>
      </c>
      <c r="B171" s="8" t="n">
        <v>66</v>
      </c>
      <c r="C171" s="8" t="n">
        <v>31.8</v>
      </c>
      <c r="D171" s="8" t="n">
        <v>140</v>
      </c>
      <c r="E171" s="8" t="n">
        <v>70</v>
      </c>
      <c r="F171" s="8" t="n">
        <v>0</v>
      </c>
      <c r="G171" s="8" t="n">
        <v>0</v>
      </c>
      <c r="H171" s="8" t="n">
        <v>0</v>
      </c>
      <c r="I171" s="8" t="s">
        <v>1948</v>
      </c>
      <c r="J171" s="8" t="s">
        <v>1959</v>
      </c>
      <c r="K171" s="8" t="s">
        <v>1948</v>
      </c>
      <c r="L171" s="8" t="s">
        <v>1949</v>
      </c>
      <c r="M171" s="28" t="n">
        <f aca="false">'Disease Prediction Model'!$C$9+'Disease Prediction Model'!$C$10*B171+'Disease Prediction Model'!$C$11*C171+'Disease Prediction Model'!$C$12*D171+'Disease Prediction Model'!$C$13*E171+'Disease Prediction Model'!$C$14*F171+'Disease Prediction Model'!$C$15*G171</f>
        <v>0.219712</v>
      </c>
      <c r="N171" s="8" t="str">
        <f aca="false">IF(M171&gt;=0.5,"Yes","No")</f>
        <v>No</v>
      </c>
    </row>
    <row r="172" customFormat="false" ht="15" hidden="false" customHeight="false" outlineLevel="0" collapsed="false">
      <c r="A172" s="8" t="s">
        <v>2119</v>
      </c>
      <c r="B172" s="8" t="n">
        <v>48</v>
      </c>
      <c r="C172" s="8" t="n">
        <v>24.4</v>
      </c>
      <c r="D172" s="8" t="n">
        <v>140</v>
      </c>
      <c r="E172" s="8" t="n">
        <v>111</v>
      </c>
      <c r="F172" s="8" t="n">
        <v>0</v>
      </c>
      <c r="G172" s="8" t="n">
        <v>2</v>
      </c>
      <c r="H172" s="8" t="n">
        <v>0</v>
      </c>
      <c r="I172" s="8" t="s">
        <v>1948</v>
      </c>
      <c r="J172" s="8" t="s">
        <v>1951</v>
      </c>
      <c r="K172" s="8" t="s">
        <v>1948</v>
      </c>
      <c r="L172" s="8" t="s">
        <v>1949</v>
      </c>
      <c r="M172" s="28" t="n">
        <f aca="false">'Disease Prediction Model'!$C$9+'Disease Prediction Model'!$C$10*B172+'Disease Prediction Model'!$C$11*C172+'Disease Prediction Model'!$C$12*D172+'Disease Prediction Model'!$C$13*E172+'Disease Prediction Model'!$C$14*F172+'Disease Prediction Model'!$C$15*G172</f>
        <v>0.260806</v>
      </c>
      <c r="N172" s="8" t="str">
        <f aca="false">IF(M172&gt;=0.5,"Yes","No")</f>
        <v>No</v>
      </c>
    </row>
    <row r="173" customFormat="false" ht="15" hidden="false" customHeight="false" outlineLevel="0" collapsed="false">
      <c r="A173" s="8" t="s">
        <v>2120</v>
      </c>
      <c r="B173" s="8" t="n">
        <v>23</v>
      </c>
      <c r="C173" s="8" t="n">
        <v>26.1</v>
      </c>
      <c r="D173" s="8" t="n">
        <v>136</v>
      </c>
      <c r="E173" s="8" t="n">
        <v>99</v>
      </c>
      <c r="F173" s="8" t="n">
        <v>1</v>
      </c>
      <c r="G173" s="8" t="n">
        <v>2</v>
      </c>
      <c r="H173" s="8" t="n">
        <v>0</v>
      </c>
      <c r="I173" s="8" t="s">
        <v>1954</v>
      </c>
      <c r="J173" s="8" t="s">
        <v>1951</v>
      </c>
      <c r="K173" s="8" t="s">
        <v>1948</v>
      </c>
      <c r="L173" s="8" t="s">
        <v>1949</v>
      </c>
      <c r="M173" s="28" t="n">
        <f aca="false">'Disease Prediction Model'!$C$9+'Disease Prediction Model'!$C$10*B173+'Disease Prediction Model'!$C$11*C173+'Disease Prediction Model'!$C$12*D173+'Disease Prediction Model'!$C$13*E173+'Disease Prediction Model'!$C$14*F173+'Disease Prediction Model'!$C$15*G173</f>
        <v>0.213969</v>
      </c>
      <c r="N173" s="8" t="str">
        <f aca="false">IF(M173&gt;=0.5,"Yes","No")</f>
        <v>No</v>
      </c>
    </row>
    <row r="174" customFormat="false" ht="15" hidden="false" customHeight="false" outlineLevel="0" collapsed="false">
      <c r="A174" s="8" t="s">
        <v>2121</v>
      </c>
      <c r="B174" s="8" t="n">
        <v>30</v>
      </c>
      <c r="C174" s="8" t="n">
        <v>24.3</v>
      </c>
      <c r="D174" s="8" t="n">
        <v>130</v>
      </c>
      <c r="E174" s="8" t="n">
        <v>70</v>
      </c>
      <c r="F174" s="8" t="n">
        <v>1</v>
      </c>
      <c r="G174" s="8" t="n">
        <v>1</v>
      </c>
      <c r="H174" s="8" t="n">
        <v>0</v>
      </c>
      <c r="I174" s="8" t="s">
        <v>1954</v>
      </c>
      <c r="J174" s="8" t="s">
        <v>1405</v>
      </c>
      <c r="K174" s="8" t="s">
        <v>1948</v>
      </c>
      <c r="L174" s="8" t="s">
        <v>1949</v>
      </c>
      <c r="M174" s="28" t="n">
        <f aca="false">'Disease Prediction Model'!$C$9+'Disease Prediction Model'!$C$10*B174+'Disease Prediction Model'!$C$11*C174+'Disease Prediction Model'!$C$12*D174+'Disease Prediction Model'!$C$13*E174+'Disease Prediction Model'!$C$14*F174+'Disease Prediction Model'!$C$15*G174</f>
        <v>0.0247469999999999</v>
      </c>
      <c r="N174" s="8" t="str">
        <f aca="false">IF(M174&gt;=0.5,"Yes","No")</f>
        <v>No</v>
      </c>
    </row>
    <row r="175" customFormat="false" ht="15" hidden="false" customHeight="false" outlineLevel="0" collapsed="false">
      <c r="A175" s="8" t="s">
        <v>2122</v>
      </c>
      <c r="B175" s="8" t="n">
        <v>31</v>
      </c>
      <c r="C175" s="8" t="n">
        <v>25.3</v>
      </c>
      <c r="D175" s="8" t="n">
        <v>90</v>
      </c>
      <c r="E175" s="8" t="n">
        <v>113</v>
      </c>
      <c r="F175" s="8" t="n">
        <v>1</v>
      </c>
      <c r="G175" s="8" t="n">
        <v>0</v>
      </c>
      <c r="H175" s="8" t="n">
        <v>0</v>
      </c>
      <c r="I175" s="8" t="s">
        <v>1954</v>
      </c>
      <c r="J175" s="8" t="s">
        <v>1959</v>
      </c>
      <c r="K175" s="8" t="s">
        <v>1948</v>
      </c>
      <c r="L175" s="8" t="s">
        <v>1949</v>
      </c>
      <c r="M175" s="28" t="n">
        <f aca="false">'Disease Prediction Model'!$C$9+'Disease Prediction Model'!$C$10*B175+'Disease Prediction Model'!$C$11*C175+'Disease Prediction Model'!$C$12*D175+'Disease Prediction Model'!$C$13*E175+'Disease Prediction Model'!$C$14*F175+'Disease Prediction Model'!$C$15*G175</f>
        <v>0.394897</v>
      </c>
      <c r="N175" s="8" t="str">
        <f aca="false">IF(M175&gt;=0.5,"Yes","No")</f>
        <v>No</v>
      </c>
    </row>
    <row r="176" customFormat="false" ht="15" hidden="false" customHeight="false" outlineLevel="0" collapsed="false">
      <c r="A176" s="8" t="s">
        <v>2123</v>
      </c>
      <c r="B176" s="8" t="n">
        <v>73</v>
      </c>
      <c r="C176" s="8" t="n">
        <v>30.5</v>
      </c>
      <c r="D176" s="8" t="n">
        <v>132</v>
      </c>
      <c r="E176" s="8" t="n">
        <v>106</v>
      </c>
      <c r="F176" s="8" t="n">
        <v>0</v>
      </c>
      <c r="G176" s="8" t="n">
        <v>1</v>
      </c>
      <c r="H176" s="8" t="n">
        <v>0</v>
      </c>
      <c r="I176" s="8" t="s">
        <v>1948</v>
      </c>
      <c r="J176" s="8" t="s">
        <v>1405</v>
      </c>
      <c r="K176" s="8" t="s">
        <v>1948</v>
      </c>
      <c r="L176" s="8" t="s">
        <v>1949</v>
      </c>
      <c r="M176" s="28" t="n">
        <f aca="false">'Disease Prediction Model'!$C$9+'Disease Prediction Model'!$C$10*B176+'Disease Prediction Model'!$C$11*C176+'Disease Prediction Model'!$C$12*D176+'Disease Prediction Model'!$C$13*E176+'Disease Prediction Model'!$C$14*F176+'Disease Prediction Model'!$C$15*G176</f>
        <v>0.429205</v>
      </c>
      <c r="N176" s="8" t="str">
        <f aca="false">IF(M176&gt;=0.5,"Yes","No")</f>
        <v>No</v>
      </c>
    </row>
    <row r="177" customFormat="false" ht="15" hidden="false" customHeight="false" outlineLevel="0" collapsed="false">
      <c r="A177" s="8" t="s">
        <v>2124</v>
      </c>
      <c r="B177" s="8" t="n">
        <v>57</v>
      </c>
      <c r="C177" s="8" t="n">
        <v>19.1</v>
      </c>
      <c r="D177" s="8" t="n">
        <v>135</v>
      </c>
      <c r="E177" s="8" t="n">
        <v>79</v>
      </c>
      <c r="F177" s="8" t="n">
        <v>0</v>
      </c>
      <c r="G177" s="8" t="n">
        <v>0</v>
      </c>
      <c r="H177" s="8" t="n">
        <v>0</v>
      </c>
      <c r="I177" s="8" t="s">
        <v>1948</v>
      </c>
      <c r="J177" s="8" t="s">
        <v>1959</v>
      </c>
      <c r="K177" s="8" t="s">
        <v>1948</v>
      </c>
      <c r="L177" s="8" t="s">
        <v>1949</v>
      </c>
      <c r="M177" s="28" t="n">
        <f aca="false">'Disease Prediction Model'!$C$9+'Disease Prediction Model'!$C$10*B177+'Disease Prediction Model'!$C$11*C177+'Disease Prediction Model'!$C$12*D177+'Disease Prediction Model'!$C$13*E177+'Disease Prediction Model'!$C$14*F177+'Disease Prediction Model'!$C$15*G177</f>
        <v>0.114219</v>
      </c>
      <c r="N177" s="8" t="str">
        <f aca="false">IF(M177&gt;=0.5,"Yes","No")</f>
        <v>No</v>
      </c>
    </row>
    <row r="178" customFormat="false" ht="15" hidden="false" customHeight="false" outlineLevel="0" collapsed="false">
      <c r="A178" s="8" t="s">
        <v>2125</v>
      </c>
      <c r="B178" s="8" t="n">
        <v>49</v>
      </c>
      <c r="C178" s="8" t="n">
        <v>25.8</v>
      </c>
      <c r="D178" s="8" t="n">
        <v>120</v>
      </c>
      <c r="E178" s="8" t="n">
        <v>95</v>
      </c>
      <c r="F178" s="8" t="n">
        <v>0</v>
      </c>
      <c r="G178" s="8" t="n">
        <v>1</v>
      </c>
      <c r="H178" s="8" t="n">
        <v>0</v>
      </c>
      <c r="I178" s="8" t="s">
        <v>1948</v>
      </c>
      <c r="J178" s="8" t="s">
        <v>1405</v>
      </c>
      <c r="K178" s="8" t="s">
        <v>1948</v>
      </c>
      <c r="L178" s="8" t="s">
        <v>1949</v>
      </c>
      <c r="M178" s="28" t="n">
        <f aca="false">'Disease Prediction Model'!$C$9+'Disease Prediction Model'!$C$10*B178+'Disease Prediction Model'!$C$11*C178+'Disease Prediction Model'!$C$12*D178+'Disease Prediction Model'!$C$13*E178+'Disease Prediction Model'!$C$14*F178+'Disease Prediction Model'!$C$15*G178</f>
        <v>0.160772</v>
      </c>
      <c r="N178" s="8" t="str">
        <f aca="false">IF(M178&gt;=0.5,"Yes","No")</f>
        <v>No</v>
      </c>
    </row>
    <row r="179" customFormat="false" ht="15" hidden="false" customHeight="false" outlineLevel="0" collapsed="false">
      <c r="A179" s="8" t="s">
        <v>2126</v>
      </c>
      <c r="B179" s="8" t="n">
        <v>38</v>
      </c>
      <c r="C179" s="8" t="n">
        <v>36.2</v>
      </c>
      <c r="D179" s="8" t="n">
        <v>125</v>
      </c>
      <c r="E179" s="8" t="n">
        <v>116</v>
      </c>
      <c r="F179" s="8" t="n">
        <v>1</v>
      </c>
      <c r="G179" s="8" t="n">
        <v>0</v>
      </c>
      <c r="H179" s="8" t="n">
        <v>1</v>
      </c>
      <c r="I179" s="8" t="s">
        <v>1954</v>
      </c>
      <c r="J179" s="8" t="s">
        <v>1959</v>
      </c>
      <c r="K179" s="8" t="s">
        <v>1954</v>
      </c>
      <c r="L179" s="8" t="s">
        <v>1949</v>
      </c>
      <c r="M179" s="28" t="n">
        <f aca="false">'Disease Prediction Model'!$C$9+'Disease Prediction Model'!$C$10*B179+'Disease Prediction Model'!$C$11*C179+'Disease Prediction Model'!$C$12*D179+'Disease Prediction Model'!$C$13*E179+'Disease Prediction Model'!$C$14*F179+'Disease Prediction Model'!$C$15*G179</f>
        <v>0.692568</v>
      </c>
      <c r="N179" s="8" t="str">
        <f aca="false">IF(M179&gt;=0.5,"Yes","No")</f>
        <v>Yes</v>
      </c>
    </row>
    <row r="180" customFormat="false" ht="15" hidden="false" customHeight="false" outlineLevel="0" collapsed="false">
      <c r="A180" s="8" t="s">
        <v>2127</v>
      </c>
      <c r="B180" s="8" t="n">
        <v>54</v>
      </c>
      <c r="C180" s="8" t="n">
        <v>27</v>
      </c>
      <c r="D180" s="8" t="n">
        <v>131</v>
      </c>
      <c r="E180" s="8" t="n">
        <v>132</v>
      </c>
      <c r="F180" s="8" t="n">
        <v>0</v>
      </c>
      <c r="G180" s="8" t="n">
        <v>1</v>
      </c>
      <c r="H180" s="8" t="n">
        <v>0</v>
      </c>
      <c r="I180" s="8" t="s">
        <v>1948</v>
      </c>
      <c r="J180" s="8" t="s">
        <v>1405</v>
      </c>
      <c r="K180" s="8" t="s">
        <v>1948</v>
      </c>
      <c r="L180" s="8" t="s">
        <v>1949</v>
      </c>
      <c r="M180" s="28" t="n">
        <f aca="false">'Disease Prediction Model'!$C$9+'Disease Prediction Model'!$C$10*B180+'Disease Prediction Model'!$C$11*C180+'Disease Prediction Model'!$C$12*D180+'Disease Prediction Model'!$C$13*E180+'Disease Prediction Model'!$C$14*F180+'Disease Prediction Model'!$C$15*G180</f>
        <v>0.57104</v>
      </c>
      <c r="N180" s="8" t="str">
        <f aca="false">IF(M180&gt;=0.5,"Yes","No")</f>
        <v>Yes</v>
      </c>
    </row>
    <row r="181" customFormat="false" ht="15" hidden="false" customHeight="false" outlineLevel="0" collapsed="false">
      <c r="A181" s="8" t="s">
        <v>2128</v>
      </c>
      <c r="B181" s="8" t="n">
        <v>66</v>
      </c>
      <c r="C181" s="8" t="n">
        <v>25.9</v>
      </c>
      <c r="D181" s="8" t="n">
        <v>126</v>
      </c>
      <c r="E181" s="8" t="n">
        <v>119</v>
      </c>
      <c r="F181" s="8" t="n">
        <v>1</v>
      </c>
      <c r="G181" s="8" t="n">
        <v>2</v>
      </c>
      <c r="H181" s="8" t="n">
        <v>0</v>
      </c>
      <c r="I181" s="8" t="s">
        <v>1954</v>
      </c>
      <c r="J181" s="8" t="s">
        <v>1951</v>
      </c>
      <c r="K181" s="8" t="s">
        <v>1948</v>
      </c>
      <c r="L181" s="8" t="s">
        <v>1949</v>
      </c>
      <c r="M181" s="28" t="n">
        <f aca="false">'Disease Prediction Model'!$C$9+'Disease Prediction Model'!$C$10*B181+'Disease Prediction Model'!$C$11*C181+'Disease Prediction Model'!$C$12*D181+'Disease Prediction Model'!$C$13*E181+'Disease Prediction Model'!$C$14*F181+'Disease Prediction Model'!$C$15*G181</f>
        <v>0.486651</v>
      </c>
      <c r="N181" s="8" t="str">
        <f aca="false">IF(M181&gt;=0.5,"Yes","No")</f>
        <v>No</v>
      </c>
    </row>
    <row r="182" customFormat="false" ht="15" hidden="false" customHeight="false" outlineLevel="0" collapsed="false">
      <c r="A182" s="8" t="s">
        <v>2129</v>
      </c>
      <c r="B182" s="8" t="n">
        <v>73</v>
      </c>
      <c r="C182" s="8" t="n">
        <v>32.1</v>
      </c>
      <c r="D182" s="8" t="n">
        <v>112</v>
      </c>
      <c r="E182" s="8" t="n">
        <v>70</v>
      </c>
      <c r="F182" s="8" t="n">
        <v>0</v>
      </c>
      <c r="G182" s="8" t="n">
        <v>1</v>
      </c>
      <c r="H182" s="8" t="n">
        <v>0</v>
      </c>
      <c r="I182" s="8" t="s">
        <v>1948</v>
      </c>
      <c r="J182" s="8" t="s">
        <v>1405</v>
      </c>
      <c r="K182" s="8" t="s">
        <v>1948</v>
      </c>
      <c r="L182" s="8" t="s">
        <v>1949</v>
      </c>
      <c r="M182" s="28" t="n">
        <f aca="false">'Disease Prediction Model'!$C$9+'Disease Prediction Model'!$C$10*B182+'Disease Prediction Model'!$C$11*C182+'Disease Prediction Model'!$C$12*D182+'Disease Prediction Model'!$C$13*E182+'Disease Prediction Model'!$C$14*F182+'Disease Prediction Model'!$C$15*G182</f>
        <v>0.0424689999999999</v>
      </c>
      <c r="N182" s="8" t="str">
        <f aca="false">IF(M182&gt;=0.5,"Yes","No")</f>
        <v>No</v>
      </c>
    </row>
    <row r="183" customFormat="false" ht="15" hidden="false" customHeight="false" outlineLevel="0" collapsed="false">
      <c r="A183" s="8" t="s">
        <v>2130</v>
      </c>
      <c r="B183" s="8" t="n">
        <v>54</v>
      </c>
      <c r="C183" s="8" t="n">
        <v>26.9</v>
      </c>
      <c r="D183" s="8" t="n">
        <v>124</v>
      </c>
      <c r="E183" s="8" t="n">
        <v>91</v>
      </c>
      <c r="F183" s="8" t="n">
        <v>0</v>
      </c>
      <c r="G183" s="8" t="n">
        <v>1</v>
      </c>
      <c r="H183" s="8" t="n">
        <v>0</v>
      </c>
      <c r="I183" s="8" t="s">
        <v>1948</v>
      </c>
      <c r="J183" s="8" t="s">
        <v>1405</v>
      </c>
      <c r="K183" s="8" t="s">
        <v>1948</v>
      </c>
      <c r="L183" s="8" t="s">
        <v>1949</v>
      </c>
      <c r="M183" s="28" t="n">
        <f aca="false">'Disease Prediction Model'!$C$9+'Disease Prediction Model'!$C$10*B183+'Disease Prediction Model'!$C$11*C183+'Disease Prediction Model'!$C$12*D183+'Disease Prediction Model'!$C$13*E183+'Disease Prediction Model'!$C$14*F183+'Disease Prediction Model'!$C$15*G183</f>
        <v>0.165181</v>
      </c>
      <c r="N183" s="8" t="str">
        <f aca="false">IF(M183&gt;=0.5,"Yes","No")</f>
        <v>No</v>
      </c>
    </row>
    <row r="184" customFormat="false" ht="15" hidden="false" customHeight="false" outlineLevel="0" collapsed="false">
      <c r="A184" s="8" t="s">
        <v>2131</v>
      </c>
      <c r="B184" s="8" t="n">
        <v>61</v>
      </c>
      <c r="C184" s="8" t="n">
        <v>21.6</v>
      </c>
      <c r="D184" s="8" t="n">
        <v>129</v>
      </c>
      <c r="E184" s="8" t="n">
        <v>102</v>
      </c>
      <c r="F184" s="8" t="n">
        <v>0</v>
      </c>
      <c r="G184" s="8" t="n">
        <v>0</v>
      </c>
      <c r="H184" s="8" t="n">
        <v>1</v>
      </c>
      <c r="I184" s="8" t="s">
        <v>1948</v>
      </c>
      <c r="J184" s="8" t="s">
        <v>1959</v>
      </c>
      <c r="K184" s="8" t="s">
        <v>1954</v>
      </c>
      <c r="L184" s="8" t="s">
        <v>1949</v>
      </c>
      <c r="M184" s="28" t="n">
        <f aca="false">'Disease Prediction Model'!$C$9+'Disease Prediction Model'!$C$10*B184+'Disease Prediction Model'!$C$11*C184+'Disease Prediction Model'!$C$12*D184+'Disease Prediction Model'!$C$13*E184+'Disease Prediction Model'!$C$14*F184+'Disease Prediction Model'!$C$15*G184</f>
        <v>0.345874</v>
      </c>
      <c r="N184" s="8" t="str">
        <f aca="false">IF(M184&gt;=0.5,"Yes","No")</f>
        <v>No</v>
      </c>
    </row>
    <row r="185" customFormat="false" ht="15" hidden="false" customHeight="false" outlineLevel="0" collapsed="false">
      <c r="A185" s="8" t="s">
        <v>2132</v>
      </c>
      <c r="B185" s="8" t="n">
        <v>26</v>
      </c>
      <c r="C185" s="8" t="n">
        <v>22.7</v>
      </c>
      <c r="D185" s="8" t="n">
        <v>118</v>
      </c>
      <c r="E185" s="8" t="n">
        <v>70</v>
      </c>
      <c r="F185" s="8" t="n">
        <v>0</v>
      </c>
      <c r="G185" s="8" t="n">
        <v>2</v>
      </c>
      <c r="H185" s="8" t="n">
        <v>0</v>
      </c>
      <c r="I185" s="8" t="s">
        <v>1948</v>
      </c>
      <c r="J185" s="8" t="s">
        <v>1951</v>
      </c>
      <c r="K185" s="8" t="s">
        <v>1948</v>
      </c>
      <c r="L185" s="8" t="s">
        <v>1949</v>
      </c>
      <c r="M185" s="28" t="n">
        <f aca="false">'Disease Prediction Model'!$C$9+'Disease Prediction Model'!$C$10*B185+'Disease Prediction Model'!$C$11*C185+'Disease Prediction Model'!$C$12*D185+'Disease Prediction Model'!$C$13*E185+'Disease Prediction Model'!$C$14*F185+'Disease Prediction Model'!$C$15*G185</f>
        <v>-0.281217</v>
      </c>
      <c r="N185" s="8" t="str">
        <f aca="false">IF(M185&gt;=0.5,"Yes","No")</f>
        <v>No</v>
      </c>
    </row>
    <row r="186" customFormat="false" ht="15" hidden="false" customHeight="false" outlineLevel="0" collapsed="false">
      <c r="A186" s="8" t="s">
        <v>2133</v>
      </c>
      <c r="B186" s="8" t="n">
        <v>24</v>
      </c>
      <c r="C186" s="8" t="n">
        <v>32.5</v>
      </c>
      <c r="D186" s="8" t="n">
        <v>139</v>
      </c>
      <c r="E186" s="8" t="n">
        <v>109</v>
      </c>
      <c r="F186" s="8" t="n">
        <v>0</v>
      </c>
      <c r="G186" s="8" t="n">
        <v>0</v>
      </c>
      <c r="H186" s="8" t="n">
        <v>1</v>
      </c>
      <c r="I186" s="8" t="s">
        <v>1948</v>
      </c>
      <c r="J186" s="8" t="s">
        <v>1959</v>
      </c>
      <c r="K186" s="8" t="s">
        <v>1954</v>
      </c>
      <c r="L186" s="8" t="s">
        <v>1949</v>
      </c>
      <c r="M186" s="28" t="n">
        <f aca="false">'Disease Prediction Model'!$C$9+'Disease Prediction Model'!$C$10*B186+'Disease Prediction Model'!$C$11*C186+'Disease Prediction Model'!$C$12*D186+'Disease Prediction Model'!$C$13*E186+'Disease Prediction Model'!$C$14*F186+'Disease Prediction Model'!$C$15*G186</f>
        <v>0.462605</v>
      </c>
      <c r="N186" s="8" t="str">
        <f aca="false">IF(M186&gt;=0.5,"Yes","No")</f>
        <v>No</v>
      </c>
    </row>
    <row r="187" customFormat="false" ht="15" hidden="false" customHeight="false" outlineLevel="0" collapsed="false">
      <c r="A187" s="8" t="s">
        <v>2134</v>
      </c>
      <c r="B187" s="8" t="n">
        <v>68</v>
      </c>
      <c r="C187" s="8" t="n">
        <v>27.3</v>
      </c>
      <c r="D187" s="8" t="n">
        <v>121</v>
      </c>
      <c r="E187" s="8" t="n">
        <v>70</v>
      </c>
      <c r="F187" s="8" t="n">
        <v>1</v>
      </c>
      <c r="G187" s="8" t="n">
        <v>2</v>
      </c>
      <c r="H187" s="8" t="n">
        <v>0</v>
      </c>
      <c r="I187" s="8" t="s">
        <v>1954</v>
      </c>
      <c r="J187" s="8" t="s">
        <v>1951</v>
      </c>
      <c r="K187" s="8" t="s">
        <v>1948</v>
      </c>
      <c r="L187" s="8" t="s">
        <v>1949</v>
      </c>
      <c r="M187" s="28" t="n">
        <f aca="false">'Disease Prediction Model'!$C$9+'Disease Prediction Model'!$C$10*B187+'Disease Prediction Model'!$C$11*C187+'Disease Prediction Model'!$C$12*D187+'Disease Prediction Model'!$C$13*E187+'Disease Prediction Model'!$C$14*F187+'Disease Prediction Model'!$C$15*G187</f>
        <v>0.0367970000000001</v>
      </c>
      <c r="N187" s="8" t="str">
        <f aca="false">IF(M187&gt;=0.5,"Yes","No")</f>
        <v>No</v>
      </c>
    </row>
    <row r="188" customFormat="false" ht="15" hidden="false" customHeight="false" outlineLevel="0" collapsed="false">
      <c r="A188" s="8" t="s">
        <v>2135</v>
      </c>
      <c r="B188" s="8" t="n">
        <v>65</v>
      </c>
      <c r="C188" s="8" t="n">
        <v>29.3</v>
      </c>
      <c r="D188" s="8" t="n">
        <v>122</v>
      </c>
      <c r="E188" s="8" t="n">
        <v>70</v>
      </c>
      <c r="F188" s="8" t="n">
        <v>0</v>
      </c>
      <c r="G188" s="8" t="n">
        <v>1</v>
      </c>
      <c r="H188" s="8" t="n">
        <v>0</v>
      </c>
      <c r="I188" s="8" t="s">
        <v>1948</v>
      </c>
      <c r="J188" s="8" t="s">
        <v>1405</v>
      </c>
      <c r="K188" s="8" t="s">
        <v>1948</v>
      </c>
      <c r="L188" s="8" t="s">
        <v>1949</v>
      </c>
      <c r="M188" s="28" t="n">
        <f aca="false">'Disease Prediction Model'!$C$9+'Disease Prediction Model'!$C$10*B188+'Disease Prediction Model'!$C$11*C188+'Disease Prediction Model'!$C$12*D188+'Disease Prediction Model'!$C$13*E188+'Disease Prediction Model'!$C$14*F188+'Disease Prediction Model'!$C$15*G188</f>
        <v>0.023017</v>
      </c>
      <c r="N188" s="8" t="str">
        <f aca="false">IF(M188&gt;=0.5,"Yes","No")</f>
        <v>No</v>
      </c>
    </row>
    <row r="189" customFormat="false" ht="15" hidden="false" customHeight="false" outlineLevel="0" collapsed="false">
      <c r="A189" s="8" t="s">
        <v>2136</v>
      </c>
      <c r="B189" s="8" t="n">
        <v>49</v>
      </c>
      <c r="C189" s="8" t="n">
        <v>35.1</v>
      </c>
      <c r="D189" s="8" t="n">
        <v>116</v>
      </c>
      <c r="E189" s="8" t="n">
        <v>85</v>
      </c>
      <c r="F189" s="8" t="n">
        <v>0</v>
      </c>
      <c r="G189" s="8" t="n">
        <v>1</v>
      </c>
      <c r="H189" s="8" t="n">
        <v>0</v>
      </c>
      <c r="I189" s="8" t="s">
        <v>1948</v>
      </c>
      <c r="J189" s="8" t="s">
        <v>1405</v>
      </c>
      <c r="K189" s="8" t="s">
        <v>1948</v>
      </c>
      <c r="L189" s="8" t="s">
        <v>1949</v>
      </c>
      <c r="M189" s="28" t="n">
        <f aca="false">'Disease Prediction Model'!$C$9+'Disease Prediction Model'!$C$10*B189+'Disease Prediction Model'!$C$11*C189+'Disease Prediction Model'!$C$12*D189+'Disease Prediction Model'!$C$13*E189+'Disease Prediction Model'!$C$14*F189+'Disease Prediction Model'!$C$15*G189</f>
        <v>0.159779</v>
      </c>
      <c r="N189" s="8" t="str">
        <f aca="false">IF(M189&gt;=0.5,"Yes","No")</f>
        <v>No</v>
      </c>
    </row>
    <row r="190" customFormat="false" ht="15" hidden="false" customHeight="false" outlineLevel="0" collapsed="false">
      <c r="A190" s="8" t="s">
        <v>2137</v>
      </c>
      <c r="B190" s="8" t="n">
        <v>38</v>
      </c>
      <c r="C190" s="8" t="n">
        <v>23.6</v>
      </c>
      <c r="D190" s="8" t="n">
        <v>98</v>
      </c>
      <c r="E190" s="8" t="n">
        <v>104</v>
      </c>
      <c r="F190" s="8" t="n">
        <v>0</v>
      </c>
      <c r="G190" s="8" t="n">
        <v>1</v>
      </c>
      <c r="H190" s="8" t="n">
        <v>0</v>
      </c>
      <c r="I190" s="8" t="s">
        <v>1948</v>
      </c>
      <c r="J190" s="8" t="s">
        <v>1405</v>
      </c>
      <c r="K190" s="8" t="s">
        <v>1948</v>
      </c>
      <c r="L190" s="8" t="s">
        <v>1949</v>
      </c>
      <c r="M190" s="28" t="n">
        <f aca="false">'Disease Prediction Model'!$C$9+'Disease Prediction Model'!$C$10*B190+'Disease Prediction Model'!$C$11*C190+'Disease Prediction Model'!$C$12*D190+'Disease Prediction Model'!$C$13*E190+'Disease Prediction Model'!$C$14*F190+'Disease Prediction Model'!$C$15*G190</f>
        <v>0.108174</v>
      </c>
      <c r="N190" s="8" t="str">
        <f aca="false">IF(M190&gt;=0.5,"Yes","No")</f>
        <v>No</v>
      </c>
    </row>
    <row r="191" customFormat="false" ht="15" hidden="false" customHeight="false" outlineLevel="0" collapsed="false">
      <c r="A191" s="8" t="s">
        <v>2138</v>
      </c>
      <c r="B191" s="8" t="n">
        <v>75</v>
      </c>
      <c r="C191" s="8" t="n">
        <v>20.9</v>
      </c>
      <c r="D191" s="8" t="n">
        <v>103</v>
      </c>
      <c r="E191" s="8" t="n">
        <v>104</v>
      </c>
      <c r="F191" s="8" t="n">
        <v>0</v>
      </c>
      <c r="G191" s="8" t="n">
        <v>1</v>
      </c>
      <c r="H191" s="8" t="n">
        <v>0</v>
      </c>
      <c r="I191" s="8" t="s">
        <v>1948</v>
      </c>
      <c r="J191" s="8" t="s">
        <v>1405</v>
      </c>
      <c r="K191" s="8" t="s">
        <v>1948</v>
      </c>
      <c r="L191" s="8" t="s">
        <v>1949</v>
      </c>
      <c r="M191" s="28" t="n">
        <f aca="false">'Disease Prediction Model'!$C$9+'Disease Prediction Model'!$C$10*B191+'Disease Prediction Model'!$C$11*C191+'Disease Prediction Model'!$C$12*D191+'Disease Prediction Model'!$C$13*E191+'Disease Prediction Model'!$C$14*F191+'Disease Prediction Model'!$C$15*G191</f>
        <v>0.203361</v>
      </c>
      <c r="N191" s="8" t="str">
        <f aca="false">IF(M191&gt;=0.5,"Yes","No")</f>
        <v>No</v>
      </c>
    </row>
    <row r="192" customFormat="false" ht="15" hidden="false" customHeight="false" outlineLevel="0" collapsed="false">
      <c r="A192" s="8" t="s">
        <v>2139</v>
      </c>
      <c r="B192" s="8" t="n">
        <v>71</v>
      </c>
      <c r="C192" s="8" t="n">
        <v>29.1</v>
      </c>
      <c r="D192" s="8" t="n">
        <v>142</v>
      </c>
      <c r="E192" s="8" t="n">
        <v>109</v>
      </c>
      <c r="F192" s="8" t="n">
        <v>0</v>
      </c>
      <c r="G192" s="8" t="n">
        <v>0</v>
      </c>
      <c r="H192" s="8" t="n">
        <v>1</v>
      </c>
      <c r="I192" s="8" t="s">
        <v>1948</v>
      </c>
      <c r="J192" s="8" t="s">
        <v>1959</v>
      </c>
      <c r="K192" s="8" t="s">
        <v>1954</v>
      </c>
      <c r="L192" s="8" t="s">
        <v>1949</v>
      </c>
      <c r="M192" s="28" t="n">
        <f aca="false">'Disease Prediction Model'!$C$9+'Disease Prediction Model'!$C$10*B192+'Disease Prediction Model'!$C$11*C192+'Disease Prediction Model'!$C$12*D192+'Disease Prediction Model'!$C$13*E192+'Disease Prediction Model'!$C$14*F192+'Disease Prediction Model'!$C$15*G192</f>
        <v>0.571859</v>
      </c>
      <c r="N192" s="8" t="str">
        <f aca="false">IF(M192&gt;=0.5,"Yes","No")</f>
        <v>Yes</v>
      </c>
    </row>
    <row r="193" customFormat="false" ht="15" hidden="false" customHeight="false" outlineLevel="0" collapsed="false">
      <c r="A193" s="8" t="s">
        <v>2140</v>
      </c>
      <c r="B193" s="8" t="n">
        <v>73</v>
      </c>
      <c r="C193" s="8" t="n">
        <v>40.1</v>
      </c>
      <c r="D193" s="8" t="n">
        <v>132</v>
      </c>
      <c r="E193" s="8" t="n">
        <v>90</v>
      </c>
      <c r="F193" s="8" t="n">
        <v>0</v>
      </c>
      <c r="G193" s="8" t="n">
        <v>0</v>
      </c>
      <c r="H193" s="8" t="n">
        <v>1</v>
      </c>
      <c r="I193" s="8" t="s">
        <v>1948</v>
      </c>
      <c r="J193" s="8" t="s">
        <v>1959</v>
      </c>
      <c r="K193" s="8" t="s">
        <v>1954</v>
      </c>
      <c r="L193" s="8" t="s">
        <v>1949</v>
      </c>
      <c r="M193" s="28" t="n">
        <f aca="false">'Disease Prediction Model'!$C$9+'Disease Prediction Model'!$C$10*B193+'Disease Prediction Model'!$C$11*C193+'Disease Prediction Model'!$C$12*D193+'Disease Prediction Model'!$C$13*E193+'Disease Prediction Model'!$C$14*F193+'Disease Prediction Model'!$C$15*G193</f>
        <v>0.491249</v>
      </c>
      <c r="N193" s="8" t="str">
        <f aca="false">IF(M193&gt;=0.5,"Yes","No")</f>
        <v>No</v>
      </c>
    </row>
    <row r="194" customFormat="false" ht="15" hidden="false" customHeight="false" outlineLevel="0" collapsed="false">
      <c r="A194" s="8" t="s">
        <v>2141</v>
      </c>
      <c r="B194" s="8" t="n">
        <v>34</v>
      </c>
      <c r="C194" s="8" t="n">
        <v>19.2</v>
      </c>
      <c r="D194" s="8" t="n">
        <v>110</v>
      </c>
      <c r="E194" s="8" t="n">
        <v>104</v>
      </c>
      <c r="F194" s="8" t="n">
        <v>0</v>
      </c>
      <c r="G194" s="8" t="n">
        <v>1</v>
      </c>
      <c r="H194" s="8" t="n">
        <v>0</v>
      </c>
      <c r="I194" s="8" t="s">
        <v>1948</v>
      </c>
      <c r="J194" s="8" t="s">
        <v>1405</v>
      </c>
      <c r="K194" s="8" t="s">
        <v>1948</v>
      </c>
      <c r="L194" s="8" t="s">
        <v>1949</v>
      </c>
      <c r="M194" s="28" t="n">
        <f aca="false">'Disease Prediction Model'!$C$9+'Disease Prediction Model'!$C$10*B194+'Disease Prediction Model'!$C$11*C194+'Disease Prediction Model'!$C$12*D194+'Disease Prediction Model'!$C$13*E194+'Disease Prediction Model'!$C$14*F194+'Disease Prediction Model'!$C$15*G194</f>
        <v>0.0893379999999999</v>
      </c>
      <c r="N194" s="8" t="str">
        <f aca="false">IF(M194&gt;=0.5,"Yes","No")</f>
        <v>No</v>
      </c>
    </row>
    <row r="195" customFormat="false" ht="15" hidden="false" customHeight="false" outlineLevel="0" collapsed="false">
      <c r="A195" s="8" t="s">
        <v>2142</v>
      </c>
      <c r="B195" s="8" t="n">
        <v>47</v>
      </c>
      <c r="C195" s="8" t="n">
        <v>32.2</v>
      </c>
      <c r="D195" s="8" t="n">
        <v>121</v>
      </c>
      <c r="E195" s="8" t="n">
        <v>105</v>
      </c>
      <c r="F195" s="8" t="n">
        <v>0</v>
      </c>
      <c r="G195" s="8" t="n">
        <v>1</v>
      </c>
      <c r="H195" s="8" t="n">
        <v>0</v>
      </c>
      <c r="I195" s="8" t="s">
        <v>1948</v>
      </c>
      <c r="J195" s="8" t="s">
        <v>1405</v>
      </c>
      <c r="K195" s="8" t="s">
        <v>1948</v>
      </c>
      <c r="L195" s="8" t="s">
        <v>1949</v>
      </c>
      <c r="M195" s="28" t="n">
        <f aca="false">'Disease Prediction Model'!$C$9+'Disease Prediction Model'!$C$10*B195+'Disease Prediction Model'!$C$11*C195+'Disease Prediction Model'!$C$12*D195+'Disease Prediction Model'!$C$13*E195+'Disease Prediction Model'!$C$14*F195+'Disease Prediction Model'!$C$15*G195</f>
        <v>0.324008</v>
      </c>
      <c r="N195" s="8" t="str">
        <f aca="false">IF(M195&gt;=0.5,"Yes","No")</f>
        <v>No</v>
      </c>
    </row>
    <row r="196" customFormat="false" ht="15" hidden="false" customHeight="false" outlineLevel="0" collapsed="false">
      <c r="A196" s="8" t="s">
        <v>2143</v>
      </c>
      <c r="B196" s="8" t="n">
        <v>70</v>
      </c>
      <c r="C196" s="8" t="n">
        <v>37</v>
      </c>
      <c r="D196" s="8" t="n">
        <v>124</v>
      </c>
      <c r="E196" s="8" t="n">
        <v>97</v>
      </c>
      <c r="F196" s="8" t="n">
        <v>0</v>
      </c>
      <c r="G196" s="8" t="n">
        <v>1</v>
      </c>
      <c r="H196" s="8" t="n">
        <v>0</v>
      </c>
      <c r="I196" s="8" t="s">
        <v>1948</v>
      </c>
      <c r="J196" s="8" t="s">
        <v>1405</v>
      </c>
      <c r="K196" s="8" t="s">
        <v>1948</v>
      </c>
      <c r="L196" s="8" t="s">
        <v>1949</v>
      </c>
      <c r="M196" s="28" t="n">
        <f aca="false">'Disease Prediction Model'!$C$9+'Disease Prediction Model'!$C$10*B196+'Disease Prediction Model'!$C$11*C196+'Disease Prediction Model'!$C$12*D196+'Disease Prediction Model'!$C$13*E196+'Disease Prediction Model'!$C$14*F196+'Disease Prediction Model'!$C$15*G196</f>
        <v>0.3825</v>
      </c>
      <c r="N196" s="8" t="str">
        <f aca="false">IF(M196&gt;=0.5,"Yes","No")</f>
        <v>No</v>
      </c>
    </row>
    <row r="197" customFormat="false" ht="15" hidden="false" customHeight="false" outlineLevel="0" collapsed="false">
      <c r="A197" s="8" t="s">
        <v>2144</v>
      </c>
      <c r="B197" s="8" t="n">
        <v>41</v>
      </c>
      <c r="C197" s="8" t="n">
        <v>25.7</v>
      </c>
      <c r="D197" s="8" t="n">
        <v>124</v>
      </c>
      <c r="E197" s="8" t="n">
        <v>76</v>
      </c>
      <c r="F197" s="8" t="n">
        <v>1</v>
      </c>
      <c r="G197" s="8" t="n">
        <v>0</v>
      </c>
      <c r="H197" s="8" t="n">
        <v>0</v>
      </c>
      <c r="I197" s="8" t="s">
        <v>1954</v>
      </c>
      <c r="J197" s="8" t="s">
        <v>1959</v>
      </c>
      <c r="K197" s="8" t="s">
        <v>1948</v>
      </c>
      <c r="L197" s="8" t="s">
        <v>1949</v>
      </c>
      <c r="M197" s="28" t="n">
        <f aca="false">'Disease Prediction Model'!$C$9+'Disease Prediction Model'!$C$10*B197+'Disease Prediction Model'!$C$11*C197+'Disease Prediction Model'!$C$12*D197+'Disease Prediction Model'!$C$13*E197+'Disease Prediction Model'!$C$14*F197+'Disease Prediction Model'!$C$15*G197</f>
        <v>0.207753</v>
      </c>
      <c r="N197" s="8" t="str">
        <f aca="false">IF(M197&gt;=0.5,"Yes","No")</f>
        <v>No</v>
      </c>
    </row>
    <row r="198" customFormat="false" ht="15" hidden="false" customHeight="false" outlineLevel="0" collapsed="false">
      <c r="A198" s="8" t="s">
        <v>2145</v>
      </c>
      <c r="B198" s="8" t="n">
        <v>69</v>
      </c>
      <c r="C198" s="8" t="n">
        <v>28.9</v>
      </c>
      <c r="D198" s="8" t="n">
        <v>127</v>
      </c>
      <c r="E198" s="8" t="n">
        <v>96</v>
      </c>
      <c r="F198" s="8" t="n">
        <v>0</v>
      </c>
      <c r="G198" s="8" t="n">
        <v>0</v>
      </c>
      <c r="H198" s="8" t="n">
        <v>0</v>
      </c>
      <c r="I198" s="8" t="s">
        <v>1948</v>
      </c>
      <c r="J198" s="8" t="s">
        <v>1959</v>
      </c>
      <c r="K198" s="8" t="s">
        <v>1948</v>
      </c>
      <c r="L198" s="8" t="s">
        <v>1949</v>
      </c>
      <c r="M198" s="28" t="n">
        <f aca="false">'Disease Prediction Model'!$C$9+'Disease Prediction Model'!$C$10*B198+'Disease Prediction Model'!$C$11*C198+'Disease Prediction Model'!$C$12*D198+'Disease Prediction Model'!$C$13*E198+'Disease Prediction Model'!$C$14*F198+'Disease Prediction Model'!$C$15*G198</f>
        <v>0.389661</v>
      </c>
      <c r="N198" s="8" t="str">
        <f aca="false">IF(M198&gt;=0.5,"Yes","No")</f>
        <v>No</v>
      </c>
    </row>
    <row r="199" customFormat="false" ht="15" hidden="false" customHeight="false" outlineLevel="0" collapsed="false">
      <c r="A199" s="8" t="s">
        <v>2146</v>
      </c>
      <c r="B199" s="8" t="n">
        <v>63</v>
      </c>
      <c r="C199" s="8" t="n">
        <v>19.8</v>
      </c>
      <c r="D199" s="8" t="n">
        <v>112</v>
      </c>
      <c r="E199" s="8" t="n">
        <v>76</v>
      </c>
      <c r="F199" s="8" t="n">
        <v>0</v>
      </c>
      <c r="G199" s="8" t="n">
        <v>1</v>
      </c>
      <c r="H199" s="8" t="n">
        <v>0</v>
      </c>
      <c r="I199" s="8" t="s">
        <v>1948</v>
      </c>
      <c r="J199" s="8" t="s">
        <v>1405</v>
      </c>
      <c r="K199" s="8" t="s">
        <v>1948</v>
      </c>
      <c r="L199" s="8" t="s">
        <v>1949</v>
      </c>
      <c r="M199" s="28" t="n">
        <f aca="false">'Disease Prediction Model'!$C$9+'Disease Prediction Model'!$C$10*B199+'Disease Prediction Model'!$C$11*C199+'Disease Prediction Model'!$C$12*D199+'Disease Prediction Model'!$C$13*E199+'Disease Prediction Model'!$C$14*F199+'Disease Prediction Model'!$C$15*G199</f>
        <v>-0.0712680000000002</v>
      </c>
      <c r="N199" s="8" t="str">
        <f aca="false">IF(M199&gt;=0.5,"Yes","No")</f>
        <v>No</v>
      </c>
    </row>
    <row r="200" customFormat="false" ht="15" hidden="false" customHeight="false" outlineLevel="0" collapsed="false">
      <c r="A200" s="8" t="s">
        <v>2147</v>
      </c>
      <c r="B200" s="8" t="n">
        <v>57</v>
      </c>
      <c r="C200" s="8" t="n">
        <v>26.4</v>
      </c>
      <c r="D200" s="8" t="n">
        <v>101</v>
      </c>
      <c r="E200" s="8" t="n">
        <v>96</v>
      </c>
      <c r="F200" s="8" t="n">
        <v>1</v>
      </c>
      <c r="G200" s="8" t="n">
        <v>1</v>
      </c>
      <c r="H200" s="8" t="n">
        <v>0</v>
      </c>
      <c r="I200" s="8" t="s">
        <v>1954</v>
      </c>
      <c r="J200" s="8" t="s">
        <v>1405</v>
      </c>
      <c r="K200" s="8" t="s">
        <v>1948</v>
      </c>
      <c r="L200" s="8" t="s">
        <v>1949</v>
      </c>
      <c r="M200" s="28" t="n">
        <f aca="false">'Disease Prediction Model'!$C$9+'Disease Prediction Model'!$C$10*B200+'Disease Prediction Model'!$C$11*C200+'Disease Prediction Model'!$C$12*D200+'Disease Prediction Model'!$C$13*E200+'Disease Prediction Model'!$C$14*F200+'Disease Prediction Model'!$C$15*G200</f>
        <v>0.264446</v>
      </c>
      <c r="N200" s="8" t="str">
        <f aca="false">IF(M200&gt;=0.5,"Yes","No")</f>
        <v>No</v>
      </c>
    </row>
    <row r="201" customFormat="false" ht="15" hidden="false" customHeight="false" outlineLevel="0" collapsed="false">
      <c r="A201" s="8" t="s">
        <v>2148</v>
      </c>
      <c r="B201" s="8" t="n">
        <v>41</v>
      </c>
      <c r="C201" s="8" t="n">
        <v>29</v>
      </c>
      <c r="D201" s="8" t="n">
        <v>117</v>
      </c>
      <c r="E201" s="8" t="n">
        <v>120</v>
      </c>
      <c r="F201" s="8" t="n">
        <v>0</v>
      </c>
      <c r="G201" s="8" t="n">
        <v>1</v>
      </c>
      <c r="H201" s="8" t="n">
        <v>1</v>
      </c>
      <c r="I201" s="8" t="s">
        <v>1948</v>
      </c>
      <c r="J201" s="8" t="s">
        <v>1405</v>
      </c>
      <c r="K201" s="8" t="s">
        <v>1954</v>
      </c>
      <c r="L201" s="8" t="s">
        <v>1949</v>
      </c>
      <c r="M201" s="28" t="n">
        <f aca="false">'Disease Prediction Model'!$C$9+'Disease Prediction Model'!$C$10*B201+'Disease Prediction Model'!$C$11*C201+'Disease Prediction Model'!$C$12*D201+'Disease Prediction Model'!$C$13*E201+'Disease Prediction Model'!$C$14*F201+'Disease Prediction Model'!$C$15*G201</f>
        <v>0.39462</v>
      </c>
      <c r="N201" s="8" t="str">
        <f aca="false">IF(M201&gt;=0.5,"Yes","No")</f>
        <v>No</v>
      </c>
    </row>
    <row r="202" customFormat="false" ht="15" hidden="false" customHeight="false" outlineLevel="0" collapsed="false">
      <c r="A202" s="8" t="s">
        <v>2149</v>
      </c>
      <c r="B202" s="8" t="n">
        <v>80</v>
      </c>
      <c r="C202" s="8" t="n">
        <v>30</v>
      </c>
      <c r="D202" s="8" t="n">
        <v>92</v>
      </c>
      <c r="E202" s="8" t="n">
        <v>91</v>
      </c>
      <c r="F202" s="8" t="n">
        <v>1</v>
      </c>
      <c r="G202" s="8" t="n">
        <v>0</v>
      </c>
      <c r="H202" s="8" t="n">
        <v>0</v>
      </c>
      <c r="I202" s="8" t="s">
        <v>1954</v>
      </c>
      <c r="J202" s="8" t="s">
        <v>1959</v>
      </c>
      <c r="K202" s="8" t="s">
        <v>1948</v>
      </c>
      <c r="L202" s="8" t="s">
        <v>1949</v>
      </c>
      <c r="M202" s="28" t="n">
        <f aca="false">'Disease Prediction Model'!$C$9+'Disease Prediction Model'!$C$10*B202+'Disease Prediction Model'!$C$11*C202+'Disease Prediction Model'!$C$12*D202+'Disease Prediction Model'!$C$13*E202+'Disease Prediction Model'!$C$14*F202+'Disease Prediction Model'!$C$15*G202</f>
        <v>0.39495</v>
      </c>
      <c r="N202" s="8" t="str">
        <f aca="false">IF(M202&gt;=0.5,"Yes","No")</f>
        <v>No</v>
      </c>
    </row>
    <row r="203" customFormat="false" ht="15" hidden="false" customHeight="false" outlineLevel="0" collapsed="false">
      <c r="A203" s="8" t="s">
        <v>2150</v>
      </c>
      <c r="B203" s="8" t="n">
        <v>32</v>
      </c>
      <c r="C203" s="8" t="n">
        <v>26.3</v>
      </c>
      <c r="D203" s="8" t="n">
        <v>118</v>
      </c>
      <c r="E203" s="8" t="n">
        <v>124</v>
      </c>
      <c r="F203" s="8" t="n">
        <v>0</v>
      </c>
      <c r="G203" s="8" t="n">
        <v>0</v>
      </c>
      <c r="H203" s="8" t="n">
        <v>0</v>
      </c>
      <c r="I203" s="8" t="s">
        <v>1948</v>
      </c>
      <c r="J203" s="8" t="s">
        <v>1959</v>
      </c>
      <c r="K203" s="8" t="s">
        <v>1948</v>
      </c>
      <c r="L203" s="8" t="s">
        <v>1949</v>
      </c>
      <c r="M203" s="28" t="n">
        <f aca="false">'Disease Prediction Model'!$C$9+'Disease Prediction Model'!$C$10*B203+'Disease Prediction Model'!$C$11*C203+'Disease Prediction Model'!$C$12*D203+'Disease Prediction Model'!$C$13*E203+'Disease Prediction Model'!$C$14*F203+'Disease Prediction Model'!$C$15*G203</f>
        <v>0.479067</v>
      </c>
      <c r="N203" s="8" t="str">
        <f aca="false">IF(M203&gt;=0.5,"Yes","No")</f>
        <v>No</v>
      </c>
    </row>
    <row r="204" customFormat="false" ht="15" hidden="false" customHeight="false" outlineLevel="0" collapsed="false">
      <c r="A204" s="8" t="s">
        <v>2151</v>
      </c>
      <c r="B204" s="8" t="n">
        <v>34</v>
      </c>
      <c r="C204" s="8" t="n">
        <v>24.4</v>
      </c>
      <c r="D204" s="8" t="n">
        <v>123</v>
      </c>
      <c r="E204" s="8" t="n">
        <v>93</v>
      </c>
      <c r="F204" s="8" t="n">
        <v>1</v>
      </c>
      <c r="G204" s="8" t="n">
        <v>1</v>
      </c>
      <c r="H204" s="8" t="n">
        <v>0</v>
      </c>
      <c r="I204" s="8" t="s">
        <v>1954</v>
      </c>
      <c r="J204" s="8" t="s">
        <v>1405</v>
      </c>
      <c r="K204" s="8" t="s">
        <v>1948</v>
      </c>
      <c r="L204" s="8" t="s">
        <v>1949</v>
      </c>
      <c r="M204" s="28" t="n">
        <f aca="false">'Disease Prediction Model'!$C$9+'Disease Prediction Model'!$C$10*B204+'Disease Prediction Model'!$C$11*C204+'Disease Prediction Model'!$C$12*D204+'Disease Prediction Model'!$C$13*E204+'Disease Prediction Model'!$C$14*F204+'Disease Prediction Model'!$C$15*G204</f>
        <v>0.225486</v>
      </c>
      <c r="N204" s="8" t="str">
        <f aca="false">IF(M204&gt;=0.5,"Yes","No")</f>
        <v>No</v>
      </c>
    </row>
    <row r="205" customFormat="false" ht="15" hidden="false" customHeight="false" outlineLevel="0" collapsed="false">
      <c r="A205" s="8" t="s">
        <v>2152</v>
      </c>
      <c r="B205" s="8" t="n">
        <v>62</v>
      </c>
      <c r="C205" s="8" t="n">
        <v>24.9</v>
      </c>
      <c r="D205" s="8" t="n">
        <v>155</v>
      </c>
      <c r="E205" s="8" t="n">
        <v>94</v>
      </c>
      <c r="F205" s="8" t="n">
        <v>0</v>
      </c>
      <c r="G205" s="8" t="n">
        <v>0</v>
      </c>
      <c r="H205" s="8" t="n">
        <v>0</v>
      </c>
      <c r="I205" s="8" t="s">
        <v>1948</v>
      </c>
      <c r="J205" s="8" t="s">
        <v>1959</v>
      </c>
      <c r="K205" s="8" t="s">
        <v>1948</v>
      </c>
      <c r="L205" s="8" t="s">
        <v>1949</v>
      </c>
      <c r="M205" s="28" t="n">
        <f aca="false">'Disease Prediction Model'!$C$9+'Disease Prediction Model'!$C$10*B205+'Disease Prediction Model'!$C$11*C205+'Disease Prediction Model'!$C$12*D205+'Disease Prediction Model'!$C$13*E205+'Disease Prediction Model'!$C$14*F205+'Disease Prediction Model'!$C$15*G205</f>
        <v>0.405381</v>
      </c>
      <c r="N205" s="8" t="str">
        <f aca="false">IF(M205&gt;=0.5,"Yes","No")</f>
        <v>No</v>
      </c>
    </row>
    <row r="206" customFormat="false" ht="15" hidden="false" customHeight="false" outlineLevel="0" collapsed="false">
      <c r="A206" s="8" t="s">
        <v>2153</v>
      </c>
      <c r="B206" s="8" t="n">
        <v>35</v>
      </c>
      <c r="C206" s="8" t="n">
        <v>28.6</v>
      </c>
      <c r="D206" s="8" t="n">
        <v>141</v>
      </c>
      <c r="E206" s="8" t="n">
        <v>90</v>
      </c>
      <c r="F206" s="8" t="n">
        <v>0</v>
      </c>
      <c r="G206" s="8" t="n">
        <v>0</v>
      </c>
      <c r="H206" s="8" t="n">
        <v>1</v>
      </c>
      <c r="I206" s="8" t="s">
        <v>1948</v>
      </c>
      <c r="J206" s="8" t="s">
        <v>1959</v>
      </c>
      <c r="K206" s="8" t="s">
        <v>1954</v>
      </c>
      <c r="L206" s="8" t="s">
        <v>1949</v>
      </c>
      <c r="M206" s="28" t="n">
        <f aca="false">'Disease Prediction Model'!$C$9+'Disease Prediction Model'!$C$10*B206+'Disease Prediction Model'!$C$11*C206+'Disease Prediction Model'!$C$12*D206+'Disease Prediction Model'!$C$13*E206+'Disease Prediction Model'!$C$14*F206+'Disease Prediction Model'!$C$15*G206</f>
        <v>0.281524</v>
      </c>
      <c r="N206" s="8" t="str">
        <f aca="false">IF(M206&gt;=0.5,"Yes","No")</f>
        <v>No</v>
      </c>
    </row>
    <row r="207" customFormat="false" ht="15" hidden="false" customHeight="false" outlineLevel="0" collapsed="false">
      <c r="A207" s="8" t="s">
        <v>2154</v>
      </c>
      <c r="B207" s="8" t="n">
        <v>57</v>
      </c>
      <c r="C207" s="8" t="n">
        <v>22.6</v>
      </c>
      <c r="D207" s="8" t="n">
        <v>116</v>
      </c>
      <c r="E207" s="8" t="n">
        <v>97</v>
      </c>
      <c r="F207" s="8" t="n">
        <v>0</v>
      </c>
      <c r="G207" s="8" t="n">
        <v>1</v>
      </c>
      <c r="H207" s="8" t="n">
        <v>0</v>
      </c>
      <c r="I207" s="8" t="s">
        <v>1948</v>
      </c>
      <c r="J207" s="8" t="s">
        <v>1405</v>
      </c>
      <c r="K207" s="8" t="s">
        <v>1948</v>
      </c>
      <c r="L207" s="8" t="s">
        <v>1949</v>
      </c>
      <c r="M207" s="28" t="n">
        <f aca="false">'Disease Prediction Model'!$C$9+'Disease Prediction Model'!$C$10*B207+'Disease Prediction Model'!$C$11*C207+'Disease Prediction Model'!$C$12*D207+'Disease Prediction Model'!$C$13*E207+'Disease Prediction Model'!$C$14*F207+'Disease Prediction Model'!$C$15*G207</f>
        <v>0.151884</v>
      </c>
      <c r="N207" s="8" t="str">
        <f aca="false">IF(M207&gt;=0.5,"Yes","No")</f>
        <v>No</v>
      </c>
    </row>
    <row r="208" customFormat="false" ht="15" hidden="false" customHeight="false" outlineLevel="0" collapsed="false">
      <c r="A208" s="8" t="s">
        <v>2155</v>
      </c>
      <c r="B208" s="8" t="n">
        <v>71</v>
      </c>
      <c r="C208" s="8" t="n">
        <v>31</v>
      </c>
      <c r="D208" s="8" t="n">
        <v>138</v>
      </c>
      <c r="E208" s="8" t="n">
        <v>120</v>
      </c>
      <c r="F208" s="8" t="n">
        <v>0</v>
      </c>
      <c r="G208" s="8" t="n">
        <v>0</v>
      </c>
      <c r="H208" s="8" t="n">
        <v>0</v>
      </c>
      <c r="I208" s="8" t="s">
        <v>1948</v>
      </c>
      <c r="J208" s="8" t="s">
        <v>1959</v>
      </c>
      <c r="K208" s="8" t="s">
        <v>1948</v>
      </c>
      <c r="L208" s="8" t="s">
        <v>1949</v>
      </c>
      <c r="M208" s="28" t="n">
        <f aca="false">'Disease Prediction Model'!$C$9+'Disease Prediction Model'!$C$10*B208+'Disease Prediction Model'!$C$11*C208+'Disease Prediction Model'!$C$12*D208+'Disease Prediction Model'!$C$13*E208+'Disease Prediction Model'!$C$14*F208+'Disease Prediction Model'!$C$15*G208</f>
        <v>0.68104</v>
      </c>
      <c r="N208" s="8" t="str">
        <f aca="false">IF(M208&gt;=0.5,"Yes","No")</f>
        <v>Yes</v>
      </c>
    </row>
    <row r="209" customFormat="false" ht="15" hidden="false" customHeight="false" outlineLevel="0" collapsed="false">
      <c r="A209" s="8" t="s">
        <v>2156</v>
      </c>
      <c r="B209" s="8" t="n">
        <v>42</v>
      </c>
      <c r="C209" s="8" t="n">
        <v>27.6</v>
      </c>
      <c r="D209" s="8" t="n">
        <v>153</v>
      </c>
      <c r="E209" s="8" t="n">
        <v>111</v>
      </c>
      <c r="F209" s="8" t="n">
        <v>1</v>
      </c>
      <c r="G209" s="8" t="n">
        <v>1</v>
      </c>
      <c r="H209" s="8" t="n">
        <v>1</v>
      </c>
      <c r="I209" s="8" t="s">
        <v>1954</v>
      </c>
      <c r="J209" s="8" t="s">
        <v>1405</v>
      </c>
      <c r="K209" s="8" t="s">
        <v>1954</v>
      </c>
      <c r="L209" s="8" t="s">
        <v>1949</v>
      </c>
      <c r="M209" s="28" t="n">
        <f aca="false">'Disease Prediction Model'!$C$9+'Disease Prediction Model'!$C$10*B209+'Disease Prediction Model'!$C$11*C209+'Disease Prediction Model'!$C$12*D209+'Disease Prediction Model'!$C$13*E209+'Disease Prediction Model'!$C$14*F209+'Disease Prediction Model'!$C$15*G209</f>
        <v>0.559374</v>
      </c>
      <c r="N209" s="8" t="str">
        <f aca="false">IF(M209&gt;=0.5,"Yes","No")</f>
        <v>Yes</v>
      </c>
    </row>
    <row r="210" customFormat="false" ht="15" hidden="false" customHeight="false" outlineLevel="0" collapsed="false">
      <c r="A210" s="8" t="s">
        <v>2157</v>
      </c>
      <c r="B210" s="8" t="n">
        <v>31</v>
      </c>
      <c r="C210" s="8" t="n">
        <v>22.2</v>
      </c>
      <c r="D210" s="8" t="n">
        <v>140</v>
      </c>
      <c r="E210" s="8" t="n">
        <v>117</v>
      </c>
      <c r="F210" s="8" t="n">
        <v>0</v>
      </c>
      <c r="G210" s="8" t="n">
        <v>2</v>
      </c>
      <c r="H210" s="8" t="n">
        <v>1</v>
      </c>
      <c r="I210" s="8" t="s">
        <v>1948</v>
      </c>
      <c r="J210" s="8" t="s">
        <v>1951</v>
      </c>
      <c r="K210" s="8" t="s">
        <v>1954</v>
      </c>
      <c r="L210" s="8" t="s">
        <v>1949</v>
      </c>
      <c r="M210" s="28" t="n">
        <f aca="false">'Disease Prediction Model'!$C$9+'Disease Prediction Model'!$C$10*B210+'Disease Prediction Model'!$C$11*C210+'Disease Prediction Model'!$C$12*D210+'Disease Prediction Model'!$C$13*E210+'Disease Prediction Model'!$C$14*F210+'Disease Prediction Model'!$C$15*G210</f>
        <v>0.241668</v>
      </c>
      <c r="N210" s="8" t="str">
        <f aca="false">IF(M210&gt;=0.5,"Yes","No")</f>
        <v>No</v>
      </c>
    </row>
    <row r="211" customFormat="false" ht="15" hidden="false" customHeight="false" outlineLevel="0" collapsed="false">
      <c r="A211" s="8" t="s">
        <v>2158</v>
      </c>
      <c r="B211" s="8" t="n">
        <v>63</v>
      </c>
      <c r="C211" s="8" t="n">
        <v>39.6</v>
      </c>
      <c r="D211" s="8" t="n">
        <v>140</v>
      </c>
      <c r="E211" s="8" t="n">
        <v>119</v>
      </c>
      <c r="F211" s="8" t="n">
        <v>1</v>
      </c>
      <c r="G211" s="8" t="n">
        <v>1</v>
      </c>
      <c r="H211" s="8" t="n">
        <v>1</v>
      </c>
      <c r="I211" s="8" t="s">
        <v>1954</v>
      </c>
      <c r="J211" s="8" t="s">
        <v>1405</v>
      </c>
      <c r="K211" s="8" t="s">
        <v>1954</v>
      </c>
      <c r="L211" s="8" t="s">
        <v>1949</v>
      </c>
      <c r="M211" s="28" t="n">
        <f aca="false">'Disease Prediction Model'!$C$9+'Disease Prediction Model'!$C$10*B211+'Disease Prediction Model'!$C$11*C211+'Disease Prediction Model'!$C$12*D211+'Disease Prediction Model'!$C$13*E211+'Disease Prediction Model'!$C$14*F211+'Disease Prediction Model'!$C$15*G211</f>
        <v>0.784914</v>
      </c>
      <c r="N211" s="8" t="str">
        <f aca="false">IF(M211&gt;=0.5,"Yes","No")</f>
        <v>Yes</v>
      </c>
    </row>
    <row r="212" customFormat="false" ht="15" hidden="false" customHeight="false" outlineLevel="0" collapsed="false">
      <c r="A212" s="8" t="s">
        <v>2159</v>
      </c>
      <c r="B212" s="8" t="n">
        <v>44</v>
      </c>
      <c r="C212" s="8" t="n">
        <v>30.9</v>
      </c>
      <c r="D212" s="8" t="n">
        <v>122</v>
      </c>
      <c r="E212" s="8" t="n">
        <v>111</v>
      </c>
      <c r="F212" s="8" t="n">
        <v>0</v>
      </c>
      <c r="G212" s="8" t="n">
        <v>1</v>
      </c>
      <c r="H212" s="8" t="n">
        <v>0</v>
      </c>
      <c r="I212" s="8" t="s">
        <v>1948</v>
      </c>
      <c r="J212" s="8" t="s">
        <v>1405</v>
      </c>
      <c r="K212" s="8" t="s">
        <v>1948</v>
      </c>
      <c r="L212" s="8" t="s">
        <v>1949</v>
      </c>
      <c r="M212" s="28" t="n">
        <f aca="false">'Disease Prediction Model'!$C$9+'Disease Prediction Model'!$C$10*B212+'Disease Prediction Model'!$C$11*C212+'Disease Prediction Model'!$C$12*D212+'Disease Prediction Model'!$C$13*E212+'Disease Prediction Model'!$C$14*F212+'Disease Prediction Model'!$C$15*G212</f>
        <v>0.359581</v>
      </c>
      <c r="N212" s="8" t="str">
        <f aca="false">IF(M212&gt;=0.5,"Yes","No")</f>
        <v>No</v>
      </c>
    </row>
    <row r="213" customFormat="false" ht="15" hidden="false" customHeight="false" outlineLevel="0" collapsed="false">
      <c r="A213" s="8" t="s">
        <v>2160</v>
      </c>
      <c r="B213" s="8" t="n">
        <v>57</v>
      </c>
      <c r="C213" s="8" t="n">
        <v>30.1</v>
      </c>
      <c r="D213" s="8" t="n">
        <v>133</v>
      </c>
      <c r="E213" s="8" t="n">
        <v>111</v>
      </c>
      <c r="F213" s="8" t="n">
        <v>0</v>
      </c>
      <c r="G213" s="8" t="n">
        <v>0</v>
      </c>
      <c r="H213" s="8" t="n">
        <v>0</v>
      </c>
      <c r="I213" s="8" t="s">
        <v>1948</v>
      </c>
      <c r="J213" s="8" t="s">
        <v>1959</v>
      </c>
      <c r="K213" s="8" t="s">
        <v>1948</v>
      </c>
      <c r="L213" s="8" t="s">
        <v>1949</v>
      </c>
      <c r="M213" s="28" t="n">
        <f aca="false">'Disease Prediction Model'!$C$9+'Disease Prediction Model'!$C$10*B213+'Disease Prediction Model'!$C$11*C213+'Disease Prediction Model'!$C$12*D213+'Disease Prediction Model'!$C$13*E213+'Disease Prediction Model'!$C$14*F213+'Disease Prediction Model'!$C$15*G213</f>
        <v>0.528669</v>
      </c>
      <c r="N213" s="8" t="str">
        <f aca="false">IF(M213&gt;=0.5,"Yes","No")</f>
        <v>Yes</v>
      </c>
    </row>
    <row r="214" customFormat="false" ht="15" hidden="false" customHeight="false" outlineLevel="0" collapsed="false">
      <c r="A214" s="8" t="s">
        <v>2161</v>
      </c>
      <c r="B214" s="8" t="n">
        <v>73</v>
      </c>
      <c r="C214" s="8" t="n">
        <v>31.3</v>
      </c>
      <c r="D214" s="8" t="n">
        <v>124</v>
      </c>
      <c r="E214" s="8" t="n">
        <v>108</v>
      </c>
      <c r="F214" s="8" t="n">
        <v>0</v>
      </c>
      <c r="G214" s="8" t="n">
        <v>1</v>
      </c>
      <c r="H214" s="8" t="n">
        <v>1</v>
      </c>
      <c r="I214" s="8" t="s">
        <v>1948</v>
      </c>
      <c r="J214" s="8" t="s">
        <v>1405</v>
      </c>
      <c r="K214" s="8" t="s">
        <v>1954</v>
      </c>
      <c r="L214" s="8" t="s">
        <v>1949</v>
      </c>
      <c r="M214" s="28" t="n">
        <f aca="false">'Disease Prediction Model'!$C$9+'Disease Prediction Model'!$C$10*B214+'Disease Prediction Model'!$C$11*C214+'Disease Prediction Model'!$C$12*D214+'Disease Prediction Model'!$C$13*E214+'Disease Prediction Model'!$C$14*F214+'Disease Prediction Model'!$C$15*G214</f>
        <v>0.428197</v>
      </c>
      <c r="N214" s="8" t="str">
        <f aca="false">IF(M214&gt;=0.5,"Yes","No")</f>
        <v>No</v>
      </c>
    </row>
    <row r="215" customFormat="false" ht="15" hidden="false" customHeight="false" outlineLevel="0" collapsed="false">
      <c r="A215" s="8" t="s">
        <v>2162</v>
      </c>
      <c r="B215" s="8" t="n">
        <v>56</v>
      </c>
      <c r="C215" s="8" t="n">
        <v>23.9</v>
      </c>
      <c r="D215" s="8" t="n">
        <v>151</v>
      </c>
      <c r="E215" s="8" t="n">
        <v>104</v>
      </c>
      <c r="F215" s="8" t="n">
        <v>0</v>
      </c>
      <c r="G215" s="8" t="n">
        <v>2</v>
      </c>
      <c r="H215" s="8" t="n">
        <v>0</v>
      </c>
      <c r="I215" s="8" t="s">
        <v>1948</v>
      </c>
      <c r="J215" s="8" t="s">
        <v>1951</v>
      </c>
      <c r="K215" s="8" t="s">
        <v>1948</v>
      </c>
      <c r="L215" s="8" t="s">
        <v>1949</v>
      </c>
      <c r="M215" s="28" t="n">
        <f aca="false">'Disease Prediction Model'!$C$9+'Disease Prediction Model'!$C$10*B215+'Disease Prediction Model'!$C$11*C215+'Disease Prediction Model'!$C$12*D215+'Disease Prediction Model'!$C$13*E215+'Disease Prediction Model'!$C$14*F215+'Disease Prediction Model'!$C$15*G215</f>
        <v>0.253031</v>
      </c>
      <c r="N215" s="8" t="str">
        <f aca="false">IF(M215&gt;=0.5,"Yes","No")</f>
        <v>No</v>
      </c>
    </row>
    <row r="216" customFormat="false" ht="15" hidden="false" customHeight="false" outlineLevel="0" collapsed="false">
      <c r="A216" s="8" t="s">
        <v>2163</v>
      </c>
      <c r="B216" s="8" t="n">
        <v>61</v>
      </c>
      <c r="C216" s="8" t="n">
        <v>27.6</v>
      </c>
      <c r="D216" s="8" t="n">
        <v>118</v>
      </c>
      <c r="E216" s="8" t="n">
        <v>80</v>
      </c>
      <c r="F216" s="8" t="n">
        <v>0</v>
      </c>
      <c r="G216" s="8" t="n">
        <v>1</v>
      </c>
      <c r="H216" s="8" t="n">
        <v>0</v>
      </c>
      <c r="I216" s="8" t="s">
        <v>1948</v>
      </c>
      <c r="J216" s="8" t="s">
        <v>1405</v>
      </c>
      <c r="K216" s="8" t="s">
        <v>1948</v>
      </c>
      <c r="L216" s="8" t="s">
        <v>1949</v>
      </c>
      <c r="M216" s="28" t="n">
        <f aca="false">'Disease Prediction Model'!$C$9+'Disease Prediction Model'!$C$10*B216+'Disease Prediction Model'!$C$11*C216+'Disease Prediction Model'!$C$12*D216+'Disease Prediction Model'!$C$13*E216+'Disease Prediction Model'!$C$14*F216+'Disease Prediction Model'!$C$15*G216</f>
        <v>0.070254</v>
      </c>
      <c r="N216" s="8" t="str">
        <f aca="false">IF(M216&gt;=0.5,"Yes","No")</f>
        <v>No</v>
      </c>
    </row>
    <row r="217" customFormat="false" ht="15" hidden="false" customHeight="false" outlineLevel="0" collapsed="false">
      <c r="A217" s="8" t="s">
        <v>2164</v>
      </c>
      <c r="B217" s="8" t="n">
        <v>48</v>
      </c>
      <c r="C217" s="8" t="n">
        <v>38</v>
      </c>
      <c r="D217" s="8" t="n">
        <v>111</v>
      </c>
      <c r="E217" s="8" t="n">
        <v>119</v>
      </c>
      <c r="F217" s="8" t="n">
        <v>0</v>
      </c>
      <c r="G217" s="8" t="n">
        <v>0</v>
      </c>
      <c r="H217" s="8" t="n">
        <v>0</v>
      </c>
      <c r="I217" s="8" t="s">
        <v>1948</v>
      </c>
      <c r="J217" s="8" t="s">
        <v>1959</v>
      </c>
      <c r="K217" s="8" t="s">
        <v>1948</v>
      </c>
      <c r="L217" s="8" t="s">
        <v>1949</v>
      </c>
      <c r="M217" s="28" t="n">
        <f aca="false">'Disease Prediction Model'!$C$9+'Disease Prediction Model'!$C$10*B217+'Disease Prediction Model'!$C$11*C217+'Disease Prediction Model'!$C$12*D217+'Disease Prediction Model'!$C$13*E217+'Disease Prediction Model'!$C$14*F217+'Disease Prediction Model'!$C$15*G217</f>
        <v>0.58769</v>
      </c>
      <c r="N217" s="8" t="str">
        <f aca="false">IF(M217&gt;=0.5,"Yes","No")</f>
        <v>Yes</v>
      </c>
    </row>
    <row r="218" customFormat="false" ht="15" hidden="false" customHeight="false" outlineLevel="0" collapsed="false">
      <c r="A218" s="8" t="s">
        <v>2165</v>
      </c>
      <c r="B218" s="8" t="n">
        <v>79</v>
      </c>
      <c r="C218" s="8" t="n">
        <v>27.4</v>
      </c>
      <c r="D218" s="8" t="n">
        <v>110</v>
      </c>
      <c r="E218" s="8" t="n">
        <v>124</v>
      </c>
      <c r="F218" s="8" t="n">
        <v>0</v>
      </c>
      <c r="G218" s="8" t="n">
        <v>0</v>
      </c>
      <c r="H218" s="8" t="n">
        <v>1</v>
      </c>
      <c r="I218" s="8" t="s">
        <v>1948</v>
      </c>
      <c r="J218" s="8" t="s">
        <v>1959</v>
      </c>
      <c r="K218" s="8" t="s">
        <v>1954</v>
      </c>
      <c r="L218" s="8" t="s">
        <v>1949</v>
      </c>
      <c r="M218" s="28" t="n">
        <f aca="false">'Disease Prediction Model'!$C$9+'Disease Prediction Model'!$C$10*B218+'Disease Prediction Model'!$C$11*C218+'Disease Prediction Model'!$C$12*D218+'Disease Prediction Model'!$C$13*E218+'Disease Prediction Model'!$C$14*F218+'Disease Prediction Model'!$C$15*G218</f>
        <v>0.600196</v>
      </c>
      <c r="N218" s="8" t="str">
        <f aca="false">IF(M218&gt;=0.5,"Yes","No")</f>
        <v>Yes</v>
      </c>
    </row>
    <row r="219" customFormat="false" ht="15" hidden="false" customHeight="false" outlineLevel="0" collapsed="false">
      <c r="A219" s="8" t="s">
        <v>2166</v>
      </c>
      <c r="B219" s="8" t="n">
        <v>80</v>
      </c>
      <c r="C219" s="8" t="n">
        <v>29.8</v>
      </c>
      <c r="D219" s="8" t="n">
        <v>109</v>
      </c>
      <c r="E219" s="8" t="n">
        <v>78</v>
      </c>
      <c r="F219" s="8" t="n">
        <v>0</v>
      </c>
      <c r="G219" s="8" t="n">
        <v>1</v>
      </c>
      <c r="H219" s="8" t="n">
        <v>1</v>
      </c>
      <c r="I219" s="8" t="s">
        <v>1948</v>
      </c>
      <c r="J219" s="8" t="s">
        <v>1405</v>
      </c>
      <c r="K219" s="8" t="s">
        <v>1954</v>
      </c>
      <c r="L219" s="8" t="s">
        <v>1949</v>
      </c>
      <c r="M219" s="28" t="n">
        <f aca="false">'Disease Prediction Model'!$C$9+'Disease Prediction Model'!$C$10*B219+'Disease Prediction Model'!$C$11*C219+'Disease Prediction Model'!$C$12*D219+'Disease Prediction Model'!$C$13*E219+'Disease Prediction Model'!$C$14*F219+'Disease Prediction Model'!$C$15*G219</f>
        <v>0.100052</v>
      </c>
      <c r="N219" s="8" t="str">
        <f aca="false">IF(M219&gt;=0.5,"Yes","No")</f>
        <v>No</v>
      </c>
    </row>
    <row r="220" customFormat="false" ht="15" hidden="false" customHeight="false" outlineLevel="0" collapsed="false">
      <c r="A220" s="8" t="s">
        <v>2167</v>
      </c>
      <c r="B220" s="8" t="n">
        <v>56</v>
      </c>
      <c r="C220" s="8" t="n">
        <v>28.4</v>
      </c>
      <c r="D220" s="8" t="n">
        <v>142</v>
      </c>
      <c r="E220" s="8" t="n">
        <v>112</v>
      </c>
      <c r="F220" s="8" t="n">
        <v>1</v>
      </c>
      <c r="G220" s="8" t="n">
        <v>1</v>
      </c>
      <c r="H220" s="8" t="n">
        <v>1</v>
      </c>
      <c r="I220" s="8" t="s">
        <v>1954</v>
      </c>
      <c r="J220" s="8" t="s">
        <v>1405</v>
      </c>
      <c r="K220" s="8" t="s">
        <v>1954</v>
      </c>
      <c r="L220" s="8" t="s">
        <v>1949</v>
      </c>
      <c r="M220" s="28" t="n">
        <f aca="false">'Disease Prediction Model'!$C$9+'Disease Prediction Model'!$C$10*B220+'Disease Prediction Model'!$C$11*C220+'Disease Prediction Model'!$C$12*D220+'Disease Prediction Model'!$C$13*E220+'Disease Prediction Model'!$C$14*F220+'Disease Prediction Model'!$C$15*G220</f>
        <v>0.579246</v>
      </c>
      <c r="N220" s="8" t="str">
        <f aca="false">IF(M220&gt;=0.5,"Yes","No")</f>
        <v>Yes</v>
      </c>
    </row>
    <row r="221" customFormat="false" ht="15" hidden="false" customHeight="false" outlineLevel="0" collapsed="false">
      <c r="A221" s="8" t="s">
        <v>2168</v>
      </c>
      <c r="B221" s="8" t="n">
        <v>37</v>
      </c>
      <c r="C221" s="8" t="n">
        <v>29.1</v>
      </c>
      <c r="D221" s="8" t="n">
        <v>113</v>
      </c>
      <c r="E221" s="8" t="n">
        <v>109</v>
      </c>
      <c r="F221" s="8" t="n">
        <v>1</v>
      </c>
      <c r="G221" s="8" t="n">
        <v>0</v>
      </c>
      <c r="H221" s="8" t="n">
        <v>0</v>
      </c>
      <c r="I221" s="8" t="s">
        <v>1954</v>
      </c>
      <c r="J221" s="8" t="s">
        <v>1959</v>
      </c>
      <c r="K221" s="8" t="s">
        <v>1948</v>
      </c>
      <c r="L221" s="8" t="s">
        <v>1949</v>
      </c>
      <c r="M221" s="28" t="n">
        <f aca="false">'Disease Prediction Model'!$C$9+'Disease Prediction Model'!$C$10*B221+'Disease Prediction Model'!$C$11*C221+'Disease Prediction Model'!$C$12*D221+'Disease Prediction Model'!$C$13*E221+'Disease Prediction Model'!$C$14*F221+'Disease Prediction Model'!$C$15*G221</f>
        <v>0.500999</v>
      </c>
      <c r="N221" s="8" t="str">
        <f aca="false">IF(M221&gt;=0.5,"Yes","No")</f>
        <v>Yes</v>
      </c>
    </row>
    <row r="222" customFormat="false" ht="15" hidden="false" customHeight="false" outlineLevel="0" collapsed="false">
      <c r="A222" s="8" t="s">
        <v>2169</v>
      </c>
      <c r="B222" s="8" t="n">
        <v>74</v>
      </c>
      <c r="C222" s="8" t="n">
        <v>24.4</v>
      </c>
      <c r="D222" s="8" t="n">
        <v>135</v>
      </c>
      <c r="E222" s="8" t="n">
        <v>122</v>
      </c>
      <c r="F222" s="8" t="n">
        <v>1</v>
      </c>
      <c r="G222" s="8" t="n">
        <v>0</v>
      </c>
      <c r="H222" s="8" t="n">
        <v>1</v>
      </c>
      <c r="I222" s="8" t="s">
        <v>1954</v>
      </c>
      <c r="J222" s="8" t="s">
        <v>1959</v>
      </c>
      <c r="K222" s="8" t="s">
        <v>1954</v>
      </c>
      <c r="L222" s="8" t="s">
        <v>1949</v>
      </c>
      <c r="M222" s="28" t="n">
        <f aca="false">'Disease Prediction Model'!$C$9+'Disease Prediction Model'!$C$10*B222+'Disease Prediction Model'!$C$11*C222+'Disease Prediction Model'!$C$12*D222+'Disease Prediction Model'!$C$13*E222+'Disease Prediction Model'!$C$14*F222+'Disease Prediction Model'!$C$15*G222</f>
        <v>0.754646</v>
      </c>
      <c r="N222" s="8" t="str">
        <f aca="false">IF(M222&gt;=0.5,"Yes","No")</f>
        <v>Yes</v>
      </c>
    </row>
    <row r="223" customFormat="false" ht="15" hidden="false" customHeight="false" outlineLevel="0" collapsed="false">
      <c r="A223" s="8" t="s">
        <v>2170</v>
      </c>
      <c r="B223" s="8" t="n">
        <v>54</v>
      </c>
      <c r="C223" s="8" t="n">
        <v>32.4</v>
      </c>
      <c r="D223" s="8" t="n">
        <v>155</v>
      </c>
      <c r="E223" s="8" t="n">
        <v>109</v>
      </c>
      <c r="F223" s="8" t="n">
        <v>1</v>
      </c>
      <c r="G223" s="8" t="n">
        <v>1</v>
      </c>
      <c r="H223" s="8" t="n">
        <v>1</v>
      </c>
      <c r="I223" s="8" t="s">
        <v>1954</v>
      </c>
      <c r="J223" s="8" t="s">
        <v>1405</v>
      </c>
      <c r="K223" s="8" t="s">
        <v>1954</v>
      </c>
      <c r="L223" s="8" t="s">
        <v>1949</v>
      </c>
      <c r="M223" s="28" t="n">
        <f aca="false">'Disease Prediction Model'!$C$9+'Disease Prediction Model'!$C$10*B223+'Disease Prediction Model'!$C$11*C223+'Disease Prediction Model'!$C$12*D223+'Disease Prediction Model'!$C$13*E223+'Disease Prediction Model'!$C$14*F223+'Disease Prediction Model'!$C$15*G223</f>
        <v>0.637726</v>
      </c>
      <c r="N223" s="8" t="str">
        <f aca="false">IF(M223&gt;=0.5,"Yes","No")</f>
        <v>Yes</v>
      </c>
    </row>
    <row r="224" customFormat="false" ht="15" hidden="false" customHeight="false" outlineLevel="0" collapsed="false">
      <c r="A224" s="8" t="s">
        <v>2171</v>
      </c>
      <c r="B224" s="8" t="n">
        <v>44</v>
      </c>
      <c r="C224" s="8" t="n">
        <v>26.3</v>
      </c>
      <c r="D224" s="8" t="n">
        <v>106</v>
      </c>
      <c r="E224" s="8" t="n">
        <v>105</v>
      </c>
      <c r="F224" s="8" t="n">
        <v>0</v>
      </c>
      <c r="G224" s="8" t="n">
        <v>1</v>
      </c>
      <c r="H224" s="8" t="n">
        <v>0</v>
      </c>
      <c r="I224" s="8" t="s">
        <v>1948</v>
      </c>
      <c r="J224" s="8" t="s">
        <v>1405</v>
      </c>
      <c r="K224" s="8" t="s">
        <v>1948</v>
      </c>
      <c r="L224" s="8" t="s">
        <v>1949</v>
      </c>
      <c r="M224" s="28" t="n">
        <f aca="false">'Disease Prediction Model'!$C$9+'Disease Prediction Model'!$C$10*B224+'Disease Prediction Model'!$C$11*C224+'Disease Prediction Model'!$C$12*D224+'Disease Prediction Model'!$C$13*E224+'Disease Prediction Model'!$C$14*F224+'Disease Prediction Model'!$C$15*G224</f>
        <v>0.194347</v>
      </c>
      <c r="N224" s="8" t="str">
        <f aca="false">IF(M224&gt;=0.5,"Yes","No")</f>
        <v>No</v>
      </c>
    </row>
    <row r="225" customFormat="false" ht="15" hidden="false" customHeight="false" outlineLevel="0" collapsed="false">
      <c r="A225" s="8" t="s">
        <v>2172</v>
      </c>
      <c r="B225" s="8" t="n">
        <v>49</v>
      </c>
      <c r="C225" s="8" t="n">
        <v>28.8</v>
      </c>
      <c r="D225" s="8" t="n">
        <v>90</v>
      </c>
      <c r="E225" s="8" t="n">
        <v>86</v>
      </c>
      <c r="F225" s="8" t="n">
        <v>1</v>
      </c>
      <c r="G225" s="8" t="n">
        <v>0</v>
      </c>
      <c r="H225" s="8" t="n">
        <v>1</v>
      </c>
      <c r="I225" s="8" t="s">
        <v>1954</v>
      </c>
      <c r="J225" s="8" t="s">
        <v>1959</v>
      </c>
      <c r="K225" s="8" t="s">
        <v>1954</v>
      </c>
      <c r="L225" s="8" t="s">
        <v>1949</v>
      </c>
      <c r="M225" s="28" t="n">
        <f aca="false">'Disease Prediction Model'!$C$9+'Disease Prediction Model'!$C$10*B225+'Disease Prediction Model'!$C$11*C225+'Disease Prediction Model'!$C$12*D225+'Disease Prediction Model'!$C$13*E225+'Disease Prediction Model'!$C$14*F225+'Disease Prediction Model'!$C$15*G225</f>
        <v>0.237302</v>
      </c>
      <c r="N225" s="8" t="str">
        <f aca="false">IF(M225&gt;=0.5,"Yes","No")</f>
        <v>No</v>
      </c>
    </row>
    <row r="226" customFormat="false" ht="15" hidden="false" customHeight="false" outlineLevel="0" collapsed="false">
      <c r="A226" s="8" t="s">
        <v>2173</v>
      </c>
      <c r="B226" s="8" t="n">
        <v>71</v>
      </c>
      <c r="C226" s="8" t="n">
        <v>34.4</v>
      </c>
      <c r="D226" s="8" t="n">
        <v>119</v>
      </c>
      <c r="E226" s="8" t="n">
        <v>131</v>
      </c>
      <c r="F226" s="8" t="n">
        <v>0</v>
      </c>
      <c r="G226" s="8" t="n">
        <v>1</v>
      </c>
      <c r="H226" s="8" t="n">
        <v>1</v>
      </c>
      <c r="I226" s="8" t="s">
        <v>1948</v>
      </c>
      <c r="J226" s="8" t="s">
        <v>1405</v>
      </c>
      <c r="K226" s="8" t="s">
        <v>1954</v>
      </c>
      <c r="L226" s="8" t="s">
        <v>1949</v>
      </c>
      <c r="M226" s="28" t="n">
        <f aca="false">'Disease Prediction Model'!$C$9+'Disease Prediction Model'!$C$10*B226+'Disease Prediction Model'!$C$11*C226+'Disease Prediction Model'!$C$12*D226+'Disease Prediction Model'!$C$13*E226+'Disease Prediction Model'!$C$14*F226+'Disease Prediction Model'!$C$15*G226</f>
        <v>0.652746</v>
      </c>
      <c r="N226" s="8" t="str">
        <f aca="false">IF(M226&gt;=0.5,"Yes","No")</f>
        <v>Yes</v>
      </c>
    </row>
    <row r="227" customFormat="false" ht="15" hidden="false" customHeight="false" outlineLevel="0" collapsed="false">
      <c r="A227" s="8" t="s">
        <v>2174</v>
      </c>
      <c r="B227" s="8" t="n">
        <v>42</v>
      </c>
      <c r="C227" s="8" t="n">
        <v>25.1</v>
      </c>
      <c r="D227" s="8" t="n">
        <v>116</v>
      </c>
      <c r="E227" s="8" t="n">
        <v>116</v>
      </c>
      <c r="F227" s="8" t="n">
        <v>0</v>
      </c>
      <c r="G227" s="8" t="n">
        <v>0</v>
      </c>
      <c r="H227" s="8" t="n">
        <v>0</v>
      </c>
      <c r="I227" s="8" t="s">
        <v>1948</v>
      </c>
      <c r="J227" s="8" t="s">
        <v>1959</v>
      </c>
      <c r="K227" s="8" t="s">
        <v>1948</v>
      </c>
      <c r="L227" s="8" t="s">
        <v>1949</v>
      </c>
      <c r="M227" s="28" t="n">
        <f aca="false">'Disease Prediction Model'!$C$9+'Disease Prediction Model'!$C$10*B227+'Disease Prediction Model'!$C$11*C227+'Disease Prediction Model'!$C$12*D227+'Disease Prediction Model'!$C$13*E227+'Disease Prediction Model'!$C$14*F227+'Disease Prediction Model'!$C$15*G227</f>
        <v>0.413359</v>
      </c>
      <c r="N227" s="8" t="str">
        <f aca="false">IF(M227&gt;=0.5,"Yes","No")</f>
        <v>No</v>
      </c>
    </row>
    <row r="228" customFormat="false" ht="15" hidden="false" customHeight="false" outlineLevel="0" collapsed="false">
      <c r="A228" s="8" t="s">
        <v>2175</v>
      </c>
      <c r="B228" s="8" t="n">
        <v>52</v>
      </c>
      <c r="C228" s="8" t="n">
        <v>22</v>
      </c>
      <c r="D228" s="8" t="n">
        <v>135</v>
      </c>
      <c r="E228" s="8" t="n">
        <v>140</v>
      </c>
      <c r="F228" s="8" t="n">
        <v>0</v>
      </c>
      <c r="G228" s="8" t="n">
        <v>1</v>
      </c>
      <c r="H228" s="8" t="n">
        <v>1</v>
      </c>
      <c r="I228" s="8" t="s">
        <v>1948</v>
      </c>
      <c r="J228" s="8" t="s">
        <v>1405</v>
      </c>
      <c r="K228" s="8" t="s">
        <v>1954</v>
      </c>
      <c r="L228" s="8" t="s">
        <v>1949</v>
      </c>
      <c r="M228" s="28" t="n">
        <f aca="false">'Disease Prediction Model'!$C$9+'Disease Prediction Model'!$C$10*B228+'Disease Prediction Model'!$C$11*C228+'Disease Prediction Model'!$C$12*D228+'Disease Prediction Model'!$C$13*E228+'Disease Prediction Model'!$C$14*F228+'Disease Prediction Model'!$C$15*G228</f>
        <v>0.59665</v>
      </c>
      <c r="N228" s="8" t="str">
        <f aca="false">IF(M228&gt;=0.5,"Yes","No")</f>
        <v>Yes</v>
      </c>
    </row>
    <row r="229" customFormat="false" ht="15" hidden="false" customHeight="false" outlineLevel="0" collapsed="false">
      <c r="A229" s="8" t="s">
        <v>2176</v>
      </c>
      <c r="B229" s="8" t="n">
        <v>24</v>
      </c>
      <c r="C229" s="8" t="n">
        <v>24.5</v>
      </c>
      <c r="D229" s="8" t="n">
        <v>127</v>
      </c>
      <c r="E229" s="8" t="n">
        <v>70</v>
      </c>
      <c r="F229" s="8" t="n">
        <v>0</v>
      </c>
      <c r="G229" s="8" t="n">
        <v>1</v>
      </c>
      <c r="H229" s="8" t="n">
        <v>0</v>
      </c>
      <c r="I229" s="8" t="s">
        <v>1948</v>
      </c>
      <c r="J229" s="8" t="s">
        <v>1405</v>
      </c>
      <c r="K229" s="8" t="s">
        <v>1948</v>
      </c>
      <c r="L229" s="8" t="s">
        <v>1949</v>
      </c>
      <c r="M229" s="28" t="n">
        <f aca="false">'Disease Prediction Model'!$C$9+'Disease Prediction Model'!$C$10*B229+'Disease Prediction Model'!$C$11*C229+'Disease Prediction Model'!$C$12*D229+'Disease Prediction Model'!$C$13*E229+'Disease Prediction Model'!$C$14*F229+'Disease Prediction Model'!$C$15*G229</f>
        <v>-0.133475</v>
      </c>
      <c r="N229" s="8" t="str">
        <f aca="false">IF(M229&gt;=0.5,"Yes","No")</f>
        <v>No</v>
      </c>
    </row>
    <row r="230" customFormat="false" ht="15" hidden="false" customHeight="false" outlineLevel="0" collapsed="false">
      <c r="A230" s="8" t="s">
        <v>2177</v>
      </c>
      <c r="B230" s="8" t="n">
        <v>46</v>
      </c>
      <c r="C230" s="8" t="n">
        <v>19.5</v>
      </c>
      <c r="D230" s="8" t="n">
        <v>141</v>
      </c>
      <c r="E230" s="8" t="n">
        <v>129</v>
      </c>
      <c r="F230" s="8" t="n">
        <v>0</v>
      </c>
      <c r="G230" s="8" t="n">
        <v>0</v>
      </c>
      <c r="H230" s="8" t="n">
        <v>1</v>
      </c>
      <c r="I230" s="8" t="s">
        <v>1948</v>
      </c>
      <c r="J230" s="8" t="s">
        <v>1959</v>
      </c>
      <c r="K230" s="8" t="s">
        <v>1954</v>
      </c>
      <c r="L230" s="8" t="s">
        <v>1949</v>
      </c>
      <c r="M230" s="28" t="n">
        <f aca="false">'Disease Prediction Model'!$C$9+'Disease Prediction Model'!$C$10*B230+'Disease Prediction Model'!$C$11*C230+'Disease Prediction Model'!$C$12*D230+'Disease Prediction Model'!$C$13*E230+'Disease Prediction Model'!$C$14*F230+'Disease Prediction Model'!$C$15*G230</f>
        <v>0.571135</v>
      </c>
      <c r="N230" s="8" t="str">
        <f aca="false">IF(M230&gt;=0.5,"Yes","No")</f>
        <v>Yes</v>
      </c>
    </row>
    <row r="231" customFormat="false" ht="15" hidden="false" customHeight="false" outlineLevel="0" collapsed="false">
      <c r="A231" s="8" t="s">
        <v>2178</v>
      </c>
      <c r="B231" s="8" t="n">
        <v>52</v>
      </c>
      <c r="C231" s="8" t="n">
        <v>29.6</v>
      </c>
      <c r="D231" s="8" t="n">
        <v>111</v>
      </c>
      <c r="E231" s="8" t="n">
        <v>113</v>
      </c>
      <c r="F231" s="8" t="n">
        <v>0</v>
      </c>
      <c r="G231" s="8" t="n">
        <v>0</v>
      </c>
      <c r="H231" s="8" t="n">
        <v>1</v>
      </c>
      <c r="I231" s="8" t="s">
        <v>1948</v>
      </c>
      <c r="J231" s="8" t="s">
        <v>1959</v>
      </c>
      <c r="K231" s="8" t="s">
        <v>1954</v>
      </c>
      <c r="L231" s="8" t="s">
        <v>1949</v>
      </c>
      <c r="M231" s="28" t="n">
        <f aca="false">'Disease Prediction Model'!$C$9+'Disease Prediction Model'!$C$10*B231+'Disease Prediction Model'!$C$11*C231+'Disease Prediction Model'!$C$12*D231+'Disease Prediction Model'!$C$13*E231+'Disease Prediction Model'!$C$14*F231+'Disease Prediction Model'!$C$15*G231</f>
        <v>0.448134</v>
      </c>
      <c r="N231" s="8" t="str">
        <f aca="false">IF(M231&gt;=0.5,"Yes","No")</f>
        <v>No</v>
      </c>
    </row>
    <row r="232" customFormat="false" ht="15" hidden="false" customHeight="false" outlineLevel="0" collapsed="false">
      <c r="A232" s="8" t="s">
        <v>2179</v>
      </c>
      <c r="B232" s="8" t="n">
        <v>51</v>
      </c>
      <c r="C232" s="8" t="n">
        <v>24.9</v>
      </c>
      <c r="D232" s="8" t="n">
        <v>148</v>
      </c>
      <c r="E232" s="8" t="n">
        <v>117</v>
      </c>
      <c r="F232" s="8" t="n">
        <v>0</v>
      </c>
      <c r="G232" s="8" t="n">
        <v>2</v>
      </c>
      <c r="H232" s="8" t="n">
        <v>0</v>
      </c>
      <c r="I232" s="8" t="s">
        <v>1948</v>
      </c>
      <c r="J232" s="8" t="s">
        <v>1951</v>
      </c>
      <c r="K232" s="8" t="s">
        <v>1948</v>
      </c>
      <c r="L232" s="8" t="s">
        <v>1949</v>
      </c>
      <c r="M232" s="28" t="n">
        <f aca="false">'Disease Prediction Model'!$C$9+'Disease Prediction Model'!$C$10*B232+'Disease Prediction Model'!$C$11*C232+'Disease Prediction Model'!$C$12*D232+'Disease Prediction Model'!$C$13*E232+'Disease Prediction Model'!$C$14*F232+'Disease Prediction Model'!$C$15*G232</f>
        <v>0.359461</v>
      </c>
      <c r="N232" s="8" t="str">
        <f aca="false">IF(M232&gt;=0.5,"Yes","No")</f>
        <v>No</v>
      </c>
    </row>
    <row r="233" customFormat="false" ht="15" hidden="false" customHeight="false" outlineLevel="0" collapsed="false">
      <c r="A233" s="8" t="s">
        <v>2180</v>
      </c>
      <c r="B233" s="8" t="n">
        <v>24</v>
      </c>
      <c r="C233" s="8" t="n">
        <v>30.3</v>
      </c>
      <c r="D233" s="8" t="n">
        <v>124</v>
      </c>
      <c r="E233" s="8" t="n">
        <v>119</v>
      </c>
      <c r="F233" s="8" t="n">
        <v>1</v>
      </c>
      <c r="G233" s="8" t="n">
        <v>1</v>
      </c>
      <c r="H233" s="8" t="n">
        <v>1</v>
      </c>
      <c r="I233" s="8" t="s">
        <v>1954</v>
      </c>
      <c r="J233" s="8" t="s">
        <v>1405</v>
      </c>
      <c r="K233" s="8" t="s">
        <v>1954</v>
      </c>
      <c r="L233" s="8" t="s">
        <v>1949</v>
      </c>
      <c r="M233" s="28" t="n">
        <f aca="false">'Disease Prediction Model'!$C$9+'Disease Prediction Model'!$C$10*B233+'Disease Prediction Model'!$C$11*C233+'Disease Prediction Model'!$C$12*D233+'Disease Prediction Model'!$C$13*E233+'Disease Prediction Model'!$C$14*F233+'Disease Prediction Model'!$C$15*G233</f>
        <v>0.507827</v>
      </c>
      <c r="N233" s="8" t="str">
        <f aca="false">IF(M233&gt;=0.5,"Yes","No")</f>
        <v>Yes</v>
      </c>
    </row>
    <row r="234" customFormat="false" ht="15" hidden="false" customHeight="false" outlineLevel="0" collapsed="false">
      <c r="A234" s="8" t="s">
        <v>2181</v>
      </c>
      <c r="B234" s="8" t="n">
        <v>63</v>
      </c>
      <c r="C234" s="8" t="n">
        <v>32.8</v>
      </c>
      <c r="D234" s="8" t="n">
        <v>123</v>
      </c>
      <c r="E234" s="8" t="n">
        <v>107</v>
      </c>
      <c r="F234" s="8" t="n">
        <v>0</v>
      </c>
      <c r="G234" s="8" t="n">
        <v>1</v>
      </c>
      <c r="H234" s="8" t="n">
        <v>1</v>
      </c>
      <c r="I234" s="8" t="s">
        <v>1948</v>
      </c>
      <c r="J234" s="8" t="s">
        <v>1405</v>
      </c>
      <c r="K234" s="8" t="s">
        <v>1954</v>
      </c>
      <c r="L234" s="8" t="s">
        <v>1949</v>
      </c>
      <c r="M234" s="28" t="n">
        <f aca="false">'Disease Prediction Model'!$C$9+'Disease Prediction Model'!$C$10*B234+'Disease Prediction Model'!$C$11*C234+'Disease Prediction Model'!$C$12*D234+'Disease Prediction Model'!$C$13*E234+'Disease Prediction Model'!$C$14*F234+'Disease Prediction Model'!$C$15*G234</f>
        <v>0.403242</v>
      </c>
      <c r="N234" s="8" t="str">
        <f aca="false">IF(M234&gt;=0.5,"Yes","No")</f>
        <v>No</v>
      </c>
    </row>
    <row r="235" customFormat="false" ht="15" hidden="false" customHeight="false" outlineLevel="0" collapsed="false">
      <c r="A235" s="8" t="s">
        <v>2182</v>
      </c>
      <c r="B235" s="8" t="n">
        <v>57</v>
      </c>
      <c r="C235" s="8" t="n">
        <v>34.3</v>
      </c>
      <c r="D235" s="8" t="n">
        <v>104</v>
      </c>
      <c r="E235" s="8" t="n">
        <v>71</v>
      </c>
      <c r="F235" s="8" t="n">
        <v>1</v>
      </c>
      <c r="G235" s="8" t="n">
        <v>2</v>
      </c>
      <c r="H235" s="8" t="n">
        <v>0</v>
      </c>
      <c r="I235" s="8" t="s">
        <v>1954</v>
      </c>
      <c r="J235" s="8" t="s">
        <v>1951</v>
      </c>
      <c r="K235" s="8" t="s">
        <v>1948</v>
      </c>
      <c r="L235" s="8" t="s">
        <v>1949</v>
      </c>
      <c r="M235" s="28" t="n">
        <f aca="false">'Disease Prediction Model'!$C$9+'Disease Prediction Model'!$C$10*B235+'Disease Prediction Model'!$C$11*C235+'Disease Prediction Model'!$C$12*D235+'Disease Prediction Model'!$C$13*E235+'Disease Prediction Model'!$C$14*F235+'Disease Prediction Model'!$C$15*G235</f>
        <v>0.0328069999999998</v>
      </c>
      <c r="N235" s="8" t="str">
        <f aca="false">IF(M235&gt;=0.5,"Yes","No")</f>
        <v>No</v>
      </c>
    </row>
    <row r="236" customFormat="false" ht="15" hidden="false" customHeight="false" outlineLevel="0" collapsed="false">
      <c r="A236" s="8" t="s">
        <v>2183</v>
      </c>
      <c r="B236" s="8" t="n">
        <v>55</v>
      </c>
      <c r="C236" s="8" t="n">
        <v>31.7</v>
      </c>
      <c r="D236" s="8" t="n">
        <v>123</v>
      </c>
      <c r="E236" s="8" t="n">
        <v>84</v>
      </c>
      <c r="F236" s="8" t="n">
        <v>0</v>
      </c>
      <c r="G236" s="8" t="n">
        <v>1</v>
      </c>
      <c r="H236" s="8" t="n">
        <v>0</v>
      </c>
      <c r="I236" s="8" t="s">
        <v>1948</v>
      </c>
      <c r="J236" s="8" t="s">
        <v>1405</v>
      </c>
      <c r="K236" s="8" t="s">
        <v>1948</v>
      </c>
      <c r="L236" s="8" t="s">
        <v>1949</v>
      </c>
      <c r="M236" s="28" t="n">
        <f aca="false">'Disease Prediction Model'!$C$9+'Disease Prediction Model'!$C$10*B236+'Disease Prediction Model'!$C$11*C236+'Disease Prediction Model'!$C$12*D236+'Disease Prediction Model'!$C$13*E236+'Disease Prediction Model'!$C$14*F236+'Disease Prediction Model'!$C$15*G236</f>
        <v>0.154373</v>
      </c>
      <c r="N236" s="8" t="str">
        <f aca="false">IF(M236&gt;=0.5,"Yes","No")</f>
        <v>No</v>
      </c>
    </row>
    <row r="237" customFormat="false" ht="15" hidden="false" customHeight="false" outlineLevel="0" collapsed="false">
      <c r="A237" s="8" t="s">
        <v>2184</v>
      </c>
      <c r="B237" s="8" t="n">
        <v>53</v>
      </c>
      <c r="C237" s="8" t="n">
        <v>18</v>
      </c>
      <c r="D237" s="8" t="n">
        <v>118</v>
      </c>
      <c r="E237" s="8" t="n">
        <v>104</v>
      </c>
      <c r="F237" s="8" t="n">
        <v>1</v>
      </c>
      <c r="G237" s="8" t="n">
        <v>2</v>
      </c>
      <c r="H237" s="8" t="n">
        <v>1</v>
      </c>
      <c r="I237" s="8" t="s">
        <v>1954</v>
      </c>
      <c r="J237" s="8" t="s">
        <v>1951</v>
      </c>
      <c r="K237" s="8" t="s">
        <v>1954</v>
      </c>
      <c r="L237" s="8" t="s">
        <v>1949</v>
      </c>
      <c r="M237" s="28" t="n">
        <f aca="false">'Disease Prediction Model'!$C$9+'Disease Prediction Model'!$C$10*B237+'Disease Prediction Model'!$C$11*C237+'Disease Prediction Model'!$C$12*D237+'Disease Prediction Model'!$C$13*E237+'Disease Prediction Model'!$C$14*F237+'Disease Prediction Model'!$C$15*G237</f>
        <v>0.19117</v>
      </c>
      <c r="N237" s="8" t="str">
        <f aca="false">IF(M237&gt;=0.5,"Yes","No")</f>
        <v>No</v>
      </c>
    </row>
    <row r="238" customFormat="false" ht="15" hidden="false" customHeight="false" outlineLevel="0" collapsed="false">
      <c r="A238" s="8" t="s">
        <v>2185</v>
      </c>
      <c r="B238" s="8" t="n">
        <v>26</v>
      </c>
      <c r="C238" s="8" t="n">
        <v>24.6</v>
      </c>
      <c r="D238" s="8" t="n">
        <v>126</v>
      </c>
      <c r="E238" s="8" t="n">
        <v>105</v>
      </c>
      <c r="F238" s="8" t="n">
        <v>0</v>
      </c>
      <c r="G238" s="8" t="n">
        <v>0</v>
      </c>
      <c r="H238" s="8" t="n">
        <v>0</v>
      </c>
      <c r="I238" s="8" t="s">
        <v>1948</v>
      </c>
      <c r="J238" s="8" t="s">
        <v>1959</v>
      </c>
      <c r="K238" s="8" t="s">
        <v>1948</v>
      </c>
      <c r="L238" s="8" t="s">
        <v>1949</v>
      </c>
      <c r="M238" s="28" t="n">
        <f aca="false">'Disease Prediction Model'!$C$9+'Disease Prediction Model'!$C$10*B238+'Disease Prediction Model'!$C$11*C238+'Disease Prediction Model'!$C$12*D238+'Disease Prediction Model'!$C$13*E238+'Disease Prediction Model'!$C$14*F238+'Disease Prediction Model'!$C$15*G238</f>
        <v>0.294884</v>
      </c>
      <c r="N238" s="8" t="str">
        <f aca="false">IF(M238&gt;=0.5,"Yes","No")</f>
        <v>No</v>
      </c>
    </row>
    <row r="239" customFormat="false" ht="15" hidden="false" customHeight="false" outlineLevel="0" collapsed="false">
      <c r="A239" s="8" t="s">
        <v>2186</v>
      </c>
      <c r="B239" s="8" t="n">
        <v>69</v>
      </c>
      <c r="C239" s="8" t="n">
        <v>28.7</v>
      </c>
      <c r="D239" s="8" t="n">
        <v>133</v>
      </c>
      <c r="E239" s="8" t="n">
        <v>78</v>
      </c>
      <c r="F239" s="8" t="n">
        <v>1</v>
      </c>
      <c r="G239" s="8" t="n">
        <v>1</v>
      </c>
      <c r="H239" s="8" t="n">
        <v>0</v>
      </c>
      <c r="I239" s="8" t="s">
        <v>1954</v>
      </c>
      <c r="J239" s="8" t="s">
        <v>1405</v>
      </c>
      <c r="K239" s="8" t="s">
        <v>1948</v>
      </c>
      <c r="L239" s="8" t="s">
        <v>1949</v>
      </c>
      <c r="M239" s="28" t="n">
        <f aca="false">'Disease Prediction Model'!$C$9+'Disease Prediction Model'!$C$10*B239+'Disease Prediction Model'!$C$11*C239+'Disease Prediction Model'!$C$12*D239+'Disease Prediction Model'!$C$13*E239+'Disease Prediction Model'!$C$14*F239+'Disease Prediction Model'!$C$15*G239</f>
        <v>0.273563</v>
      </c>
      <c r="N239" s="8" t="str">
        <f aca="false">IF(M239&gt;=0.5,"Yes","No")</f>
        <v>No</v>
      </c>
    </row>
    <row r="240" customFormat="false" ht="15" hidden="false" customHeight="false" outlineLevel="0" collapsed="false">
      <c r="A240" s="8" t="s">
        <v>2187</v>
      </c>
      <c r="B240" s="8" t="n">
        <v>55</v>
      </c>
      <c r="C240" s="8" t="n">
        <v>26.2</v>
      </c>
      <c r="D240" s="8" t="n">
        <v>127</v>
      </c>
      <c r="E240" s="8" t="n">
        <v>101</v>
      </c>
      <c r="F240" s="8" t="n">
        <v>0</v>
      </c>
      <c r="G240" s="8" t="n">
        <v>1</v>
      </c>
      <c r="H240" s="8" t="n">
        <v>0</v>
      </c>
      <c r="I240" s="8" t="s">
        <v>1948</v>
      </c>
      <c r="J240" s="8" t="s">
        <v>1405</v>
      </c>
      <c r="K240" s="8" t="s">
        <v>1948</v>
      </c>
      <c r="L240" s="8" t="s">
        <v>1949</v>
      </c>
      <c r="M240" s="28" t="n">
        <f aca="false">'Disease Prediction Model'!$C$9+'Disease Prediction Model'!$C$10*B240+'Disease Prediction Model'!$C$11*C240+'Disease Prediction Model'!$C$12*D240+'Disease Prediction Model'!$C$13*E240+'Disease Prediction Model'!$C$14*F240+'Disease Prediction Model'!$C$15*G240</f>
        <v>0.263468</v>
      </c>
      <c r="N240" s="8" t="str">
        <f aca="false">IF(M240&gt;=0.5,"Yes","No")</f>
        <v>No</v>
      </c>
    </row>
    <row r="241" customFormat="false" ht="15" hidden="false" customHeight="false" outlineLevel="0" collapsed="false">
      <c r="A241" s="8" t="s">
        <v>2188</v>
      </c>
      <c r="B241" s="8" t="n">
        <v>64</v>
      </c>
      <c r="C241" s="8" t="n">
        <v>27.4</v>
      </c>
      <c r="D241" s="8" t="n">
        <v>135</v>
      </c>
      <c r="E241" s="8" t="n">
        <v>96</v>
      </c>
      <c r="F241" s="8" t="n">
        <v>0</v>
      </c>
      <c r="G241" s="8" t="n">
        <v>1</v>
      </c>
      <c r="H241" s="8" t="n">
        <v>0</v>
      </c>
      <c r="I241" s="8" t="s">
        <v>1948</v>
      </c>
      <c r="J241" s="8" t="s">
        <v>1405</v>
      </c>
      <c r="K241" s="8" t="s">
        <v>1948</v>
      </c>
      <c r="L241" s="8" t="s">
        <v>1949</v>
      </c>
      <c r="M241" s="28" t="n">
        <f aca="false">'Disease Prediction Model'!$C$9+'Disease Prediction Model'!$C$10*B241+'Disease Prediction Model'!$C$11*C241+'Disease Prediction Model'!$C$12*D241+'Disease Prediction Model'!$C$13*E241+'Disease Prediction Model'!$C$14*F241+'Disease Prediction Model'!$C$15*G241</f>
        <v>0.285756</v>
      </c>
      <c r="N241" s="8" t="str">
        <f aca="false">IF(M241&gt;=0.5,"Yes","No")</f>
        <v>No</v>
      </c>
    </row>
    <row r="242" customFormat="false" ht="15" hidden="false" customHeight="false" outlineLevel="0" collapsed="false">
      <c r="A242" s="8" t="s">
        <v>2189</v>
      </c>
      <c r="B242" s="8" t="n">
        <v>32</v>
      </c>
      <c r="C242" s="8" t="n">
        <v>31.6</v>
      </c>
      <c r="D242" s="8" t="n">
        <v>131</v>
      </c>
      <c r="E242" s="8" t="n">
        <v>70</v>
      </c>
      <c r="F242" s="8" t="n">
        <v>1</v>
      </c>
      <c r="G242" s="8" t="n">
        <v>1</v>
      </c>
      <c r="H242" s="8" t="n">
        <v>0</v>
      </c>
      <c r="I242" s="8" t="s">
        <v>1954</v>
      </c>
      <c r="J242" s="8" t="s">
        <v>1405</v>
      </c>
      <c r="K242" s="8" t="s">
        <v>1948</v>
      </c>
      <c r="L242" s="8" t="s">
        <v>1949</v>
      </c>
      <c r="M242" s="28" t="n">
        <f aca="false">'Disease Prediction Model'!$C$9+'Disease Prediction Model'!$C$10*B242+'Disease Prediction Model'!$C$11*C242+'Disease Prediction Model'!$C$12*D242+'Disease Prediction Model'!$C$13*E242+'Disease Prediction Model'!$C$14*F242+'Disease Prediction Model'!$C$15*G242</f>
        <v>0.117314</v>
      </c>
      <c r="N242" s="8" t="str">
        <f aca="false">IF(M242&gt;=0.5,"Yes","No")</f>
        <v>No</v>
      </c>
    </row>
    <row r="243" customFormat="false" ht="15" hidden="false" customHeight="false" outlineLevel="0" collapsed="false">
      <c r="A243" s="8" t="s">
        <v>2190</v>
      </c>
      <c r="B243" s="8" t="n">
        <v>19</v>
      </c>
      <c r="C243" s="8" t="n">
        <v>32.9</v>
      </c>
      <c r="D243" s="8" t="n">
        <v>113</v>
      </c>
      <c r="E243" s="8" t="n">
        <v>128</v>
      </c>
      <c r="F243" s="8" t="n">
        <v>1</v>
      </c>
      <c r="G243" s="8" t="n">
        <v>0</v>
      </c>
      <c r="H243" s="8" t="n">
        <v>1</v>
      </c>
      <c r="I243" s="8" t="s">
        <v>1954</v>
      </c>
      <c r="J243" s="8" t="s">
        <v>1959</v>
      </c>
      <c r="K243" s="8" t="s">
        <v>1954</v>
      </c>
      <c r="L243" s="8" t="s">
        <v>1949</v>
      </c>
      <c r="M243" s="28" t="n">
        <f aca="false">'Disease Prediction Model'!$C$9+'Disease Prediction Model'!$C$10*B243+'Disease Prediction Model'!$C$11*C243+'Disease Prediction Model'!$C$12*D243+'Disease Prediction Model'!$C$13*E243+'Disease Prediction Model'!$C$14*F243+'Disease Prediction Model'!$C$15*G243</f>
        <v>0.667661</v>
      </c>
      <c r="N243" s="8" t="str">
        <f aca="false">IF(M243&gt;=0.5,"Yes","No")</f>
        <v>Yes</v>
      </c>
    </row>
    <row r="244" customFormat="false" ht="15" hidden="false" customHeight="false" outlineLevel="0" collapsed="false">
      <c r="A244" s="8" t="s">
        <v>2191</v>
      </c>
      <c r="B244" s="8" t="n">
        <v>49</v>
      </c>
      <c r="C244" s="8" t="n">
        <v>24.3</v>
      </c>
      <c r="D244" s="8" t="n">
        <v>117</v>
      </c>
      <c r="E244" s="8" t="n">
        <v>70</v>
      </c>
      <c r="F244" s="8" t="n">
        <v>1</v>
      </c>
      <c r="G244" s="8" t="n">
        <v>1</v>
      </c>
      <c r="H244" s="8" t="n">
        <v>0</v>
      </c>
      <c r="I244" s="8" t="s">
        <v>1954</v>
      </c>
      <c r="J244" s="8" t="s">
        <v>1405</v>
      </c>
      <c r="K244" s="8" t="s">
        <v>1948</v>
      </c>
      <c r="L244" s="8" t="s">
        <v>1949</v>
      </c>
      <c r="M244" s="28" t="n">
        <f aca="false">'Disease Prediction Model'!$C$9+'Disease Prediction Model'!$C$10*B244+'Disease Prediction Model'!$C$11*C244+'Disease Prediction Model'!$C$12*D244+'Disease Prediction Model'!$C$13*E244+'Disease Prediction Model'!$C$14*F244+'Disease Prediction Model'!$C$15*G244</f>
        <v>0.0336869999999998</v>
      </c>
      <c r="N244" s="8" t="str">
        <f aca="false">IF(M244&gt;=0.5,"Yes","No")</f>
        <v>No</v>
      </c>
    </row>
    <row r="245" customFormat="false" ht="15" hidden="false" customHeight="false" outlineLevel="0" collapsed="false">
      <c r="A245" s="8" t="s">
        <v>2192</v>
      </c>
      <c r="B245" s="8" t="n">
        <v>54</v>
      </c>
      <c r="C245" s="8" t="n">
        <v>23.9</v>
      </c>
      <c r="D245" s="8" t="n">
        <v>122</v>
      </c>
      <c r="E245" s="8" t="n">
        <v>99</v>
      </c>
      <c r="F245" s="8" t="n">
        <v>0</v>
      </c>
      <c r="G245" s="8" t="n">
        <v>1</v>
      </c>
      <c r="H245" s="8" t="n">
        <v>0</v>
      </c>
      <c r="I245" s="8" t="s">
        <v>1948</v>
      </c>
      <c r="J245" s="8" t="s">
        <v>1405</v>
      </c>
      <c r="K245" s="8" t="s">
        <v>1948</v>
      </c>
      <c r="L245" s="8" t="s">
        <v>1949</v>
      </c>
      <c r="M245" s="28" t="n">
        <f aca="false">'Disease Prediction Model'!$C$9+'Disease Prediction Model'!$C$10*B245+'Disease Prediction Model'!$C$11*C245+'Disease Prediction Model'!$C$12*D245+'Disease Prediction Model'!$C$13*E245+'Disease Prediction Model'!$C$14*F245+'Disease Prediction Model'!$C$15*G245</f>
        <v>0.197931</v>
      </c>
      <c r="N245" s="8" t="str">
        <f aca="false">IF(M245&gt;=0.5,"Yes","No")</f>
        <v>No</v>
      </c>
    </row>
    <row r="246" customFormat="false" ht="15" hidden="false" customHeight="false" outlineLevel="0" collapsed="false">
      <c r="A246" s="8" t="s">
        <v>2193</v>
      </c>
      <c r="B246" s="8" t="n">
        <v>25</v>
      </c>
      <c r="C246" s="8" t="n">
        <v>24.4</v>
      </c>
      <c r="D246" s="8" t="n">
        <v>126</v>
      </c>
      <c r="E246" s="8" t="n">
        <v>80</v>
      </c>
      <c r="F246" s="8" t="n">
        <v>0</v>
      </c>
      <c r="G246" s="8" t="n">
        <v>1</v>
      </c>
      <c r="H246" s="8" t="n">
        <v>0</v>
      </c>
      <c r="I246" s="8" t="s">
        <v>1948</v>
      </c>
      <c r="J246" s="8" t="s">
        <v>1405</v>
      </c>
      <c r="K246" s="8" t="s">
        <v>1948</v>
      </c>
      <c r="L246" s="8" t="s">
        <v>1949</v>
      </c>
      <c r="M246" s="28" t="n">
        <f aca="false">'Disease Prediction Model'!$C$9+'Disease Prediction Model'!$C$10*B246+'Disease Prediction Model'!$C$11*C246+'Disease Prediction Model'!$C$12*D246+'Disease Prediction Model'!$C$13*E246+'Disease Prediction Model'!$C$14*F246+'Disease Prediction Model'!$C$15*G246</f>
        <v>-0.0426740000000002</v>
      </c>
      <c r="N246" s="8" t="str">
        <f aca="false">IF(M246&gt;=0.5,"Yes","No")</f>
        <v>No</v>
      </c>
    </row>
    <row r="247" customFormat="false" ht="15" hidden="false" customHeight="false" outlineLevel="0" collapsed="false">
      <c r="A247" s="8" t="s">
        <v>2194</v>
      </c>
      <c r="B247" s="8" t="n">
        <v>37</v>
      </c>
      <c r="C247" s="8" t="n">
        <v>29.9</v>
      </c>
      <c r="D247" s="8" t="n">
        <v>145</v>
      </c>
      <c r="E247" s="8" t="n">
        <v>91</v>
      </c>
      <c r="F247" s="8" t="n">
        <v>1</v>
      </c>
      <c r="G247" s="8" t="n">
        <v>1</v>
      </c>
      <c r="H247" s="8" t="n">
        <v>0</v>
      </c>
      <c r="I247" s="8" t="s">
        <v>1954</v>
      </c>
      <c r="J247" s="8" t="s">
        <v>1405</v>
      </c>
      <c r="K247" s="8" t="s">
        <v>1948</v>
      </c>
      <c r="L247" s="8" t="s">
        <v>1949</v>
      </c>
      <c r="M247" s="28" t="n">
        <f aca="false">'Disease Prediction Model'!$C$9+'Disease Prediction Model'!$C$10*B247+'Disease Prediction Model'!$C$11*C247+'Disease Prediction Model'!$C$12*D247+'Disease Prediction Model'!$C$13*E247+'Disease Prediction Model'!$C$14*F247+'Disease Prediction Model'!$C$15*G247</f>
        <v>0.357131</v>
      </c>
      <c r="N247" s="8" t="str">
        <f aca="false">IF(M247&gt;=0.5,"Yes","No")</f>
        <v>No</v>
      </c>
    </row>
    <row r="248" customFormat="false" ht="15" hidden="false" customHeight="false" outlineLevel="0" collapsed="false">
      <c r="A248" s="8" t="s">
        <v>2195</v>
      </c>
      <c r="B248" s="8" t="n">
        <v>42</v>
      </c>
      <c r="C248" s="8" t="n">
        <v>23.2</v>
      </c>
      <c r="D248" s="8" t="n">
        <v>119</v>
      </c>
      <c r="E248" s="8" t="n">
        <v>92</v>
      </c>
      <c r="F248" s="8" t="n">
        <v>1</v>
      </c>
      <c r="G248" s="8" t="n">
        <v>1</v>
      </c>
      <c r="H248" s="8" t="n">
        <v>0</v>
      </c>
      <c r="I248" s="8" t="s">
        <v>1954</v>
      </c>
      <c r="J248" s="8" t="s">
        <v>1405</v>
      </c>
      <c r="K248" s="8" t="s">
        <v>1948</v>
      </c>
      <c r="L248" s="8" t="s">
        <v>1949</v>
      </c>
      <c r="M248" s="28" t="n">
        <f aca="false">'Disease Prediction Model'!$C$9+'Disease Prediction Model'!$C$10*B248+'Disease Prediction Model'!$C$11*C248+'Disease Prediction Model'!$C$12*D248+'Disease Prediction Model'!$C$13*E248+'Disease Prediction Model'!$C$14*F248+'Disease Prediction Model'!$C$15*G248</f>
        <v>0.211598</v>
      </c>
      <c r="N248" s="8" t="str">
        <f aca="false">IF(M248&gt;=0.5,"Yes","No")</f>
        <v>No</v>
      </c>
    </row>
    <row r="249" customFormat="false" ht="15" hidden="false" customHeight="false" outlineLevel="0" collapsed="false">
      <c r="A249" s="8" t="s">
        <v>2196</v>
      </c>
      <c r="B249" s="8" t="n">
        <v>47</v>
      </c>
      <c r="C249" s="8" t="n">
        <v>28.8</v>
      </c>
      <c r="D249" s="8" t="n">
        <v>121</v>
      </c>
      <c r="E249" s="8" t="n">
        <v>97</v>
      </c>
      <c r="F249" s="8" t="n">
        <v>0</v>
      </c>
      <c r="G249" s="8" t="n">
        <v>2</v>
      </c>
      <c r="H249" s="8" t="n">
        <v>0</v>
      </c>
      <c r="I249" s="8" t="s">
        <v>1948</v>
      </c>
      <c r="J249" s="8" t="s">
        <v>1951</v>
      </c>
      <c r="K249" s="8" t="s">
        <v>1948</v>
      </c>
      <c r="L249" s="8" t="s">
        <v>1949</v>
      </c>
      <c r="M249" s="28" t="n">
        <f aca="false">'Disease Prediction Model'!$C$9+'Disease Prediction Model'!$C$10*B249+'Disease Prediction Model'!$C$11*C249+'Disease Prediction Model'!$C$12*D249+'Disease Prediction Model'!$C$13*E249+'Disease Prediction Model'!$C$14*F249+'Disease Prediction Model'!$C$15*G249</f>
        <v>0.110342</v>
      </c>
      <c r="N249" s="8" t="str">
        <f aca="false">IF(M249&gt;=0.5,"Yes","No")</f>
        <v>No</v>
      </c>
    </row>
    <row r="250" customFormat="false" ht="15" hidden="false" customHeight="false" outlineLevel="0" collapsed="false">
      <c r="A250" s="8" t="s">
        <v>2197</v>
      </c>
      <c r="B250" s="8" t="n">
        <v>37</v>
      </c>
      <c r="C250" s="8" t="n">
        <v>16.9</v>
      </c>
      <c r="D250" s="8" t="n">
        <v>146</v>
      </c>
      <c r="E250" s="8" t="n">
        <v>115</v>
      </c>
      <c r="F250" s="8" t="n">
        <v>0</v>
      </c>
      <c r="G250" s="8" t="n">
        <v>1</v>
      </c>
      <c r="H250" s="8" t="n">
        <v>1</v>
      </c>
      <c r="I250" s="8" t="s">
        <v>1948</v>
      </c>
      <c r="J250" s="8" t="s">
        <v>1405</v>
      </c>
      <c r="K250" s="8" t="s">
        <v>1954</v>
      </c>
      <c r="L250" s="8" t="s">
        <v>1949</v>
      </c>
      <c r="M250" s="28" t="n">
        <f aca="false">'Disease Prediction Model'!$C$9+'Disease Prediction Model'!$C$10*B250+'Disease Prediction Model'!$C$11*C250+'Disease Prediction Model'!$C$12*D250+'Disease Prediction Model'!$C$13*E250+'Disease Prediction Model'!$C$14*F250+'Disease Prediction Model'!$C$15*G250</f>
        <v>0.302641</v>
      </c>
      <c r="N250" s="8" t="str">
        <f aca="false">IF(M250&gt;=0.5,"Yes","No")</f>
        <v>No</v>
      </c>
    </row>
    <row r="251" customFormat="false" ht="15" hidden="false" customHeight="false" outlineLevel="0" collapsed="false">
      <c r="A251" s="8" t="s">
        <v>2198</v>
      </c>
      <c r="B251" s="8" t="n">
        <v>66</v>
      </c>
      <c r="C251" s="8" t="n">
        <v>25.8</v>
      </c>
      <c r="D251" s="8" t="n">
        <v>126</v>
      </c>
      <c r="E251" s="8" t="n">
        <v>101</v>
      </c>
      <c r="F251" s="8" t="n">
        <v>0</v>
      </c>
      <c r="G251" s="8" t="n">
        <v>0</v>
      </c>
      <c r="H251" s="8" t="n">
        <v>0</v>
      </c>
      <c r="I251" s="8" t="s">
        <v>1948</v>
      </c>
      <c r="J251" s="8" t="s">
        <v>1959</v>
      </c>
      <c r="K251" s="8" t="s">
        <v>1948</v>
      </c>
      <c r="L251" s="8" t="s">
        <v>1949</v>
      </c>
      <c r="M251" s="28" t="n">
        <f aca="false">'Disease Prediction Model'!$C$9+'Disease Prediction Model'!$C$10*B251+'Disease Prediction Model'!$C$11*C251+'Disease Prediction Model'!$C$12*D251+'Disease Prediction Model'!$C$13*E251+'Disease Prediction Model'!$C$14*F251+'Disease Prediction Model'!$C$15*G251</f>
        <v>0.388312</v>
      </c>
      <c r="N251" s="8" t="str">
        <f aca="false">IF(M251&gt;=0.5,"Yes","No")</f>
        <v>No</v>
      </c>
    </row>
    <row r="252" customFormat="false" ht="15" hidden="false" customHeight="false" outlineLevel="0" collapsed="false">
      <c r="A252" s="8" t="s">
        <v>2199</v>
      </c>
      <c r="B252" s="8" t="n">
        <v>36</v>
      </c>
      <c r="C252" s="8" t="n">
        <v>25.2</v>
      </c>
      <c r="D252" s="8" t="n">
        <v>142</v>
      </c>
      <c r="E252" s="8" t="n">
        <v>148</v>
      </c>
      <c r="F252" s="8" t="n">
        <v>0</v>
      </c>
      <c r="G252" s="8" t="n">
        <v>1</v>
      </c>
      <c r="H252" s="8" t="n">
        <v>0</v>
      </c>
      <c r="I252" s="8" t="s">
        <v>1948</v>
      </c>
      <c r="J252" s="8" t="s">
        <v>1405</v>
      </c>
      <c r="K252" s="8" t="s">
        <v>1948</v>
      </c>
      <c r="L252" s="8" t="s">
        <v>1949</v>
      </c>
      <c r="M252" s="28" t="n">
        <f aca="false">'Disease Prediction Model'!$C$9+'Disease Prediction Model'!$C$10*B252+'Disease Prediction Model'!$C$11*C252+'Disease Prediction Model'!$C$12*D252+'Disease Prediction Model'!$C$13*E252+'Disease Prediction Model'!$C$14*F252+'Disease Prediction Model'!$C$15*G252</f>
        <v>0.685518</v>
      </c>
      <c r="N252" s="8" t="str">
        <f aca="false">IF(M252&gt;=0.5,"Yes","No")</f>
        <v>Yes</v>
      </c>
    </row>
    <row r="253" customFormat="false" ht="15" hidden="false" customHeight="false" outlineLevel="0" collapsed="false">
      <c r="A253" s="8" t="s">
        <v>2200</v>
      </c>
      <c r="B253" s="8" t="n">
        <v>66</v>
      </c>
      <c r="C253" s="8" t="n">
        <v>26</v>
      </c>
      <c r="D253" s="8" t="n">
        <v>119</v>
      </c>
      <c r="E253" s="8" t="n">
        <v>107</v>
      </c>
      <c r="F253" s="8" t="n">
        <v>0</v>
      </c>
      <c r="G253" s="8" t="n">
        <v>0</v>
      </c>
      <c r="H253" s="8" t="n">
        <v>1</v>
      </c>
      <c r="I253" s="8" t="s">
        <v>1948</v>
      </c>
      <c r="J253" s="8" t="s">
        <v>1959</v>
      </c>
      <c r="K253" s="8" t="s">
        <v>1954</v>
      </c>
      <c r="L253" s="8" t="s">
        <v>1949</v>
      </c>
      <c r="M253" s="28" t="n">
        <f aca="false">'Disease Prediction Model'!$C$9+'Disease Prediction Model'!$C$10*B253+'Disease Prediction Model'!$C$11*C253+'Disease Prediction Model'!$C$12*D253+'Disease Prediction Model'!$C$13*E253+'Disease Prediction Model'!$C$14*F253+'Disease Prediction Model'!$C$15*G253</f>
        <v>0.42109</v>
      </c>
      <c r="N253" s="8" t="str">
        <f aca="false">IF(M253&gt;=0.5,"Yes","No")</f>
        <v>No</v>
      </c>
    </row>
    <row r="254" customFormat="false" ht="15" hidden="false" customHeight="false" outlineLevel="0" collapsed="false">
      <c r="A254" s="8" t="s">
        <v>2201</v>
      </c>
      <c r="B254" s="8" t="n">
        <v>31</v>
      </c>
      <c r="C254" s="8" t="n">
        <v>36.5</v>
      </c>
      <c r="D254" s="8" t="n">
        <v>133</v>
      </c>
      <c r="E254" s="8" t="n">
        <v>112</v>
      </c>
      <c r="F254" s="8" t="n">
        <v>1</v>
      </c>
      <c r="G254" s="8" t="n">
        <v>1</v>
      </c>
      <c r="H254" s="8" t="n">
        <v>0</v>
      </c>
      <c r="I254" s="8" t="s">
        <v>1954</v>
      </c>
      <c r="J254" s="8" t="s">
        <v>1405</v>
      </c>
      <c r="K254" s="8" t="s">
        <v>1948</v>
      </c>
      <c r="L254" s="8" t="s">
        <v>1949</v>
      </c>
      <c r="M254" s="28" t="n">
        <f aca="false">'Disease Prediction Model'!$C$9+'Disease Prediction Model'!$C$10*B254+'Disease Prediction Model'!$C$11*C254+'Disease Prediction Model'!$C$12*D254+'Disease Prediction Model'!$C$13*E254+'Disease Prediction Model'!$C$14*F254+'Disease Prediction Model'!$C$15*G254</f>
        <v>0.566285</v>
      </c>
      <c r="N254" s="8" t="str">
        <f aca="false">IF(M254&gt;=0.5,"Yes","No")</f>
        <v>Yes</v>
      </c>
    </row>
    <row r="255" customFormat="false" ht="15" hidden="false" customHeight="false" outlineLevel="0" collapsed="false">
      <c r="A255" s="8" t="s">
        <v>2202</v>
      </c>
      <c r="B255" s="8" t="n">
        <v>52</v>
      </c>
      <c r="C255" s="8" t="n">
        <v>32.7</v>
      </c>
      <c r="D255" s="8" t="n">
        <v>91</v>
      </c>
      <c r="E255" s="8" t="n">
        <v>93</v>
      </c>
      <c r="F255" s="8" t="n">
        <v>1</v>
      </c>
      <c r="G255" s="8" t="n">
        <v>0</v>
      </c>
      <c r="H255" s="8" t="n">
        <v>0</v>
      </c>
      <c r="I255" s="8" t="s">
        <v>1954</v>
      </c>
      <c r="J255" s="8" t="s">
        <v>1959</v>
      </c>
      <c r="K255" s="8" t="s">
        <v>1948</v>
      </c>
      <c r="L255" s="8" t="s">
        <v>1949</v>
      </c>
      <c r="M255" s="28" t="n">
        <f aca="false">'Disease Prediction Model'!$C$9+'Disease Prediction Model'!$C$10*B255+'Disease Prediction Model'!$C$11*C255+'Disease Prediction Model'!$C$12*D255+'Disease Prediction Model'!$C$13*E255+'Disease Prediction Model'!$C$14*F255+'Disease Prediction Model'!$C$15*G255</f>
        <v>0.358883</v>
      </c>
      <c r="N255" s="8" t="str">
        <f aca="false">IF(M255&gt;=0.5,"Yes","No")</f>
        <v>No</v>
      </c>
    </row>
    <row r="256" customFormat="false" ht="15" hidden="false" customHeight="false" outlineLevel="0" collapsed="false">
      <c r="A256" s="8" t="s">
        <v>2203</v>
      </c>
      <c r="B256" s="8" t="n">
        <v>45</v>
      </c>
      <c r="C256" s="8" t="n">
        <v>26.7</v>
      </c>
      <c r="D256" s="8" t="n">
        <v>110</v>
      </c>
      <c r="E256" s="8" t="n">
        <v>70</v>
      </c>
      <c r="F256" s="8" t="n">
        <v>0</v>
      </c>
      <c r="G256" s="8" t="n">
        <v>0</v>
      </c>
      <c r="H256" s="8" t="n">
        <v>0</v>
      </c>
      <c r="I256" s="8" t="s">
        <v>1948</v>
      </c>
      <c r="J256" s="8" t="s">
        <v>1959</v>
      </c>
      <c r="K256" s="8" t="s">
        <v>1948</v>
      </c>
      <c r="L256" s="8" t="s">
        <v>1949</v>
      </c>
      <c r="M256" s="28" t="n">
        <f aca="false">'Disease Prediction Model'!$C$9+'Disease Prediction Model'!$C$10*B256+'Disease Prediction Model'!$C$11*C256+'Disease Prediction Model'!$C$12*D256+'Disease Prediction Model'!$C$13*E256+'Disease Prediction Model'!$C$14*F256+'Disease Prediction Model'!$C$15*G256</f>
        <v>-0.00709700000000013</v>
      </c>
      <c r="N256" s="8" t="str">
        <f aca="false">IF(M256&gt;=0.5,"Yes","No")</f>
        <v>No</v>
      </c>
    </row>
    <row r="257" customFormat="false" ht="15" hidden="false" customHeight="false" outlineLevel="0" collapsed="false">
      <c r="A257" s="8" t="s">
        <v>2204</v>
      </c>
      <c r="B257" s="8" t="n">
        <v>50</v>
      </c>
      <c r="C257" s="8" t="n">
        <v>19.5</v>
      </c>
      <c r="D257" s="8" t="n">
        <v>122</v>
      </c>
      <c r="E257" s="8" t="n">
        <v>119</v>
      </c>
      <c r="F257" s="8" t="n">
        <v>0</v>
      </c>
      <c r="G257" s="8" t="n">
        <v>0</v>
      </c>
      <c r="H257" s="8" t="n">
        <v>1</v>
      </c>
      <c r="I257" s="8" t="s">
        <v>1948</v>
      </c>
      <c r="J257" s="8" t="s">
        <v>1959</v>
      </c>
      <c r="K257" s="8" t="s">
        <v>1954</v>
      </c>
      <c r="L257" s="8" t="s">
        <v>1949</v>
      </c>
      <c r="M257" s="28" t="n">
        <f aca="false">'Disease Prediction Model'!$C$9+'Disease Prediction Model'!$C$10*B257+'Disease Prediction Model'!$C$11*C257+'Disease Prediction Model'!$C$12*D257+'Disease Prediction Model'!$C$13*E257+'Disease Prediction Model'!$C$14*F257+'Disease Prediction Model'!$C$15*G257</f>
        <v>0.422195</v>
      </c>
      <c r="N257" s="8" t="str">
        <f aca="false">IF(M257&gt;=0.5,"Yes","No")</f>
        <v>No</v>
      </c>
    </row>
    <row r="258" customFormat="false" ht="15" hidden="false" customHeight="false" outlineLevel="0" collapsed="false">
      <c r="A258" s="8" t="s">
        <v>2205</v>
      </c>
      <c r="B258" s="8" t="n">
        <v>40</v>
      </c>
      <c r="C258" s="8" t="n">
        <v>29.5</v>
      </c>
      <c r="D258" s="8" t="n">
        <v>143</v>
      </c>
      <c r="E258" s="8" t="n">
        <v>70</v>
      </c>
      <c r="F258" s="8" t="n">
        <v>0</v>
      </c>
      <c r="G258" s="8" t="n">
        <v>0</v>
      </c>
      <c r="H258" s="8" t="n">
        <v>0</v>
      </c>
      <c r="I258" s="8" t="s">
        <v>1948</v>
      </c>
      <c r="J258" s="8" t="s">
        <v>1959</v>
      </c>
      <c r="K258" s="8" t="s">
        <v>1948</v>
      </c>
      <c r="L258" s="8" t="s">
        <v>1949</v>
      </c>
      <c r="M258" s="28" t="n">
        <f aca="false">'Disease Prediction Model'!$C$9+'Disease Prediction Model'!$C$10*B258+'Disease Prediction Model'!$C$11*C258+'Disease Prediction Model'!$C$12*D258+'Disease Prediction Model'!$C$13*E258+'Disease Prediction Model'!$C$14*F258+'Disease Prediction Model'!$C$15*G258</f>
        <v>0.128335</v>
      </c>
      <c r="N258" s="8" t="str">
        <f aca="false">IF(M258&gt;=0.5,"Yes","No")</f>
        <v>No</v>
      </c>
    </row>
    <row r="259" customFormat="false" ht="15" hidden="false" customHeight="false" outlineLevel="0" collapsed="false">
      <c r="A259" s="8" t="s">
        <v>2206</v>
      </c>
      <c r="B259" s="8" t="n">
        <v>50</v>
      </c>
      <c r="C259" s="8" t="n">
        <v>24.7</v>
      </c>
      <c r="D259" s="8" t="n">
        <v>131</v>
      </c>
      <c r="E259" s="8" t="n">
        <v>98</v>
      </c>
      <c r="F259" s="8" t="n">
        <v>0</v>
      </c>
      <c r="G259" s="8" t="n">
        <v>2</v>
      </c>
      <c r="H259" s="8" t="n">
        <v>0</v>
      </c>
      <c r="I259" s="8" t="s">
        <v>1948</v>
      </c>
      <c r="J259" s="8" t="s">
        <v>1951</v>
      </c>
      <c r="K259" s="8" t="s">
        <v>1948</v>
      </c>
      <c r="L259" s="8" t="s">
        <v>1949</v>
      </c>
      <c r="M259" s="28" t="n">
        <f aca="false">'Disease Prediction Model'!$C$9+'Disease Prediction Model'!$C$10*B259+'Disease Prediction Model'!$C$11*C259+'Disease Prediction Model'!$C$12*D259+'Disease Prediction Model'!$C$13*E259+'Disease Prediction Model'!$C$14*F259+'Disease Prediction Model'!$C$15*G259</f>
        <v>0.117463</v>
      </c>
      <c r="N259" s="8" t="str">
        <f aca="false">IF(M259&gt;=0.5,"Yes","No")</f>
        <v>No</v>
      </c>
    </row>
    <row r="260" customFormat="false" ht="15" hidden="false" customHeight="false" outlineLevel="0" collapsed="false">
      <c r="A260" s="8" t="s">
        <v>2207</v>
      </c>
      <c r="B260" s="8" t="n">
        <v>54</v>
      </c>
      <c r="C260" s="8" t="n">
        <v>19.3</v>
      </c>
      <c r="D260" s="8" t="n">
        <v>103</v>
      </c>
      <c r="E260" s="8" t="n">
        <v>94</v>
      </c>
      <c r="F260" s="8" t="n">
        <v>0</v>
      </c>
      <c r="G260" s="8" t="n">
        <v>0</v>
      </c>
      <c r="H260" s="8" t="n">
        <v>0</v>
      </c>
      <c r="I260" s="8" t="s">
        <v>1948</v>
      </c>
      <c r="J260" s="8" t="s">
        <v>1959</v>
      </c>
      <c r="K260" s="8" t="s">
        <v>1948</v>
      </c>
      <c r="L260" s="8" t="s">
        <v>1949</v>
      </c>
      <c r="M260" s="28" t="n">
        <f aca="false">'Disease Prediction Model'!$C$9+'Disease Prediction Model'!$C$10*B260+'Disease Prediction Model'!$C$11*C260+'Disease Prediction Model'!$C$12*D260+'Disease Prediction Model'!$C$13*E260+'Disease Prediction Model'!$C$14*F260+'Disease Prediction Model'!$C$15*G260</f>
        <v>0.132077</v>
      </c>
      <c r="N260" s="8" t="str">
        <f aca="false">IF(M260&gt;=0.5,"Yes","No")</f>
        <v>No</v>
      </c>
    </row>
    <row r="261" customFormat="false" ht="15" hidden="false" customHeight="false" outlineLevel="0" collapsed="false">
      <c r="A261" s="8" t="s">
        <v>2208</v>
      </c>
      <c r="B261" s="8" t="n">
        <v>67</v>
      </c>
      <c r="C261" s="8" t="n">
        <v>27.8</v>
      </c>
      <c r="D261" s="8" t="n">
        <v>111</v>
      </c>
      <c r="E261" s="8" t="n">
        <v>81</v>
      </c>
      <c r="F261" s="8" t="n">
        <v>0</v>
      </c>
      <c r="G261" s="8" t="n">
        <v>1</v>
      </c>
      <c r="H261" s="8" t="n">
        <v>0</v>
      </c>
      <c r="I261" s="8" t="s">
        <v>1948</v>
      </c>
      <c r="J261" s="8" t="s">
        <v>1405</v>
      </c>
      <c r="K261" s="8" t="s">
        <v>1948</v>
      </c>
      <c r="L261" s="8" t="s">
        <v>1949</v>
      </c>
      <c r="M261" s="28" t="n">
        <f aca="false">'Disease Prediction Model'!$C$9+'Disease Prediction Model'!$C$10*B261+'Disease Prediction Model'!$C$11*C261+'Disease Prediction Model'!$C$12*D261+'Disease Prediction Model'!$C$13*E261+'Disease Prediction Model'!$C$14*F261+'Disease Prediction Model'!$C$15*G261</f>
        <v>0.074252</v>
      </c>
      <c r="N261" s="8" t="str">
        <f aca="false">IF(M261&gt;=0.5,"Yes","No")</f>
        <v>No</v>
      </c>
    </row>
    <row r="262" customFormat="false" ht="15" hidden="false" customHeight="false" outlineLevel="0" collapsed="false">
      <c r="A262" s="8" t="s">
        <v>2209</v>
      </c>
      <c r="B262" s="8" t="n">
        <v>45</v>
      </c>
      <c r="C262" s="8" t="n">
        <v>23.3</v>
      </c>
      <c r="D262" s="8" t="n">
        <v>123</v>
      </c>
      <c r="E262" s="8" t="n">
        <v>94</v>
      </c>
      <c r="F262" s="8" t="n">
        <v>0</v>
      </c>
      <c r="G262" s="8" t="n">
        <v>2</v>
      </c>
      <c r="H262" s="8" t="n">
        <v>0</v>
      </c>
      <c r="I262" s="8" t="s">
        <v>1948</v>
      </c>
      <c r="J262" s="8" t="s">
        <v>1951</v>
      </c>
      <c r="K262" s="8" t="s">
        <v>1948</v>
      </c>
      <c r="L262" s="8" t="s">
        <v>1949</v>
      </c>
      <c r="M262" s="28" t="n">
        <f aca="false">'Disease Prediction Model'!$C$9+'Disease Prediction Model'!$C$10*B262+'Disease Prediction Model'!$C$11*C262+'Disease Prediction Model'!$C$12*D262+'Disease Prediction Model'!$C$13*E262+'Disease Prediction Model'!$C$14*F262+'Disease Prediction Model'!$C$15*G262</f>
        <v>0.0212369999999998</v>
      </c>
      <c r="N262" s="8" t="str">
        <f aca="false">IF(M262&gt;=0.5,"Yes","No")</f>
        <v>No</v>
      </c>
    </row>
    <row r="263" customFormat="false" ht="15" hidden="false" customHeight="false" outlineLevel="0" collapsed="false">
      <c r="A263" s="8" t="s">
        <v>2210</v>
      </c>
      <c r="B263" s="8" t="n">
        <v>51</v>
      </c>
      <c r="C263" s="8" t="n">
        <v>23.6</v>
      </c>
      <c r="D263" s="8" t="n">
        <v>132</v>
      </c>
      <c r="E263" s="8" t="n">
        <v>105</v>
      </c>
      <c r="F263" s="8" t="n">
        <v>0</v>
      </c>
      <c r="G263" s="8" t="n">
        <v>0</v>
      </c>
      <c r="H263" s="8" t="n">
        <v>0</v>
      </c>
      <c r="I263" s="8" t="s">
        <v>1948</v>
      </c>
      <c r="J263" s="8" t="s">
        <v>1959</v>
      </c>
      <c r="K263" s="8" t="s">
        <v>1948</v>
      </c>
      <c r="L263" s="8" t="s">
        <v>1949</v>
      </c>
      <c r="M263" s="28" t="n">
        <f aca="false">'Disease Prediction Model'!$C$9+'Disease Prediction Model'!$C$10*B263+'Disease Prediction Model'!$C$11*C263+'Disease Prediction Model'!$C$12*D263+'Disease Prediction Model'!$C$13*E263+'Disease Prediction Model'!$C$14*F263+'Disease Prediction Model'!$C$15*G263</f>
        <v>0.377974</v>
      </c>
      <c r="N263" s="8" t="str">
        <f aca="false">IF(M263&gt;=0.5,"Yes","No")</f>
        <v>No</v>
      </c>
    </row>
    <row r="264" customFormat="false" ht="15" hidden="false" customHeight="false" outlineLevel="0" collapsed="false">
      <c r="A264" s="8" t="s">
        <v>2211</v>
      </c>
      <c r="B264" s="8" t="n">
        <v>57</v>
      </c>
      <c r="C264" s="8" t="n">
        <v>26.6</v>
      </c>
      <c r="D264" s="8" t="n">
        <v>123</v>
      </c>
      <c r="E264" s="8" t="n">
        <v>116</v>
      </c>
      <c r="F264" s="8" t="n">
        <v>0</v>
      </c>
      <c r="G264" s="8" t="n">
        <v>0</v>
      </c>
      <c r="H264" s="8" t="n">
        <v>0</v>
      </c>
      <c r="I264" s="8" t="s">
        <v>1948</v>
      </c>
      <c r="J264" s="8" t="s">
        <v>1959</v>
      </c>
      <c r="K264" s="8" t="s">
        <v>1948</v>
      </c>
      <c r="L264" s="8" t="s">
        <v>1949</v>
      </c>
      <c r="M264" s="28" t="n">
        <f aca="false">'Disease Prediction Model'!$C$9+'Disease Prediction Model'!$C$10*B264+'Disease Prediction Model'!$C$11*C264+'Disease Prediction Model'!$C$12*D264+'Disease Prediction Model'!$C$13*E264+'Disease Prediction Model'!$C$14*F264+'Disease Prediction Model'!$C$15*G264</f>
        <v>0.499304</v>
      </c>
      <c r="N264" s="8" t="str">
        <f aca="false">IF(M264&gt;=0.5,"Yes","No")</f>
        <v>No</v>
      </c>
    </row>
    <row r="265" customFormat="false" ht="15" hidden="false" customHeight="false" outlineLevel="0" collapsed="false">
      <c r="A265" s="8" t="s">
        <v>2212</v>
      </c>
      <c r="B265" s="8" t="n">
        <v>63</v>
      </c>
      <c r="C265" s="8" t="n">
        <v>24.6</v>
      </c>
      <c r="D265" s="8" t="n">
        <v>113</v>
      </c>
      <c r="E265" s="8" t="n">
        <v>111</v>
      </c>
      <c r="F265" s="8" t="n">
        <v>0</v>
      </c>
      <c r="G265" s="8" t="n">
        <v>0</v>
      </c>
      <c r="H265" s="8" t="n">
        <v>0</v>
      </c>
      <c r="I265" s="8" t="s">
        <v>1948</v>
      </c>
      <c r="J265" s="8" t="s">
        <v>1959</v>
      </c>
      <c r="K265" s="8" t="s">
        <v>1948</v>
      </c>
      <c r="L265" s="8" t="s">
        <v>1949</v>
      </c>
      <c r="M265" s="28" t="n">
        <f aca="false">'Disease Prediction Model'!$C$9+'Disease Prediction Model'!$C$10*B265+'Disease Prediction Model'!$C$11*C265+'Disease Prediction Model'!$C$12*D265+'Disease Prediction Model'!$C$13*E265+'Disease Prediction Model'!$C$14*F265+'Disease Prediction Model'!$C$15*G265</f>
        <v>0.411944</v>
      </c>
      <c r="N265" s="8" t="str">
        <f aca="false">IF(M265&gt;=0.5,"Yes","No")</f>
        <v>No</v>
      </c>
    </row>
    <row r="266" customFormat="false" ht="15" hidden="false" customHeight="false" outlineLevel="0" collapsed="false">
      <c r="A266" s="8" t="s">
        <v>2213</v>
      </c>
      <c r="B266" s="8" t="n">
        <v>67</v>
      </c>
      <c r="C266" s="8" t="n">
        <v>27</v>
      </c>
      <c r="D266" s="8" t="n">
        <v>139</v>
      </c>
      <c r="E266" s="8" t="n">
        <v>94</v>
      </c>
      <c r="F266" s="8" t="n">
        <v>1</v>
      </c>
      <c r="G266" s="8" t="n">
        <v>1</v>
      </c>
      <c r="H266" s="8" t="n">
        <v>0</v>
      </c>
      <c r="I266" s="8" t="s">
        <v>1954</v>
      </c>
      <c r="J266" s="8" t="s">
        <v>1405</v>
      </c>
      <c r="K266" s="8" t="s">
        <v>1948</v>
      </c>
      <c r="L266" s="8" t="s">
        <v>1949</v>
      </c>
      <c r="M266" s="28" t="n">
        <f aca="false">'Disease Prediction Model'!$C$9+'Disease Prediction Model'!$C$10*B266+'Disease Prediction Model'!$C$11*C266+'Disease Prediction Model'!$C$12*D266+'Disease Prediction Model'!$C$13*E266+'Disease Prediction Model'!$C$14*F266+'Disease Prediction Model'!$C$15*G266</f>
        <v>0.418</v>
      </c>
      <c r="N266" s="8" t="str">
        <f aca="false">IF(M266&gt;=0.5,"Yes","No")</f>
        <v>No</v>
      </c>
    </row>
    <row r="267" customFormat="false" ht="15" hidden="false" customHeight="false" outlineLevel="0" collapsed="false">
      <c r="A267" s="8" t="s">
        <v>2214</v>
      </c>
      <c r="B267" s="8" t="n">
        <v>48</v>
      </c>
      <c r="C267" s="8" t="n">
        <v>25.5</v>
      </c>
      <c r="D267" s="8" t="n">
        <v>125</v>
      </c>
      <c r="E267" s="8" t="n">
        <v>108</v>
      </c>
      <c r="F267" s="8" t="n">
        <v>0</v>
      </c>
      <c r="G267" s="8" t="n">
        <v>2</v>
      </c>
      <c r="H267" s="8" t="n">
        <v>0</v>
      </c>
      <c r="I267" s="8" t="s">
        <v>1948</v>
      </c>
      <c r="J267" s="8" t="s">
        <v>1951</v>
      </c>
      <c r="K267" s="8" t="s">
        <v>1948</v>
      </c>
      <c r="L267" s="8" t="s">
        <v>1949</v>
      </c>
      <c r="M267" s="28" t="n">
        <f aca="false">'Disease Prediction Model'!$C$9+'Disease Prediction Model'!$C$10*B267+'Disease Prediction Model'!$C$11*C267+'Disease Prediction Model'!$C$12*D267+'Disease Prediction Model'!$C$13*E267+'Disease Prediction Model'!$C$14*F267+'Disease Prediction Model'!$C$15*G267</f>
        <v>0.191855</v>
      </c>
      <c r="N267" s="8" t="str">
        <f aca="false">IF(M267&gt;=0.5,"Yes","No")</f>
        <v>No</v>
      </c>
    </row>
    <row r="268" customFormat="false" ht="15" hidden="false" customHeight="false" outlineLevel="0" collapsed="false">
      <c r="A268" s="8" t="s">
        <v>2215</v>
      </c>
      <c r="B268" s="8" t="n">
        <v>45</v>
      </c>
      <c r="C268" s="8" t="n">
        <v>27.7</v>
      </c>
      <c r="D268" s="8" t="n">
        <v>127</v>
      </c>
      <c r="E268" s="8" t="n">
        <v>118</v>
      </c>
      <c r="F268" s="8" t="n">
        <v>0</v>
      </c>
      <c r="G268" s="8" t="n">
        <v>0</v>
      </c>
      <c r="H268" s="8" t="n">
        <v>0</v>
      </c>
      <c r="I268" s="8" t="s">
        <v>1948</v>
      </c>
      <c r="J268" s="8" t="s">
        <v>1959</v>
      </c>
      <c r="K268" s="8" t="s">
        <v>1948</v>
      </c>
      <c r="L268" s="8" t="s">
        <v>1949</v>
      </c>
      <c r="M268" s="28" t="n">
        <f aca="false">'Disease Prediction Model'!$C$9+'Disease Prediction Model'!$C$10*B268+'Disease Prediction Model'!$C$11*C268+'Disease Prediction Model'!$C$12*D268+'Disease Prediction Model'!$C$13*E268+'Disease Prediction Model'!$C$14*F268+'Disease Prediction Model'!$C$15*G268</f>
        <v>0.509633</v>
      </c>
      <c r="N268" s="8" t="str">
        <f aca="false">IF(M268&gt;=0.5,"Yes","No")</f>
        <v>Yes</v>
      </c>
    </row>
    <row r="269" customFormat="false" ht="15" hidden="false" customHeight="false" outlineLevel="0" collapsed="false">
      <c r="A269" s="8" t="s">
        <v>2216</v>
      </c>
      <c r="B269" s="8" t="n">
        <v>41</v>
      </c>
      <c r="C269" s="8" t="n">
        <v>27.4</v>
      </c>
      <c r="D269" s="8" t="n">
        <v>131</v>
      </c>
      <c r="E269" s="8" t="n">
        <v>92</v>
      </c>
      <c r="F269" s="8" t="n">
        <v>0</v>
      </c>
      <c r="G269" s="8" t="n">
        <v>0</v>
      </c>
      <c r="H269" s="8" t="n">
        <v>0</v>
      </c>
      <c r="I269" s="8" t="s">
        <v>1948</v>
      </c>
      <c r="J269" s="8" t="s">
        <v>1959</v>
      </c>
      <c r="K269" s="8" t="s">
        <v>1948</v>
      </c>
      <c r="L269" s="8" t="s">
        <v>1949</v>
      </c>
      <c r="M269" s="28" t="n">
        <f aca="false">'Disease Prediction Model'!$C$9+'Disease Prediction Model'!$C$10*B269+'Disease Prediction Model'!$C$11*C269+'Disease Prediction Model'!$C$12*D269+'Disease Prediction Model'!$C$13*E269+'Disease Prediction Model'!$C$14*F269+'Disease Prediction Model'!$C$15*G269</f>
        <v>0.268096</v>
      </c>
      <c r="N269" s="8" t="str">
        <f aca="false">IF(M269&gt;=0.5,"Yes","No")</f>
        <v>No</v>
      </c>
    </row>
    <row r="270" customFormat="false" ht="15" hidden="false" customHeight="false" outlineLevel="0" collapsed="false">
      <c r="A270" s="8" t="s">
        <v>2217</v>
      </c>
      <c r="B270" s="8" t="n">
        <v>53</v>
      </c>
      <c r="C270" s="8" t="n">
        <v>29.1</v>
      </c>
      <c r="D270" s="8" t="n">
        <v>112</v>
      </c>
      <c r="E270" s="8" t="n">
        <v>109</v>
      </c>
      <c r="F270" s="8" t="n">
        <v>0</v>
      </c>
      <c r="G270" s="8" t="n">
        <v>1</v>
      </c>
      <c r="H270" s="8" t="n">
        <v>0</v>
      </c>
      <c r="I270" s="8" t="s">
        <v>1948</v>
      </c>
      <c r="J270" s="8" t="s">
        <v>1405</v>
      </c>
      <c r="K270" s="8" t="s">
        <v>1948</v>
      </c>
      <c r="L270" s="8" t="s">
        <v>1949</v>
      </c>
      <c r="M270" s="28" t="n">
        <f aca="false">'Disease Prediction Model'!$C$9+'Disease Prediction Model'!$C$10*B270+'Disease Prediction Model'!$C$11*C270+'Disease Prediction Model'!$C$12*D270+'Disease Prediction Model'!$C$13*E270+'Disease Prediction Model'!$C$14*F270+'Disease Prediction Model'!$C$15*G270</f>
        <v>0.311039</v>
      </c>
      <c r="N270" s="8" t="str">
        <f aca="false">IF(M270&gt;=0.5,"Yes","No")</f>
        <v>No</v>
      </c>
    </row>
    <row r="271" customFormat="false" ht="15" hidden="false" customHeight="false" outlineLevel="0" collapsed="false">
      <c r="A271" s="8" t="s">
        <v>2218</v>
      </c>
      <c r="B271" s="8" t="n">
        <v>46</v>
      </c>
      <c r="C271" s="8" t="n">
        <v>31</v>
      </c>
      <c r="D271" s="8" t="n">
        <v>97</v>
      </c>
      <c r="E271" s="8" t="n">
        <v>88</v>
      </c>
      <c r="F271" s="8" t="n">
        <v>0</v>
      </c>
      <c r="G271" s="8" t="n">
        <v>2</v>
      </c>
      <c r="H271" s="8" t="n">
        <v>0</v>
      </c>
      <c r="I271" s="8" t="s">
        <v>1948</v>
      </c>
      <c r="J271" s="8" t="s">
        <v>1951</v>
      </c>
      <c r="K271" s="8" t="s">
        <v>1948</v>
      </c>
      <c r="L271" s="8" t="s">
        <v>1949</v>
      </c>
      <c r="M271" s="28" t="n">
        <f aca="false">'Disease Prediction Model'!$C$9+'Disease Prediction Model'!$C$10*B271+'Disease Prediction Model'!$C$11*C271+'Disease Prediction Model'!$C$12*D271+'Disease Prediction Model'!$C$13*E271+'Disease Prediction Model'!$C$14*F271+'Disease Prediction Model'!$C$15*G271</f>
        <v>-0.03678</v>
      </c>
      <c r="N271" s="8" t="str">
        <f aca="false">IF(M271&gt;=0.5,"Yes","No")</f>
        <v>No</v>
      </c>
    </row>
    <row r="272" customFormat="false" ht="15" hidden="false" customHeight="false" outlineLevel="0" collapsed="false">
      <c r="A272" s="8" t="s">
        <v>2219</v>
      </c>
      <c r="B272" s="8" t="n">
        <v>90</v>
      </c>
      <c r="C272" s="8" t="n">
        <v>23.6</v>
      </c>
      <c r="D272" s="8" t="n">
        <v>121</v>
      </c>
      <c r="E272" s="8" t="n">
        <v>70</v>
      </c>
      <c r="F272" s="8" t="n">
        <v>0</v>
      </c>
      <c r="G272" s="8" t="n">
        <v>1</v>
      </c>
      <c r="H272" s="8" t="n">
        <v>0</v>
      </c>
      <c r="I272" s="8" t="s">
        <v>1948</v>
      </c>
      <c r="J272" s="8" t="s">
        <v>1405</v>
      </c>
      <c r="K272" s="8" t="s">
        <v>1948</v>
      </c>
      <c r="L272" s="8" t="s">
        <v>1949</v>
      </c>
      <c r="M272" s="28" t="n">
        <f aca="false">'Disease Prediction Model'!$C$9+'Disease Prediction Model'!$C$10*B272+'Disease Prediction Model'!$C$11*C272+'Disease Prediction Model'!$C$12*D272+'Disease Prediction Model'!$C$13*E272+'Disease Prediction Model'!$C$14*F272+'Disease Prediction Model'!$C$15*G272</f>
        <v>0.0275139999999999</v>
      </c>
      <c r="N272" s="8" t="str">
        <f aca="false">IF(M272&gt;=0.5,"Yes","No")</f>
        <v>No</v>
      </c>
    </row>
    <row r="273" customFormat="false" ht="15" hidden="false" customHeight="false" outlineLevel="0" collapsed="false">
      <c r="A273" s="8" t="s">
        <v>2220</v>
      </c>
      <c r="B273" s="8" t="n">
        <v>59</v>
      </c>
      <c r="C273" s="8" t="n">
        <v>35.6</v>
      </c>
      <c r="D273" s="8" t="n">
        <v>145</v>
      </c>
      <c r="E273" s="8" t="n">
        <v>130</v>
      </c>
      <c r="F273" s="8" t="n">
        <v>0</v>
      </c>
      <c r="G273" s="8" t="n">
        <v>1</v>
      </c>
      <c r="H273" s="8" t="n">
        <v>1</v>
      </c>
      <c r="I273" s="8" t="s">
        <v>1948</v>
      </c>
      <c r="J273" s="8" t="s">
        <v>1405</v>
      </c>
      <c r="K273" s="8" t="s">
        <v>1954</v>
      </c>
      <c r="L273" s="8" t="s">
        <v>1949</v>
      </c>
      <c r="M273" s="28" t="n">
        <f aca="false">'Disease Prediction Model'!$C$9+'Disease Prediction Model'!$C$10*B273+'Disease Prediction Model'!$C$11*C273+'Disease Prediction Model'!$C$12*D273+'Disease Prediction Model'!$C$13*E273+'Disease Prediction Model'!$C$14*F273+'Disease Prediction Model'!$C$15*G273</f>
        <v>0.715194</v>
      </c>
      <c r="N273" s="8" t="str">
        <f aca="false">IF(M273&gt;=0.5,"Yes","No")</f>
        <v>Yes</v>
      </c>
    </row>
    <row r="274" customFormat="false" ht="15" hidden="false" customHeight="false" outlineLevel="0" collapsed="false">
      <c r="A274" s="8" t="s">
        <v>2221</v>
      </c>
      <c r="B274" s="8" t="n">
        <v>37</v>
      </c>
      <c r="C274" s="8" t="n">
        <v>26.5</v>
      </c>
      <c r="D274" s="8" t="n">
        <v>125</v>
      </c>
      <c r="E274" s="8" t="n">
        <v>115</v>
      </c>
      <c r="F274" s="8" t="n">
        <v>0</v>
      </c>
      <c r="G274" s="8" t="n">
        <v>1</v>
      </c>
      <c r="H274" s="8" t="n">
        <v>0</v>
      </c>
      <c r="I274" s="8" t="s">
        <v>1948</v>
      </c>
      <c r="J274" s="8" t="s">
        <v>1405</v>
      </c>
      <c r="K274" s="8" t="s">
        <v>1948</v>
      </c>
      <c r="L274" s="8" t="s">
        <v>1949</v>
      </c>
      <c r="M274" s="28" t="n">
        <f aca="false">'Disease Prediction Model'!$C$9+'Disease Prediction Model'!$C$10*B274+'Disease Prediction Model'!$C$11*C274+'Disease Prediction Model'!$C$12*D274+'Disease Prediction Model'!$C$13*E274+'Disease Prediction Model'!$C$14*F274+'Disease Prediction Model'!$C$15*G274</f>
        <v>0.336805</v>
      </c>
      <c r="N274" s="8" t="str">
        <f aca="false">IF(M274&gt;=0.5,"Yes","No")</f>
        <v>No</v>
      </c>
    </row>
    <row r="275" customFormat="false" ht="15" hidden="false" customHeight="false" outlineLevel="0" collapsed="false">
      <c r="A275" s="8" t="s">
        <v>2222</v>
      </c>
      <c r="B275" s="8" t="n">
        <v>18</v>
      </c>
      <c r="C275" s="8" t="n">
        <v>27.8</v>
      </c>
      <c r="D275" s="8" t="n">
        <v>132</v>
      </c>
      <c r="E275" s="8" t="n">
        <v>85</v>
      </c>
      <c r="F275" s="8" t="n">
        <v>0</v>
      </c>
      <c r="G275" s="8" t="n">
        <v>0</v>
      </c>
      <c r="H275" s="8" t="n">
        <v>0</v>
      </c>
      <c r="I275" s="8" t="s">
        <v>1948</v>
      </c>
      <c r="J275" s="8" t="s">
        <v>1959</v>
      </c>
      <c r="K275" s="8" t="s">
        <v>1948</v>
      </c>
      <c r="L275" s="8" t="s">
        <v>1949</v>
      </c>
      <c r="M275" s="28" t="n">
        <f aca="false">'Disease Prediction Model'!$C$9+'Disease Prediction Model'!$C$10*B275+'Disease Prediction Model'!$C$11*C275+'Disease Prediction Model'!$C$12*D275+'Disease Prediction Model'!$C$13*E275+'Disease Prediction Model'!$C$14*F275+'Disease Prediction Model'!$C$15*G275</f>
        <v>0.144252</v>
      </c>
      <c r="N275" s="8" t="str">
        <f aca="false">IF(M275&gt;=0.5,"Yes","No")</f>
        <v>No</v>
      </c>
    </row>
    <row r="276" customFormat="false" ht="15" hidden="false" customHeight="false" outlineLevel="0" collapsed="false">
      <c r="A276" s="8" t="s">
        <v>2223</v>
      </c>
      <c r="B276" s="8" t="n">
        <v>54</v>
      </c>
      <c r="C276" s="8" t="n">
        <v>21.7</v>
      </c>
      <c r="D276" s="8" t="n">
        <v>121</v>
      </c>
      <c r="E276" s="8" t="n">
        <v>90</v>
      </c>
      <c r="F276" s="8" t="n">
        <v>0</v>
      </c>
      <c r="G276" s="8" t="n">
        <v>0</v>
      </c>
      <c r="H276" s="8" t="n">
        <v>0</v>
      </c>
      <c r="I276" s="8" t="s">
        <v>1948</v>
      </c>
      <c r="J276" s="8" t="s">
        <v>1959</v>
      </c>
      <c r="K276" s="8" t="s">
        <v>1948</v>
      </c>
      <c r="L276" s="8" t="s">
        <v>1949</v>
      </c>
      <c r="M276" s="28" t="n">
        <f aca="false">'Disease Prediction Model'!$C$9+'Disease Prediction Model'!$C$10*B276+'Disease Prediction Model'!$C$11*C276+'Disease Prediction Model'!$C$12*D276+'Disease Prediction Model'!$C$13*E276+'Disease Prediction Model'!$C$14*F276+'Disease Prediction Model'!$C$15*G276</f>
        <v>0.186813</v>
      </c>
      <c r="N276" s="8" t="str">
        <f aca="false">IF(M276&gt;=0.5,"Yes","No")</f>
        <v>No</v>
      </c>
    </row>
    <row r="277" customFormat="false" ht="15" hidden="false" customHeight="false" outlineLevel="0" collapsed="false">
      <c r="A277" s="8" t="s">
        <v>2224</v>
      </c>
      <c r="B277" s="8" t="n">
        <v>31</v>
      </c>
      <c r="C277" s="8" t="n">
        <v>28.6</v>
      </c>
      <c r="D277" s="8" t="n">
        <v>148</v>
      </c>
      <c r="E277" s="8" t="n">
        <v>134</v>
      </c>
      <c r="F277" s="8" t="n">
        <v>0</v>
      </c>
      <c r="G277" s="8" t="n">
        <v>1</v>
      </c>
      <c r="H277" s="8" t="n">
        <v>1</v>
      </c>
      <c r="I277" s="8" t="s">
        <v>1948</v>
      </c>
      <c r="J277" s="8" t="s">
        <v>1405</v>
      </c>
      <c r="K277" s="8" t="s">
        <v>1954</v>
      </c>
      <c r="L277" s="8" t="s">
        <v>1949</v>
      </c>
      <c r="M277" s="28" t="n">
        <f aca="false">'Disease Prediction Model'!$C$9+'Disease Prediction Model'!$C$10*B277+'Disease Prediction Model'!$C$11*C277+'Disease Prediction Model'!$C$12*D277+'Disease Prediction Model'!$C$13*E277+'Disease Prediction Model'!$C$14*F277+'Disease Prediction Model'!$C$15*G277</f>
        <v>0.601484</v>
      </c>
      <c r="N277" s="8" t="str">
        <f aca="false">IF(M277&gt;=0.5,"Yes","No")</f>
        <v>Yes</v>
      </c>
    </row>
    <row r="278" customFormat="false" ht="15" hidden="false" customHeight="false" outlineLevel="0" collapsed="false">
      <c r="A278" s="8" t="s">
        <v>2225</v>
      </c>
      <c r="B278" s="8" t="n">
        <v>38</v>
      </c>
      <c r="C278" s="8" t="n">
        <v>30.3</v>
      </c>
      <c r="D278" s="8" t="n">
        <v>113</v>
      </c>
      <c r="E278" s="8" t="n">
        <v>103</v>
      </c>
      <c r="F278" s="8" t="n">
        <v>1</v>
      </c>
      <c r="G278" s="8" t="n">
        <v>0</v>
      </c>
      <c r="H278" s="8" t="n">
        <v>1</v>
      </c>
      <c r="I278" s="8" t="s">
        <v>1954</v>
      </c>
      <c r="J278" s="8" t="s">
        <v>1959</v>
      </c>
      <c r="K278" s="8" t="s">
        <v>1954</v>
      </c>
      <c r="L278" s="8" t="s">
        <v>1949</v>
      </c>
      <c r="M278" s="28" t="n">
        <f aca="false">'Disease Prediction Model'!$C$9+'Disease Prediction Model'!$C$10*B278+'Disease Prediction Model'!$C$11*C278+'Disease Prediction Model'!$C$12*D278+'Disease Prediction Model'!$C$13*E278+'Disease Prediction Model'!$C$14*F278+'Disease Prediction Model'!$C$15*G278</f>
        <v>0.462027</v>
      </c>
      <c r="N278" s="8" t="str">
        <f aca="false">IF(M278&gt;=0.5,"Yes","No")</f>
        <v>No</v>
      </c>
    </row>
    <row r="279" customFormat="false" ht="15" hidden="false" customHeight="false" outlineLevel="0" collapsed="false">
      <c r="A279" s="8" t="s">
        <v>2226</v>
      </c>
      <c r="B279" s="8" t="n">
        <v>79</v>
      </c>
      <c r="C279" s="8" t="n">
        <v>30.3</v>
      </c>
      <c r="D279" s="8" t="n">
        <v>134</v>
      </c>
      <c r="E279" s="8" t="n">
        <v>98</v>
      </c>
      <c r="F279" s="8" t="n">
        <v>1</v>
      </c>
      <c r="G279" s="8" t="n">
        <v>1</v>
      </c>
      <c r="H279" s="8" t="n">
        <v>0</v>
      </c>
      <c r="I279" s="8" t="s">
        <v>1954</v>
      </c>
      <c r="J279" s="8" t="s">
        <v>1405</v>
      </c>
      <c r="K279" s="8" t="s">
        <v>1948</v>
      </c>
      <c r="L279" s="8" t="s">
        <v>1949</v>
      </c>
      <c r="M279" s="28" t="n">
        <f aca="false">'Disease Prediction Model'!$C$9+'Disease Prediction Model'!$C$10*B279+'Disease Prediction Model'!$C$11*C279+'Disease Prediction Model'!$C$12*D279+'Disease Prediction Model'!$C$13*E279+'Disease Prediction Model'!$C$14*F279+'Disease Prediction Model'!$C$15*G279</f>
        <v>0.509767</v>
      </c>
      <c r="N279" s="8" t="str">
        <f aca="false">IF(M279&gt;=0.5,"Yes","No")</f>
        <v>Yes</v>
      </c>
    </row>
    <row r="280" customFormat="false" ht="15" hidden="false" customHeight="false" outlineLevel="0" collapsed="false">
      <c r="A280" s="8" t="s">
        <v>2227</v>
      </c>
      <c r="B280" s="8" t="n">
        <v>44</v>
      </c>
      <c r="C280" s="8" t="n">
        <v>26</v>
      </c>
      <c r="D280" s="8" t="n">
        <v>127</v>
      </c>
      <c r="E280" s="8" t="n">
        <v>70</v>
      </c>
      <c r="F280" s="8" t="n">
        <v>0</v>
      </c>
      <c r="G280" s="8" t="n">
        <v>1</v>
      </c>
      <c r="H280" s="8" t="n">
        <v>0</v>
      </c>
      <c r="I280" s="8" t="s">
        <v>1948</v>
      </c>
      <c r="J280" s="8" t="s">
        <v>1405</v>
      </c>
      <c r="K280" s="8" t="s">
        <v>1948</v>
      </c>
      <c r="L280" s="8" t="s">
        <v>1949</v>
      </c>
      <c r="M280" s="28" t="n">
        <f aca="false">'Disease Prediction Model'!$C$9+'Disease Prediction Model'!$C$10*B280+'Disease Prediction Model'!$C$11*C280+'Disease Prediction Model'!$C$12*D280+'Disease Prediction Model'!$C$13*E280+'Disease Prediction Model'!$C$14*F280+'Disease Prediction Model'!$C$15*G280</f>
        <v>-0.0579900000000002</v>
      </c>
      <c r="N280" s="8" t="str">
        <f aca="false">IF(M280&gt;=0.5,"Yes","No")</f>
        <v>No</v>
      </c>
    </row>
    <row r="281" customFormat="false" ht="15" hidden="false" customHeight="false" outlineLevel="0" collapsed="false">
      <c r="A281" s="8" t="s">
        <v>2228</v>
      </c>
      <c r="B281" s="8" t="n">
        <v>57</v>
      </c>
      <c r="C281" s="8" t="n">
        <v>24.2</v>
      </c>
      <c r="D281" s="8" t="n">
        <v>107</v>
      </c>
      <c r="E281" s="8" t="n">
        <v>70</v>
      </c>
      <c r="F281" s="8" t="n">
        <v>0</v>
      </c>
      <c r="G281" s="8" t="n">
        <v>1</v>
      </c>
      <c r="H281" s="8" t="n">
        <v>0</v>
      </c>
      <c r="I281" s="8" t="s">
        <v>1948</v>
      </c>
      <c r="J281" s="8" t="s">
        <v>1405</v>
      </c>
      <c r="K281" s="8" t="s">
        <v>1948</v>
      </c>
      <c r="L281" s="8" t="s">
        <v>1949</v>
      </c>
      <c r="M281" s="28" t="n">
        <f aca="false">'Disease Prediction Model'!$C$9+'Disease Prediction Model'!$C$10*B281+'Disease Prediction Model'!$C$11*C281+'Disease Prediction Model'!$C$12*D281+'Disease Prediction Model'!$C$13*E281+'Disease Prediction Model'!$C$14*F281+'Disease Prediction Model'!$C$15*G281</f>
        <v>-0.112132</v>
      </c>
      <c r="N281" s="8" t="str">
        <f aca="false">IF(M281&gt;=0.5,"Yes","No")</f>
        <v>No</v>
      </c>
    </row>
    <row r="282" customFormat="false" ht="15" hidden="false" customHeight="false" outlineLevel="0" collapsed="false">
      <c r="A282" s="8" t="s">
        <v>2229</v>
      </c>
      <c r="B282" s="8" t="n">
        <v>71</v>
      </c>
      <c r="C282" s="8" t="n">
        <v>25</v>
      </c>
      <c r="D282" s="8" t="n">
        <v>142</v>
      </c>
      <c r="E282" s="8" t="n">
        <v>70</v>
      </c>
      <c r="F282" s="8" t="n">
        <v>0</v>
      </c>
      <c r="G282" s="8" t="n">
        <v>0</v>
      </c>
      <c r="H282" s="8" t="n">
        <v>0</v>
      </c>
      <c r="I282" s="8" t="s">
        <v>1948</v>
      </c>
      <c r="J282" s="8" t="s">
        <v>1959</v>
      </c>
      <c r="K282" s="8" t="s">
        <v>1948</v>
      </c>
      <c r="L282" s="8" t="s">
        <v>1949</v>
      </c>
      <c r="M282" s="28" t="n">
        <f aca="false">'Disease Prediction Model'!$C$9+'Disease Prediction Model'!$C$10*B282+'Disease Prediction Model'!$C$11*C282+'Disease Prediction Model'!$C$12*D282+'Disease Prediction Model'!$C$13*E282+'Disease Prediction Model'!$C$14*F282+'Disease Prediction Model'!$C$15*G282</f>
        <v>0.16402</v>
      </c>
      <c r="N282" s="8" t="str">
        <f aca="false">IF(M282&gt;=0.5,"Yes","No")</f>
        <v>No</v>
      </c>
    </row>
    <row r="283" customFormat="false" ht="15" hidden="false" customHeight="false" outlineLevel="0" collapsed="false">
      <c r="A283" s="8" t="s">
        <v>2230</v>
      </c>
      <c r="B283" s="8" t="n">
        <v>66</v>
      </c>
      <c r="C283" s="8" t="n">
        <v>30.1</v>
      </c>
      <c r="D283" s="8" t="n">
        <v>109</v>
      </c>
      <c r="E283" s="8" t="n">
        <v>84</v>
      </c>
      <c r="F283" s="8" t="n">
        <v>0</v>
      </c>
      <c r="G283" s="8" t="n">
        <v>1</v>
      </c>
      <c r="H283" s="8" t="n">
        <v>0</v>
      </c>
      <c r="I283" s="8" t="s">
        <v>1948</v>
      </c>
      <c r="J283" s="8" t="s">
        <v>1405</v>
      </c>
      <c r="K283" s="8" t="s">
        <v>1948</v>
      </c>
      <c r="L283" s="8" t="s">
        <v>1949</v>
      </c>
      <c r="M283" s="28" t="n">
        <f aca="false">'Disease Prediction Model'!$C$9+'Disease Prediction Model'!$C$10*B283+'Disease Prediction Model'!$C$11*C283+'Disease Prediction Model'!$C$12*D283+'Disease Prediction Model'!$C$13*E283+'Disease Prediction Model'!$C$14*F283+'Disease Prediction Model'!$C$15*G283</f>
        <v>0.118149</v>
      </c>
      <c r="N283" s="8" t="str">
        <f aca="false">IF(M283&gt;=0.5,"Yes","No")</f>
        <v>No</v>
      </c>
    </row>
    <row r="284" customFormat="false" ht="15" hidden="false" customHeight="false" outlineLevel="0" collapsed="false">
      <c r="A284" s="8" t="s">
        <v>2231</v>
      </c>
      <c r="B284" s="8" t="n">
        <v>48</v>
      </c>
      <c r="C284" s="8" t="n">
        <v>30.1</v>
      </c>
      <c r="D284" s="8" t="n">
        <v>165</v>
      </c>
      <c r="E284" s="8" t="n">
        <v>100</v>
      </c>
      <c r="F284" s="8" t="n">
        <v>1</v>
      </c>
      <c r="G284" s="8" t="n">
        <v>2</v>
      </c>
      <c r="H284" s="8" t="n">
        <v>0</v>
      </c>
      <c r="I284" s="8" t="s">
        <v>1954</v>
      </c>
      <c r="J284" s="8" t="s">
        <v>1951</v>
      </c>
      <c r="K284" s="8" t="s">
        <v>1948</v>
      </c>
      <c r="L284" s="8" t="s">
        <v>1949</v>
      </c>
      <c r="M284" s="28" t="n">
        <f aca="false">'Disease Prediction Model'!$C$9+'Disease Prediction Model'!$C$10*B284+'Disease Prediction Model'!$C$11*C284+'Disease Prediction Model'!$C$12*D284+'Disease Prediction Model'!$C$13*E284+'Disease Prediction Model'!$C$14*F284+'Disease Prediction Model'!$C$15*G284</f>
        <v>0.445609</v>
      </c>
      <c r="N284" s="8" t="str">
        <f aca="false">IF(M284&gt;=0.5,"Yes","No")</f>
        <v>No</v>
      </c>
    </row>
    <row r="285" customFormat="false" ht="15" hidden="false" customHeight="false" outlineLevel="0" collapsed="false">
      <c r="A285" s="8" t="s">
        <v>2232</v>
      </c>
      <c r="B285" s="8" t="n">
        <v>63</v>
      </c>
      <c r="C285" s="8" t="n">
        <v>30.3</v>
      </c>
      <c r="D285" s="8" t="n">
        <v>130</v>
      </c>
      <c r="E285" s="8" t="n">
        <v>84</v>
      </c>
      <c r="F285" s="8" t="n">
        <v>1</v>
      </c>
      <c r="G285" s="8" t="n">
        <v>0</v>
      </c>
      <c r="H285" s="8" t="n">
        <v>0</v>
      </c>
      <c r="I285" s="8" t="s">
        <v>1954</v>
      </c>
      <c r="J285" s="8" t="s">
        <v>1959</v>
      </c>
      <c r="K285" s="8" t="s">
        <v>1948</v>
      </c>
      <c r="L285" s="8" t="s">
        <v>1949</v>
      </c>
      <c r="M285" s="28" t="n">
        <f aca="false">'Disease Prediction Model'!$C$9+'Disease Prediction Model'!$C$10*B285+'Disease Prediction Model'!$C$11*C285+'Disease Prediction Model'!$C$12*D285+'Disease Prediction Model'!$C$13*E285+'Disease Prediction Model'!$C$14*F285+'Disease Prediction Model'!$C$15*G285</f>
        <v>0.419947</v>
      </c>
      <c r="N285" s="8" t="str">
        <f aca="false">IF(M285&gt;=0.5,"Yes","No")</f>
        <v>No</v>
      </c>
    </row>
    <row r="286" customFormat="false" ht="15" hidden="false" customHeight="false" outlineLevel="0" collapsed="false">
      <c r="A286" s="8" t="s">
        <v>2233</v>
      </c>
      <c r="B286" s="8" t="n">
        <v>73</v>
      </c>
      <c r="C286" s="8" t="n">
        <v>22.9</v>
      </c>
      <c r="D286" s="8" t="n">
        <v>131</v>
      </c>
      <c r="E286" s="8" t="n">
        <v>111</v>
      </c>
      <c r="F286" s="8" t="n">
        <v>1</v>
      </c>
      <c r="G286" s="8" t="n">
        <v>2</v>
      </c>
      <c r="H286" s="8" t="n">
        <v>1</v>
      </c>
      <c r="I286" s="8" t="s">
        <v>1954</v>
      </c>
      <c r="J286" s="8" t="s">
        <v>1951</v>
      </c>
      <c r="K286" s="8" t="s">
        <v>1954</v>
      </c>
      <c r="L286" s="8" t="s">
        <v>1949</v>
      </c>
      <c r="M286" s="28" t="n">
        <f aca="false">'Disease Prediction Model'!$C$9+'Disease Prediction Model'!$C$10*B286+'Disease Prediction Model'!$C$11*C286+'Disease Prediction Model'!$C$12*D286+'Disease Prediction Model'!$C$13*E286+'Disease Prediction Model'!$C$14*F286+'Disease Prediction Model'!$C$15*G286</f>
        <v>0.416741</v>
      </c>
      <c r="N286" s="8" t="str">
        <f aca="false">IF(M286&gt;=0.5,"Yes","No")</f>
        <v>No</v>
      </c>
    </row>
    <row r="287" customFormat="false" ht="15" hidden="false" customHeight="false" outlineLevel="0" collapsed="false">
      <c r="A287" s="8" t="s">
        <v>2234</v>
      </c>
      <c r="B287" s="8" t="n">
        <v>49</v>
      </c>
      <c r="C287" s="8" t="n">
        <v>27.5</v>
      </c>
      <c r="D287" s="8" t="n">
        <v>146</v>
      </c>
      <c r="E287" s="8" t="n">
        <v>84</v>
      </c>
      <c r="F287" s="8" t="n">
        <v>0</v>
      </c>
      <c r="G287" s="8" t="n">
        <v>1</v>
      </c>
      <c r="H287" s="8" t="n">
        <v>0</v>
      </c>
      <c r="I287" s="8" t="s">
        <v>1948</v>
      </c>
      <c r="J287" s="8" t="s">
        <v>1405</v>
      </c>
      <c r="K287" s="8" t="s">
        <v>1948</v>
      </c>
      <c r="L287" s="8" t="s">
        <v>1949</v>
      </c>
      <c r="M287" s="28" t="n">
        <f aca="false">'Disease Prediction Model'!$C$9+'Disease Prediction Model'!$C$10*B287+'Disease Prediction Model'!$C$11*C287+'Disease Prediction Model'!$C$12*D287+'Disease Prediction Model'!$C$13*E287+'Disease Prediction Model'!$C$14*F287+'Disease Prediction Model'!$C$15*G287</f>
        <v>0.171355</v>
      </c>
      <c r="N287" s="8" t="str">
        <f aca="false">IF(M287&gt;=0.5,"Yes","No")</f>
        <v>No</v>
      </c>
    </row>
    <row r="288" customFormat="false" ht="15" hidden="false" customHeight="false" outlineLevel="0" collapsed="false">
      <c r="A288" s="8" t="s">
        <v>2235</v>
      </c>
      <c r="B288" s="8" t="n">
        <v>85</v>
      </c>
      <c r="C288" s="8" t="n">
        <v>23</v>
      </c>
      <c r="D288" s="8" t="n">
        <v>116</v>
      </c>
      <c r="E288" s="8" t="n">
        <v>89</v>
      </c>
      <c r="F288" s="8" t="n">
        <v>0</v>
      </c>
      <c r="G288" s="8" t="n">
        <v>2</v>
      </c>
      <c r="H288" s="8" t="n">
        <v>0</v>
      </c>
      <c r="I288" s="8" t="s">
        <v>1948</v>
      </c>
      <c r="J288" s="8" t="s">
        <v>1951</v>
      </c>
      <c r="K288" s="8" t="s">
        <v>1948</v>
      </c>
      <c r="L288" s="8" t="s">
        <v>1949</v>
      </c>
      <c r="M288" s="28" t="n">
        <f aca="false">'Disease Prediction Model'!$C$9+'Disease Prediction Model'!$C$10*B288+'Disease Prediction Model'!$C$11*C288+'Disease Prediction Model'!$C$12*D288+'Disease Prediction Model'!$C$13*E288+'Disease Prediction Model'!$C$14*F288+'Disease Prediction Model'!$C$15*G288</f>
        <v>0.0632599999999999</v>
      </c>
      <c r="N288" s="8" t="str">
        <f aca="false">IF(M288&gt;=0.5,"Yes","No")</f>
        <v>No</v>
      </c>
    </row>
    <row r="289" customFormat="false" ht="15" hidden="false" customHeight="false" outlineLevel="0" collapsed="false">
      <c r="A289" s="8" t="s">
        <v>2236</v>
      </c>
      <c r="B289" s="8" t="n">
        <v>61</v>
      </c>
      <c r="C289" s="8" t="n">
        <v>25.4</v>
      </c>
      <c r="D289" s="8" t="n">
        <v>136</v>
      </c>
      <c r="E289" s="8" t="n">
        <v>112</v>
      </c>
      <c r="F289" s="8" t="n">
        <v>0</v>
      </c>
      <c r="G289" s="8" t="n">
        <v>2</v>
      </c>
      <c r="H289" s="8" t="n">
        <v>0</v>
      </c>
      <c r="I289" s="8" t="s">
        <v>1948</v>
      </c>
      <c r="J289" s="8" t="s">
        <v>1951</v>
      </c>
      <c r="K289" s="8" t="s">
        <v>1948</v>
      </c>
      <c r="L289" s="8" t="s">
        <v>1949</v>
      </c>
      <c r="M289" s="28" t="n">
        <f aca="false">'Disease Prediction Model'!$C$9+'Disease Prediction Model'!$C$10*B289+'Disease Prediction Model'!$C$11*C289+'Disease Prediction Model'!$C$12*D289+'Disease Prediction Model'!$C$13*E289+'Disease Prediction Model'!$C$14*F289+'Disease Prediction Model'!$C$15*G289</f>
        <v>0.305096</v>
      </c>
      <c r="N289" s="8" t="str">
        <f aca="false">IF(M289&gt;=0.5,"Yes","No")</f>
        <v>No</v>
      </c>
    </row>
    <row r="290" customFormat="false" ht="15" hidden="false" customHeight="false" outlineLevel="0" collapsed="false">
      <c r="A290" s="8" t="s">
        <v>2237</v>
      </c>
      <c r="B290" s="8" t="n">
        <v>82</v>
      </c>
      <c r="C290" s="8" t="n">
        <v>31.9</v>
      </c>
      <c r="D290" s="8" t="n">
        <v>133</v>
      </c>
      <c r="E290" s="8" t="n">
        <v>132</v>
      </c>
      <c r="F290" s="8" t="n">
        <v>1</v>
      </c>
      <c r="G290" s="8" t="n">
        <v>1</v>
      </c>
      <c r="H290" s="8" t="n">
        <v>1</v>
      </c>
      <c r="I290" s="8" t="s">
        <v>1954</v>
      </c>
      <c r="J290" s="8" t="s">
        <v>1405</v>
      </c>
      <c r="K290" s="8" t="s">
        <v>1954</v>
      </c>
      <c r="L290" s="8" t="s">
        <v>1949</v>
      </c>
      <c r="M290" s="28" t="n">
        <f aca="false">'Disease Prediction Model'!$C$9+'Disease Prediction Model'!$C$10*B290+'Disease Prediction Model'!$C$11*C290+'Disease Prediction Model'!$C$12*D290+'Disease Prediction Model'!$C$13*E290+'Disease Prediction Model'!$C$14*F290+'Disease Prediction Model'!$C$15*G290</f>
        <v>0.848011</v>
      </c>
      <c r="N290" s="8" t="str">
        <f aca="false">IF(M290&gt;=0.5,"Yes","No")</f>
        <v>Yes</v>
      </c>
    </row>
    <row r="291" customFormat="false" ht="15" hidden="false" customHeight="false" outlineLevel="0" collapsed="false">
      <c r="A291" s="8" t="s">
        <v>2238</v>
      </c>
      <c r="B291" s="8" t="n">
        <v>63</v>
      </c>
      <c r="C291" s="8" t="n">
        <v>26.4</v>
      </c>
      <c r="D291" s="8" t="n">
        <v>130</v>
      </c>
      <c r="E291" s="8" t="n">
        <v>111</v>
      </c>
      <c r="F291" s="8" t="n">
        <v>0</v>
      </c>
      <c r="G291" s="8" t="n">
        <v>1</v>
      </c>
      <c r="H291" s="8" t="n">
        <v>0</v>
      </c>
      <c r="I291" s="8" t="s">
        <v>1948</v>
      </c>
      <c r="J291" s="8" t="s">
        <v>1405</v>
      </c>
      <c r="K291" s="8" t="s">
        <v>1948</v>
      </c>
      <c r="L291" s="8" t="s">
        <v>1949</v>
      </c>
      <c r="M291" s="28" t="n">
        <f aca="false">'Disease Prediction Model'!$C$9+'Disease Prediction Model'!$C$10*B291+'Disease Prediction Model'!$C$11*C291+'Disease Prediction Model'!$C$12*D291+'Disease Prediction Model'!$C$13*E291+'Disease Prediction Model'!$C$14*F291+'Disease Prediction Model'!$C$15*G291</f>
        <v>0.392446</v>
      </c>
      <c r="N291" s="8" t="str">
        <f aca="false">IF(M291&gt;=0.5,"Yes","No")</f>
        <v>No</v>
      </c>
    </row>
    <row r="292" customFormat="false" ht="15" hidden="false" customHeight="false" outlineLevel="0" collapsed="false">
      <c r="A292" s="8" t="s">
        <v>2239</v>
      </c>
      <c r="B292" s="8" t="n">
        <v>39</v>
      </c>
      <c r="C292" s="8" t="n">
        <v>32</v>
      </c>
      <c r="D292" s="8" t="n">
        <v>116</v>
      </c>
      <c r="E292" s="8" t="n">
        <v>105</v>
      </c>
      <c r="F292" s="8" t="n">
        <v>1</v>
      </c>
      <c r="G292" s="8" t="n">
        <v>1</v>
      </c>
      <c r="H292" s="8" t="n">
        <v>1</v>
      </c>
      <c r="I292" s="8" t="s">
        <v>1954</v>
      </c>
      <c r="J292" s="8" t="s">
        <v>1405</v>
      </c>
      <c r="K292" s="8" t="s">
        <v>1954</v>
      </c>
      <c r="L292" s="8" t="s">
        <v>1949</v>
      </c>
      <c r="M292" s="28" t="n">
        <f aca="false">'Disease Prediction Model'!$C$9+'Disease Prediction Model'!$C$10*B292+'Disease Prediction Model'!$C$11*C292+'Disease Prediction Model'!$C$12*D292+'Disease Prediction Model'!$C$13*E292+'Disease Prediction Model'!$C$14*F292+'Disease Prediction Model'!$C$15*G292</f>
        <v>0.41271</v>
      </c>
      <c r="N292" s="8" t="str">
        <f aca="false">IF(M292&gt;=0.5,"Yes","No")</f>
        <v>No</v>
      </c>
    </row>
    <row r="293" customFormat="false" ht="15" hidden="false" customHeight="false" outlineLevel="0" collapsed="false">
      <c r="A293" s="8" t="s">
        <v>2240</v>
      </c>
      <c r="B293" s="8" t="n">
        <v>57</v>
      </c>
      <c r="C293" s="8" t="n">
        <v>30.2</v>
      </c>
      <c r="D293" s="8" t="n">
        <v>114</v>
      </c>
      <c r="E293" s="8" t="n">
        <v>112</v>
      </c>
      <c r="F293" s="8" t="n">
        <v>0</v>
      </c>
      <c r="G293" s="8" t="n">
        <v>1</v>
      </c>
      <c r="H293" s="8" t="n">
        <v>0</v>
      </c>
      <c r="I293" s="8" t="s">
        <v>1948</v>
      </c>
      <c r="J293" s="8" t="s">
        <v>1405</v>
      </c>
      <c r="K293" s="8" t="s">
        <v>1948</v>
      </c>
      <c r="L293" s="8" t="s">
        <v>1949</v>
      </c>
      <c r="M293" s="28" t="n">
        <f aca="false">'Disease Prediction Model'!$C$9+'Disease Prediction Model'!$C$10*B293+'Disease Prediction Model'!$C$11*C293+'Disease Prediction Model'!$C$12*D293+'Disease Prediction Model'!$C$13*E293+'Disease Prediction Model'!$C$14*F293+'Disease Prediction Model'!$C$15*G293</f>
        <v>0.370188</v>
      </c>
      <c r="N293" s="8" t="str">
        <f aca="false">IF(M293&gt;=0.5,"Yes","No")</f>
        <v>No</v>
      </c>
    </row>
    <row r="294" customFormat="false" ht="15" hidden="false" customHeight="false" outlineLevel="0" collapsed="false">
      <c r="A294" s="8" t="s">
        <v>2241</v>
      </c>
      <c r="B294" s="8" t="n">
        <v>36</v>
      </c>
      <c r="C294" s="8" t="n">
        <v>33.1</v>
      </c>
      <c r="D294" s="8" t="n">
        <v>128</v>
      </c>
      <c r="E294" s="8" t="n">
        <v>93</v>
      </c>
      <c r="F294" s="8" t="n">
        <v>0</v>
      </c>
      <c r="G294" s="8" t="n">
        <v>2</v>
      </c>
      <c r="H294" s="8" t="n">
        <v>0</v>
      </c>
      <c r="I294" s="8" t="s">
        <v>1948</v>
      </c>
      <c r="J294" s="8" t="s">
        <v>1951</v>
      </c>
      <c r="K294" s="8" t="s">
        <v>1948</v>
      </c>
      <c r="L294" s="8" t="s">
        <v>1949</v>
      </c>
      <c r="M294" s="28" t="n">
        <f aca="false">'Disease Prediction Model'!$C$9+'Disease Prediction Model'!$C$10*B294+'Disease Prediction Model'!$C$11*C294+'Disease Prediction Model'!$C$12*D294+'Disease Prediction Model'!$C$13*E294+'Disease Prediction Model'!$C$14*F294+'Disease Prediction Model'!$C$15*G294</f>
        <v>0.115219</v>
      </c>
      <c r="N294" s="8" t="str">
        <f aca="false">IF(M294&gt;=0.5,"Yes","No")</f>
        <v>No</v>
      </c>
    </row>
    <row r="295" customFormat="false" ht="15" hidden="false" customHeight="false" outlineLevel="0" collapsed="false">
      <c r="A295" s="8" t="s">
        <v>2242</v>
      </c>
      <c r="B295" s="8" t="n">
        <v>49</v>
      </c>
      <c r="C295" s="8" t="n">
        <v>20.8</v>
      </c>
      <c r="D295" s="8" t="n">
        <v>122</v>
      </c>
      <c r="E295" s="8" t="n">
        <v>98</v>
      </c>
      <c r="F295" s="8" t="n">
        <v>0</v>
      </c>
      <c r="G295" s="8" t="n">
        <v>2</v>
      </c>
      <c r="H295" s="8" t="n">
        <v>0</v>
      </c>
      <c r="I295" s="8" t="s">
        <v>1948</v>
      </c>
      <c r="J295" s="8" t="s">
        <v>1951</v>
      </c>
      <c r="K295" s="8" t="s">
        <v>1948</v>
      </c>
      <c r="L295" s="8" t="s">
        <v>1949</v>
      </c>
      <c r="M295" s="28" t="n">
        <f aca="false">'Disease Prediction Model'!$C$9+'Disease Prediction Model'!$C$10*B295+'Disease Prediction Model'!$C$11*C295+'Disease Prediction Model'!$C$12*D295+'Disease Prediction Model'!$C$13*E295+'Disease Prediction Model'!$C$14*F295+'Disease Prediction Model'!$C$15*G295</f>
        <v>0.0379019999999999</v>
      </c>
      <c r="N295" s="8" t="str">
        <f aca="false">IF(M295&gt;=0.5,"Yes","No")</f>
        <v>No</v>
      </c>
    </row>
    <row r="296" customFormat="false" ht="15" hidden="false" customHeight="false" outlineLevel="0" collapsed="false">
      <c r="A296" s="8" t="s">
        <v>2243</v>
      </c>
      <c r="B296" s="8" t="n">
        <v>78</v>
      </c>
      <c r="C296" s="8" t="n">
        <v>33.7</v>
      </c>
      <c r="D296" s="8" t="n">
        <v>126</v>
      </c>
      <c r="E296" s="8" t="n">
        <v>124</v>
      </c>
      <c r="F296" s="8" t="n">
        <v>0</v>
      </c>
      <c r="G296" s="8" t="n">
        <v>1</v>
      </c>
      <c r="H296" s="8" t="n">
        <v>0</v>
      </c>
      <c r="I296" s="8" t="s">
        <v>1948</v>
      </c>
      <c r="J296" s="8" t="s">
        <v>1405</v>
      </c>
      <c r="K296" s="8" t="s">
        <v>1948</v>
      </c>
      <c r="L296" s="8" t="s">
        <v>1949</v>
      </c>
      <c r="M296" s="28" t="n">
        <f aca="false">'Disease Prediction Model'!$C$9+'Disease Prediction Model'!$C$10*B296+'Disease Prediction Model'!$C$11*C296+'Disease Prediction Model'!$C$12*D296+'Disease Prediction Model'!$C$13*E296+'Disease Prediction Model'!$C$14*F296+'Disease Prediction Model'!$C$15*G296</f>
        <v>0.625453</v>
      </c>
      <c r="N296" s="8" t="str">
        <f aca="false">IF(M296&gt;=0.5,"Yes","No")</f>
        <v>Yes</v>
      </c>
    </row>
    <row r="297" customFormat="false" ht="15" hidden="false" customHeight="false" outlineLevel="0" collapsed="false">
      <c r="A297" s="8" t="s">
        <v>2244</v>
      </c>
      <c r="B297" s="8" t="n">
        <v>53</v>
      </c>
      <c r="C297" s="8" t="n">
        <v>24.4</v>
      </c>
      <c r="D297" s="8" t="n">
        <v>141</v>
      </c>
      <c r="E297" s="8" t="n">
        <v>96</v>
      </c>
      <c r="F297" s="8" t="n">
        <v>1</v>
      </c>
      <c r="G297" s="8" t="n">
        <v>2</v>
      </c>
      <c r="H297" s="8" t="n">
        <v>0</v>
      </c>
      <c r="I297" s="8" t="s">
        <v>1954</v>
      </c>
      <c r="J297" s="8" t="s">
        <v>1951</v>
      </c>
      <c r="K297" s="8" t="s">
        <v>1948</v>
      </c>
      <c r="L297" s="8" t="s">
        <v>1949</v>
      </c>
      <c r="M297" s="28" t="n">
        <f aca="false">'Disease Prediction Model'!$C$9+'Disease Prediction Model'!$C$10*B297+'Disease Prediction Model'!$C$11*C297+'Disease Prediction Model'!$C$12*D297+'Disease Prediction Model'!$C$13*E297+'Disease Prediction Model'!$C$14*F297+'Disease Prediction Model'!$C$15*G297</f>
        <v>0.272326</v>
      </c>
      <c r="N297" s="8" t="str">
        <f aca="false">IF(M297&gt;=0.5,"Yes","No")</f>
        <v>No</v>
      </c>
    </row>
    <row r="298" customFormat="false" ht="15" hidden="false" customHeight="false" outlineLevel="0" collapsed="false">
      <c r="A298" s="8" t="s">
        <v>2245</v>
      </c>
      <c r="B298" s="8" t="n">
        <v>45</v>
      </c>
      <c r="C298" s="8" t="n">
        <v>28.5</v>
      </c>
      <c r="D298" s="8" t="n">
        <v>104</v>
      </c>
      <c r="E298" s="8" t="n">
        <v>109</v>
      </c>
      <c r="F298" s="8" t="n">
        <v>0</v>
      </c>
      <c r="G298" s="8" t="n">
        <v>2</v>
      </c>
      <c r="H298" s="8" t="n">
        <v>1</v>
      </c>
      <c r="I298" s="8" t="s">
        <v>1948</v>
      </c>
      <c r="J298" s="8" t="s">
        <v>1951</v>
      </c>
      <c r="K298" s="8" t="s">
        <v>1954</v>
      </c>
      <c r="L298" s="8" t="s">
        <v>1949</v>
      </c>
      <c r="M298" s="28" t="n">
        <f aca="false">'Disease Prediction Model'!$C$9+'Disease Prediction Model'!$C$10*B298+'Disease Prediction Model'!$C$11*C298+'Disease Prediction Model'!$C$12*D298+'Disease Prediction Model'!$C$13*E298+'Disease Prediction Model'!$C$14*F298+'Disease Prediction Model'!$C$15*G298</f>
        <v>0.151345</v>
      </c>
      <c r="N298" s="8" t="str">
        <f aca="false">IF(M298&gt;=0.5,"Yes","No")</f>
        <v>No</v>
      </c>
    </row>
    <row r="299" customFormat="false" ht="15" hidden="false" customHeight="false" outlineLevel="0" collapsed="false">
      <c r="A299" s="8" t="s">
        <v>2246</v>
      </c>
      <c r="B299" s="8" t="n">
        <v>38</v>
      </c>
      <c r="C299" s="8" t="n">
        <v>25.6</v>
      </c>
      <c r="D299" s="8" t="n">
        <v>149</v>
      </c>
      <c r="E299" s="8" t="n">
        <v>119</v>
      </c>
      <c r="F299" s="8" t="n">
        <v>1</v>
      </c>
      <c r="G299" s="8" t="n">
        <v>1</v>
      </c>
      <c r="H299" s="8" t="n">
        <v>1</v>
      </c>
      <c r="I299" s="8" t="s">
        <v>1954</v>
      </c>
      <c r="J299" s="8" t="s">
        <v>1405</v>
      </c>
      <c r="K299" s="8" t="s">
        <v>1954</v>
      </c>
      <c r="L299" s="8" t="s">
        <v>1949</v>
      </c>
      <c r="M299" s="28" t="n">
        <f aca="false">'Disease Prediction Model'!$C$9+'Disease Prediction Model'!$C$10*B299+'Disease Prediction Model'!$C$11*C299+'Disease Prediction Model'!$C$12*D299+'Disease Prediction Model'!$C$13*E299+'Disease Prediction Model'!$C$14*F299+'Disease Prediction Model'!$C$15*G299</f>
        <v>0.584674</v>
      </c>
      <c r="N299" s="8" t="str">
        <f aca="false">IF(M299&gt;=0.5,"Yes","No")</f>
        <v>Yes</v>
      </c>
    </row>
    <row r="300" customFormat="false" ht="15" hidden="false" customHeight="false" outlineLevel="0" collapsed="false">
      <c r="A300" s="8" t="s">
        <v>2247</v>
      </c>
      <c r="B300" s="8" t="n">
        <v>46</v>
      </c>
      <c r="C300" s="8" t="n">
        <v>25.1</v>
      </c>
      <c r="D300" s="8" t="n">
        <v>127</v>
      </c>
      <c r="E300" s="8" t="n">
        <v>126</v>
      </c>
      <c r="F300" s="8" t="n">
        <v>0</v>
      </c>
      <c r="G300" s="8" t="n">
        <v>1</v>
      </c>
      <c r="H300" s="8" t="n">
        <v>1</v>
      </c>
      <c r="I300" s="8" t="s">
        <v>1948</v>
      </c>
      <c r="J300" s="8" t="s">
        <v>1405</v>
      </c>
      <c r="K300" s="8" t="s">
        <v>1954</v>
      </c>
      <c r="L300" s="8" t="s">
        <v>1949</v>
      </c>
      <c r="M300" s="28" t="n">
        <f aca="false">'Disease Prediction Model'!$C$9+'Disease Prediction Model'!$C$10*B300+'Disease Prediction Model'!$C$11*C300+'Disease Prediction Model'!$C$12*D300+'Disease Prediction Model'!$C$13*E300+'Disease Prediction Model'!$C$14*F300+'Disease Prediction Model'!$C$15*G300</f>
        <v>0.456159</v>
      </c>
      <c r="N300" s="8" t="str">
        <f aca="false">IF(M300&gt;=0.5,"Yes","No")</f>
        <v>No</v>
      </c>
    </row>
    <row r="301" customFormat="false" ht="15" hidden="false" customHeight="false" outlineLevel="0" collapsed="false">
      <c r="A301" s="8" t="s">
        <v>2248</v>
      </c>
      <c r="B301" s="8" t="n">
        <v>65</v>
      </c>
      <c r="C301" s="8" t="n">
        <v>22.5</v>
      </c>
      <c r="D301" s="8" t="n">
        <v>131</v>
      </c>
      <c r="E301" s="8" t="n">
        <v>119</v>
      </c>
      <c r="F301" s="8" t="n">
        <v>0</v>
      </c>
      <c r="G301" s="8" t="n">
        <v>0</v>
      </c>
      <c r="H301" s="8" t="n">
        <v>1</v>
      </c>
      <c r="I301" s="8" t="s">
        <v>1948</v>
      </c>
      <c r="J301" s="8" t="s">
        <v>1959</v>
      </c>
      <c r="K301" s="8" t="s">
        <v>1954</v>
      </c>
      <c r="L301" s="8" t="s">
        <v>1949</v>
      </c>
      <c r="M301" s="28" t="n">
        <f aca="false">'Disease Prediction Model'!$C$9+'Disease Prediction Model'!$C$10*B301+'Disease Prediction Model'!$C$11*C301+'Disease Prediction Model'!$C$12*D301+'Disease Prediction Model'!$C$13*E301+'Disease Prediction Model'!$C$14*F301+'Disease Prediction Model'!$C$15*G301</f>
        <v>0.532385</v>
      </c>
      <c r="N301" s="8" t="str">
        <f aca="false">IF(M301&gt;=0.5,"Yes","No")</f>
        <v>Yes</v>
      </c>
    </row>
    <row r="302" customFormat="false" ht="15" hidden="false" customHeight="false" outlineLevel="0" collapsed="false">
      <c r="A302" s="8" t="s">
        <v>2249</v>
      </c>
      <c r="B302" s="8" t="n">
        <v>53</v>
      </c>
      <c r="C302" s="8" t="n">
        <v>25.4</v>
      </c>
      <c r="D302" s="8" t="n">
        <v>125</v>
      </c>
      <c r="E302" s="8" t="n">
        <v>128</v>
      </c>
      <c r="F302" s="8" t="n">
        <v>1</v>
      </c>
      <c r="G302" s="8" t="n">
        <v>1</v>
      </c>
      <c r="H302" s="8" t="n">
        <v>1</v>
      </c>
      <c r="I302" s="8" t="s">
        <v>1954</v>
      </c>
      <c r="J302" s="8" t="s">
        <v>1405</v>
      </c>
      <c r="K302" s="8" t="s">
        <v>1954</v>
      </c>
      <c r="L302" s="8" t="s">
        <v>1949</v>
      </c>
      <c r="M302" s="28" t="n">
        <f aca="false">'Disease Prediction Model'!$C$9+'Disease Prediction Model'!$C$10*B302+'Disease Prediction Model'!$C$11*C302+'Disease Prediction Model'!$C$12*D302+'Disease Prediction Model'!$C$13*E302+'Disease Prediction Model'!$C$14*F302+'Disease Prediction Model'!$C$15*G302</f>
        <v>0.623616</v>
      </c>
      <c r="N302" s="8" t="str">
        <f aca="false">IF(M302&gt;=0.5,"Yes","No")</f>
        <v>Yes</v>
      </c>
    </row>
    <row r="303" customFormat="false" ht="15" hidden="false" customHeight="false" outlineLevel="0" collapsed="false">
      <c r="A303" s="8" t="s">
        <v>2250</v>
      </c>
      <c r="B303" s="8" t="n">
        <v>90</v>
      </c>
      <c r="C303" s="8" t="n">
        <v>24.6</v>
      </c>
      <c r="D303" s="8" t="n">
        <v>154</v>
      </c>
      <c r="E303" s="8" t="n">
        <v>78</v>
      </c>
      <c r="F303" s="8" t="n">
        <v>1</v>
      </c>
      <c r="G303" s="8" t="n">
        <v>0</v>
      </c>
      <c r="H303" s="8" t="n">
        <v>1</v>
      </c>
      <c r="I303" s="8" t="s">
        <v>1954</v>
      </c>
      <c r="J303" s="8" t="s">
        <v>1959</v>
      </c>
      <c r="K303" s="8" t="s">
        <v>1954</v>
      </c>
      <c r="L303" s="8" t="s">
        <v>1949</v>
      </c>
      <c r="M303" s="28" t="n">
        <f aca="false">'Disease Prediction Model'!$C$9+'Disease Prediction Model'!$C$10*B303+'Disease Prediction Model'!$C$11*C303+'Disease Prediction Model'!$C$12*D303+'Disease Prediction Model'!$C$13*E303+'Disease Prediction Model'!$C$14*F303+'Disease Prediction Model'!$C$15*G303</f>
        <v>0.464224</v>
      </c>
      <c r="N303" s="8" t="str">
        <f aca="false">IF(M303&gt;=0.5,"Yes","No")</f>
        <v>No</v>
      </c>
    </row>
    <row r="304" customFormat="false" ht="15" hidden="false" customHeight="false" outlineLevel="0" collapsed="false">
      <c r="A304" s="8" t="s">
        <v>2251</v>
      </c>
      <c r="B304" s="8" t="n">
        <v>57</v>
      </c>
      <c r="C304" s="8" t="n">
        <v>26.2</v>
      </c>
      <c r="D304" s="8" t="n">
        <v>129</v>
      </c>
      <c r="E304" s="8" t="n">
        <v>128</v>
      </c>
      <c r="F304" s="8" t="n">
        <v>0</v>
      </c>
      <c r="G304" s="8" t="n">
        <v>0</v>
      </c>
      <c r="H304" s="8" t="n">
        <v>1</v>
      </c>
      <c r="I304" s="8" t="s">
        <v>1948</v>
      </c>
      <c r="J304" s="8" t="s">
        <v>1959</v>
      </c>
      <c r="K304" s="8" t="s">
        <v>1954</v>
      </c>
      <c r="L304" s="8" t="s">
        <v>1949</v>
      </c>
      <c r="M304" s="28" t="n">
        <f aca="false">'Disease Prediction Model'!$C$9+'Disease Prediction Model'!$C$10*B304+'Disease Prediction Model'!$C$11*C304+'Disease Prediction Model'!$C$12*D304+'Disease Prediction Model'!$C$13*E304+'Disease Prediction Model'!$C$14*F304+'Disease Prediction Model'!$C$15*G304</f>
        <v>0.627348</v>
      </c>
      <c r="N304" s="8" t="str">
        <f aca="false">IF(M304&gt;=0.5,"Yes","No")</f>
        <v>Yes</v>
      </c>
    </row>
    <row r="305" customFormat="false" ht="15" hidden="false" customHeight="false" outlineLevel="0" collapsed="false">
      <c r="A305" s="8" t="s">
        <v>2252</v>
      </c>
      <c r="B305" s="8" t="n">
        <v>34</v>
      </c>
      <c r="C305" s="8" t="n">
        <v>21.6</v>
      </c>
      <c r="D305" s="8" t="n">
        <v>132</v>
      </c>
      <c r="E305" s="8" t="n">
        <v>88</v>
      </c>
      <c r="F305" s="8" t="n">
        <v>0</v>
      </c>
      <c r="G305" s="8" t="n">
        <v>1</v>
      </c>
      <c r="H305" s="8" t="n">
        <v>0</v>
      </c>
      <c r="I305" s="8" t="s">
        <v>1948</v>
      </c>
      <c r="J305" s="8" t="s">
        <v>1405</v>
      </c>
      <c r="K305" s="8" t="s">
        <v>1948</v>
      </c>
      <c r="L305" s="8" t="s">
        <v>1949</v>
      </c>
      <c r="M305" s="28" t="n">
        <f aca="false">'Disease Prediction Model'!$C$9+'Disease Prediction Model'!$C$10*B305+'Disease Prediction Model'!$C$11*C305+'Disease Prediction Model'!$C$12*D305+'Disease Prediction Model'!$C$13*E305+'Disease Prediction Model'!$C$14*F305+'Disease Prediction Model'!$C$15*G305</f>
        <v>0.047274</v>
      </c>
      <c r="N305" s="8" t="str">
        <f aca="false">IF(M305&gt;=0.5,"Yes","No")</f>
        <v>No</v>
      </c>
    </row>
    <row r="306" customFormat="false" ht="15" hidden="false" customHeight="false" outlineLevel="0" collapsed="false">
      <c r="A306" s="8" t="s">
        <v>2253</v>
      </c>
      <c r="B306" s="8" t="n">
        <v>36</v>
      </c>
      <c r="C306" s="8" t="n">
        <v>28.1</v>
      </c>
      <c r="D306" s="8" t="n">
        <v>99</v>
      </c>
      <c r="E306" s="8" t="n">
        <v>91</v>
      </c>
      <c r="F306" s="8" t="n">
        <v>0</v>
      </c>
      <c r="G306" s="8" t="n">
        <v>2</v>
      </c>
      <c r="H306" s="8" t="n">
        <v>0</v>
      </c>
      <c r="I306" s="8" t="s">
        <v>1948</v>
      </c>
      <c r="J306" s="8" t="s">
        <v>1951</v>
      </c>
      <c r="K306" s="8" t="s">
        <v>1948</v>
      </c>
      <c r="L306" s="8" t="s">
        <v>1949</v>
      </c>
      <c r="M306" s="28" t="n">
        <f aca="false">'Disease Prediction Model'!$C$9+'Disease Prediction Model'!$C$10*B306+'Disease Prediction Model'!$C$11*C306+'Disease Prediction Model'!$C$12*D306+'Disease Prediction Model'!$C$13*E306+'Disease Prediction Model'!$C$14*F306+'Disease Prediction Model'!$C$15*G306</f>
        <v>-0.0640710000000001</v>
      </c>
      <c r="N306" s="8" t="str">
        <f aca="false">IF(M306&gt;=0.5,"Yes","No")</f>
        <v>No</v>
      </c>
    </row>
    <row r="307" customFormat="false" ht="15" hidden="false" customHeight="false" outlineLevel="0" collapsed="false">
      <c r="A307" s="8" t="s">
        <v>2254</v>
      </c>
      <c r="B307" s="8" t="n">
        <v>40</v>
      </c>
      <c r="C307" s="8" t="n">
        <v>25.1</v>
      </c>
      <c r="D307" s="8" t="n">
        <v>118</v>
      </c>
      <c r="E307" s="8" t="n">
        <v>90</v>
      </c>
      <c r="F307" s="8" t="n">
        <v>0</v>
      </c>
      <c r="G307" s="8" t="n">
        <v>1</v>
      </c>
      <c r="H307" s="8" t="n">
        <v>0</v>
      </c>
      <c r="I307" s="8" t="s">
        <v>1948</v>
      </c>
      <c r="J307" s="8" t="s">
        <v>1405</v>
      </c>
      <c r="K307" s="8" t="s">
        <v>1948</v>
      </c>
      <c r="L307" s="8" t="s">
        <v>1949</v>
      </c>
      <c r="M307" s="28" t="n">
        <f aca="false">'Disease Prediction Model'!$C$9+'Disease Prediction Model'!$C$10*B307+'Disease Prediction Model'!$C$11*C307+'Disease Prediction Model'!$C$12*D307+'Disease Prediction Model'!$C$13*E307+'Disease Prediction Model'!$C$14*F307+'Disease Prediction Model'!$C$15*G307</f>
        <v>0.0730589999999999</v>
      </c>
      <c r="N307" s="8" t="str">
        <f aca="false">IF(M307&gt;=0.5,"Yes","No")</f>
        <v>No</v>
      </c>
    </row>
    <row r="308" customFormat="false" ht="15" hidden="false" customHeight="false" outlineLevel="0" collapsed="false">
      <c r="A308" s="8" t="s">
        <v>2255</v>
      </c>
      <c r="B308" s="8" t="n">
        <v>49</v>
      </c>
      <c r="C308" s="8" t="n">
        <v>26.7</v>
      </c>
      <c r="D308" s="8" t="n">
        <v>138</v>
      </c>
      <c r="E308" s="8" t="n">
        <v>125</v>
      </c>
      <c r="F308" s="8" t="n">
        <v>0</v>
      </c>
      <c r="G308" s="8" t="n">
        <v>1</v>
      </c>
      <c r="H308" s="8" t="n">
        <v>0</v>
      </c>
      <c r="I308" s="8" t="s">
        <v>1948</v>
      </c>
      <c r="J308" s="8" t="s">
        <v>1405</v>
      </c>
      <c r="K308" s="8" t="s">
        <v>1948</v>
      </c>
      <c r="L308" s="8" t="s">
        <v>1949</v>
      </c>
      <c r="M308" s="28" t="n">
        <f aca="false">'Disease Prediction Model'!$C$9+'Disease Prediction Model'!$C$10*B308+'Disease Prediction Model'!$C$11*C308+'Disease Prediction Model'!$C$12*D308+'Disease Prediction Model'!$C$13*E308+'Disease Prediction Model'!$C$14*F308+'Disease Prediction Model'!$C$15*G308</f>
        <v>0.513263</v>
      </c>
      <c r="N308" s="8" t="str">
        <f aca="false">IF(M308&gt;=0.5,"Yes","No")</f>
        <v>Yes</v>
      </c>
    </row>
    <row r="309" customFormat="false" ht="15" hidden="false" customHeight="false" outlineLevel="0" collapsed="false">
      <c r="A309" s="8" t="s">
        <v>2256</v>
      </c>
      <c r="B309" s="8" t="n">
        <v>72</v>
      </c>
      <c r="C309" s="8" t="n">
        <v>28.4</v>
      </c>
      <c r="D309" s="8" t="n">
        <v>128</v>
      </c>
      <c r="E309" s="8" t="n">
        <v>110</v>
      </c>
      <c r="F309" s="8" t="n">
        <v>1</v>
      </c>
      <c r="G309" s="8" t="n">
        <v>1</v>
      </c>
      <c r="H309" s="8" t="n">
        <v>1</v>
      </c>
      <c r="I309" s="8" t="s">
        <v>1954</v>
      </c>
      <c r="J309" s="8" t="s">
        <v>1405</v>
      </c>
      <c r="K309" s="8" t="s">
        <v>1954</v>
      </c>
      <c r="L309" s="8" t="s">
        <v>1949</v>
      </c>
      <c r="M309" s="28" t="n">
        <f aca="false">'Disease Prediction Model'!$C$9+'Disease Prediction Model'!$C$10*B309+'Disease Prediction Model'!$C$11*C309+'Disease Prediction Model'!$C$12*D309+'Disease Prediction Model'!$C$13*E309+'Disease Prediction Model'!$C$14*F309+'Disease Prediction Model'!$C$15*G309</f>
        <v>0.557326</v>
      </c>
      <c r="N309" s="8" t="str">
        <f aca="false">IF(M309&gt;=0.5,"Yes","No")</f>
        <v>Yes</v>
      </c>
    </row>
    <row r="310" customFormat="false" ht="15" hidden="false" customHeight="false" outlineLevel="0" collapsed="false">
      <c r="A310" s="8" t="s">
        <v>2257</v>
      </c>
      <c r="B310" s="8" t="n">
        <v>42</v>
      </c>
      <c r="C310" s="8" t="n">
        <v>30.5</v>
      </c>
      <c r="D310" s="8" t="n">
        <v>119</v>
      </c>
      <c r="E310" s="8" t="n">
        <v>86</v>
      </c>
      <c r="F310" s="8" t="n">
        <v>1</v>
      </c>
      <c r="G310" s="8" t="n">
        <v>1</v>
      </c>
      <c r="H310" s="8" t="n">
        <v>0</v>
      </c>
      <c r="I310" s="8" t="s">
        <v>1954</v>
      </c>
      <c r="J310" s="8" t="s">
        <v>1405</v>
      </c>
      <c r="K310" s="8" t="s">
        <v>1948</v>
      </c>
      <c r="L310" s="8" t="s">
        <v>1949</v>
      </c>
      <c r="M310" s="28" t="n">
        <f aca="false">'Disease Prediction Model'!$C$9+'Disease Prediction Model'!$C$10*B310+'Disease Prediction Model'!$C$11*C310+'Disease Prediction Model'!$C$12*D310+'Disease Prediction Model'!$C$13*E310+'Disease Prediction Model'!$C$14*F310+'Disease Prediction Model'!$C$15*G310</f>
        <v>0.239185</v>
      </c>
      <c r="N310" s="8" t="str">
        <f aca="false">IF(M310&gt;=0.5,"Yes","No")</f>
        <v>No</v>
      </c>
    </row>
    <row r="311" customFormat="false" ht="15" hidden="false" customHeight="false" outlineLevel="0" collapsed="false">
      <c r="A311" s="8" t="s">
        <v>2258</v>
      </c>
      <c r="B311" s="8" t="n">
        <v>77</v>
      </c>
      <c r="C311" s="8" t="n">
        <v>27.4</v>
      </c>
      <c r="D311" s="8" t="n">
        <v>90</v>
      </c>
      <c r="E311" s="8" t="n">
        <v>122</v>
      </c>
      <c r="F311" s="8" t="n">
        <v>0</v>
      </c>
      <c r="G311" s="8" t="n">
        <v>1</v>
      </c>
      <c r="H311" s="8" t="n">
        <v>0</v>
      </c>
      <c r="I311" s="8" t="s">
        <v>1948</v>
      </c>
      <c r="J311" s="8" t="s">
        <v>1405</v>
      </c>
      <c r="K311" s="8" t="s">
        <v>1948</v>
      </c>
      <c r="L311" s="8" t="s">
        <v>1949</v>
      </c>
      <c r="M311" s="28" t="n">
        <f aca="false">'Disease Prediction Model'!$C$9+'Disease Prediction Model'!$C$10*B311+'Disease Prediction Model'!$C$11*C311+'Disease Prediction Model'!$C$12*D311+'Disease Prediction Model'!$C$13*E311+'Disease Prediction Model'!$C$14*F311+'Disease Prediction Model'!$C$15*G311</f>
        <v>0.403376</v>
      </c>
      <c r="N311" s="8" t="str">
        <f aca="false">IF(M311&gt;=0.5,"Yes","No")</f>
        <v>No</v>
      </c>
    </row>
    <row r="312" customFormat="false" ht="15" hidden="false" customHeight="false" outlineLevel="0" collapsed="false">
      <c r="A312" s="8" t="s">
        <v>2259</v>
      </c>
      <c r="B312" s="8" t="n">
        <v>44</v>
      </c>
      <c r="C312" s="8" t="n">
        <v>22.2</v>
      </c>
      <c r="D312" s="8" t="n">
        <v>144</v>
      </c>
      <c r="E312" s="8" t="n">
        <v>87</v>
      </c>
      <c r="F312" s="8" t="n">
        <v>1</v>
      </c>
      <c r="G312" s="8" t="n">
        <v>2</v>
      </c>
      <c r="H312" s="8" t="n">
        <v>0</v>
      </c>
      <c r="I312" s="8" t="s">
        <v>1954</v>
      </c>
      <c r="J312" s="8" t="s">
        <v>1951</v>
      </c>
      <c r="K312" s="8" t="s">
        <v>1948</v>
      </c>
      <c r="L312" s="8" t="s">
        <v>1949</v>
      </c>
      <c r="M312" s="28" t="n">
        <f aca="false">'Disease Prediction Model'!$C$9+'Disease Prediction Model'!$C$10*B312+'Disease Prediction Model'!$C$11*C312+'Disease Prediction Model'!$C$12*D312+'Disease Prediction Model'!$C$13*E312+'Disease Prediction Model'!$C$14*F312+'Disease Prediction Model'!$C$15*G312</f>
        <v>0.148388</v>
      </c>
      <c r="N312" s="8" t="str">
        <f aca="false">IF(M312&gt;=0.5,"Yes","No")</f>
        <v>No</v>
      </c>
    </row>
    <row r="313" customFormat="false" ht="15" hidden="false" customHeight="false" outlineLevel="0" collapsed="false">
      <c r="A313" s="8" t="s">
        <v>2260</v>
      </c>
      <c r="B313" s="8" t="n">
        <v>43</v>
      </c>
      <c r="C313" s="8" t="n">
        <v>26.3</v>
      </c>
      <c r="D313" s="8" t="n">
        <v>142</v>
      </c>
      <c r="E313" s="8" t="n">
        <v>94</v>
      </c>
      <c r="F313" s="8" t="n">
        <v>0</v>
      </c>
      <c r="G313" s="8" t="n">
        <v>1</v>
      </c>
      <c r="H313" s="8" t="n">
        <v>0</v>
      </c>
      <c r="I313" s="8" t="s">
        <v>1948</v>
      </c>
      <c r="J313" s="8" t="s">
        <v>1405</v>
      </c>
      <c r="K313" s="8" t="s">
        <v>1948</v>
      </c>
      <c r="L313" s="8" t="s">
        <v>1949</v>
      </c>
      <c r="M313" s="28" t="n">
        <f aca="false">'Disease Prediction Model'!$C$9+'Disease Prediction Model'!$C$10*B313+'Disease Prediction Model'!$C$11*C313+'Disease Prediction Model'!$C$12*D313+'Disease Prediction Model'!$C$13*E313+'Disease Prediction Model'!$C$14*F313+'Disease Prediction Model'!$C$15*G313</f>
        <v>0.218447</v>
      </c>
      <c r="N313" s="8" t="str">
        <f aca="false">IF(M313&gt;=0.5,"Yes","No")</f>
        <v>No</v>
      </c>
    </row>
    <row r="314" customFormat="false" ht="15" hidden="false" customHeight="false" outlineLevel="0" collapsed="false">
      <c r="A314" s="8" t="s">
        <v>2261</v>
      </c>
      <c r="B314" s="8" t="n">
        <v>64</v>
      </c>
      <c r="C314" s="8" t="n">
        <v>21.5</v>
      </c>
      <c r="D314" s="8" t="n">
        <v>131</v>
      </c>
      <c r="E314" s="8" t="n">
        <v>106</v>
      </c>
      <c r="F314" s="8" t="n">
        <v>0</v>
      </c>
      <c r="G314" s="8" t="n">
        <v>0</v>
      </c>
      <c r="H314" s="8" t="n">
        <v>0</v>
      </c>
      <c r="I314" s="8" t="s">
        <v>1948</v>
      </c>
      <c r="J314" s="8" t="s">
        <v>1959</v>
      </c>
      <c r="K314" s="8" t="s">
        <v>1948</v>
      </c>
      <c r="L314" s="8" t="s">
        <v>1949</v>
      </c>
      <c r="M314" s="28" t="n">
        <f aca="false">'Disease Prediction Model'!$C$9+'Disease Prediction Model'!$C$10*B314+'Disease Prediction Model'!$C$11*C314+'Disease Prediction Model'!$C$12*D314+'Disease Prediction Model'!$C$13*E314+'Disease Prediction Model'!$C$14*F314+'Disease Prediction Model'!$C$15*G314</f>
        <v>0.397695</v>
      </c>
      <c r="N314" s="8" t="str">
        <f aca="false">IF(M314&gt;=0.5,"Yes","No")</f>
        <v>No</v>
      </c>
    </row>
    <row r="315" customFormat="false" ht="15" hidden="false" customHeight="false" outlineLevel="0" collapsed="false">
      <c r="A315" s="8" t="s">
        <v>2262</v>
      </c>
      <c r="B315" s="8" t="n">
        <v>56</v>
      </c>
      <c r="C315" s="8" t="n">
        <v>29.1</v>
      </c>
      <c r="D315" s="8" t="n">
        <v>125</v>
      </c>
      <c r="E315" s="8" t="n">
        <v>70</v>
      </c>
      <c r="F315" s="8" t="n">
        <v>1</v>
      </c>
      <c r="G315" s="8" t="n">
        <v>0</v>
      </c>
      <c r="H315" s="8" t="n">
        <v>0</v>
      </c>
      <c r="I315" s="8" t="s">
        <v>1954</v>
      </c>
      <c r="J315" s="8" t="s">
        <v>1959</v>
      </c>
      <c r="K315" s="8" t="s">
        <v>1948</v>
      </c>
      <c r="L315" s="8" t="s">
        <v>1949</v>
      </c>
      <c r="M315" s="28" t="n">
        <f aca="false">'Disease Prediction Model'!$C$9+'Disease Prediction Model'!$C$10*B315+'Disease Prediction Model'!$C$11*C315+'Disease Prediction Model'!$C$12*D315+'Disease Prediction Model'!$C$13*E315+'Disease Prediction Model'!$C$14*F315+'Disease Prediction Model'!$C$15*G315</f>
        <v>0.238299</v>
      </c>
      <c r="N315" s="8" t="str">
        <f aca="false">IF(M315&gt;=0.5,"Yes","No")</f>
        <v>No</v>
      </c>
    </row>
    <row r="316" customFormat="false" ht="15" hidden="false" customHeight="false" outlineLevel="0" collapsed="false">
      <c r="A316" s="8" t="s">
        <v>2263</v>
      </c>
      <c r="B316" s="8" t="n">
        <v>48</v>
      </c>
      <c r="C316" s="8" t="n">
        <v>15.7</v>
      </c>
      <c r="D316" s="8" t="n">
        <v>123</v>
      </c>
      <c r="E316" s="8" t="n">
        <v>83</v>
      </c>
      <c r="F316" s="8" t="n">
        <v>0</v>
      </c>
      <c r="G316" s="8" t="n">
        <v>1</v>
      </c>
      <c r="H316" s="8" t="n">
        <v>0</v>
      </c>
      <c r="I316" s="8" t="s">
        <v>1948</v>
      </c>
      <c r="J316" s="8" t="s">
        <v>1405</v>
      </c>
      <c r="K316" s="8" t="s">
        <v>1948</v>
      </c>
      <c r="L316" s="8" t="s">
        <v>1949</v>
      </c>
      <c r="M316" s="28" t="n">
        <f aca="false">'Disease Prediction Model'!$C$9+'Disease Prediction Model'!$C$10*B316+'Disease Prediction Model'!$C$11*C316+'Disease Prediction Model'!$C$12*D316+'Disease Prediction Model'!$C$13*E316+'Disease Prediction Model'!$C$14*F316+'Disease Prediction Model'!$C$15*G316</f>
        <v>-0.0575670000000001</v>
      </c>
      <c r="N316" s="8" t="str">
        <f aca="false">IF(M316&gt;=0.5,"Yes","No")</f>
        <v>No</v>
      </c>
    </row>
    <row r="317" customFormat="false" ht="15" hidden="false" customHeight="false" outlineLevel="0" collapsed="false">
      <c r="A317" s="8" t="s">
        <v>2264</v>
      </c>
      <c r="B317" s="8" t="n">
        <v>36</v>
      </c>
      <c r="C317" s="8" t="n">
        <v>23.7</v>
      </c>
      <c r="D317" s="8" t="n">
        <v>112</v>
      </c>
      <c r="E317" s="8" t="n">
        <v>127</v>
      </c>
      <c r="F317" s="8" t="n">
        <v>1</v>
      </c>
      <c r="G317" s="8" t="n">
        <v>0</v>
      </c>
      <c r="H317" s="8" t="n">
        <v>0</v>
      </c>
      <c r="I317" s="8" t="s">
        <v>1954</v>
      </c>
      <c r="J317" s="8" t="s">
        <v>1959</v>
      </c>
      <c r="K317" s="8" t="s">
        <v>1948</v>
      </c>
      <c r="L317" s="8" t="s">
        <v>1949</v>
      </c>
      <c r="M317" s="28" t="n">
        <f aca="false">'Disease Prediction Model'!$C$9+'Disease Prediction Model'!$C$10*B317+'Disease Prediction Model'!$C$11*C317+'Disease Prediction Model'!$C$12*D317+'Disease Prediction Model'!$C$13*E317+'Disease Prediction Model'!$C$14*F317+'Disease Prediction Model'!$C$15*G317</f>
        <v>0.599673</v>
      </c>
      <c r="N317" s="8" t="str">
        <f aca="false">IF(M317&gt;=0.5,"Yes","No")</f>
        <v>Yes</v>
      </c>
    </row>
    <row r="318" customFormat="false" ht="15" hidden="false" customHeight="false" outlineLevel="0" collapsed="false">
      <c r="A318" s="8" t="s">
        <v>2265</v>
      </c>
      <c r="B318" s="8" t="n">
        <v>30</v>
      </c>
      <c r="C318" s="8" t="n">
        <v>30.2</v>
      </c>
      <c r="D318" s="8" t="n">
        <v>141</v>
      </c>
      <c r="E318" s="8" t="n">
        <v>88</v>
      </c>
      <c r="F318" s="8" t="n">
        <v>0</v>
      </c>
      <c r="G318" s="8" t="n">
        <v>1</v>
      </c>
      <c r="H318" s="8" t="n">
        <v>0</v>
      </c>
      <c r="I318" s="8" t="s">
        <v>1948</v>
      </c>
      <c r="J318" s="8" t="s">
        <v>1405</v>
      </c>
      <c r="K318" s="8" t="s">
        <v>1948</v>
      </c>
      <c r="L318" s="8" t="s">
        <v>1949</v>
      </c>
      <c r="M318" s="28" t="n">
        <f aca="false">'Disease Prediction Model'!$C$9+'Disease Prediction Model'!$C$10*B318+'Disease Prediction Model'!$C$11*C318+'Disease Prediction Model'!$C$12*D318+'Disease Prediction Model'!$C$13*E318+'Disease Prediction Model'!$C$14*F318+'Disease Prediction Model'!$C$15*G318</f>
        <v>0.165768</v>
      </c>
      <c r="N318" s="8" t="str">
        <f aca="false">IF(M318&gt;=0.5,"Yes","No")</f>
        <v>No</v>
      </c>
    </row>
    <row r="319" customFormat="false" ht="15" hidden="false" customHeight="false" outlineLevel="0" collapsed="false">
      <c r="A319" s="8" t="s">
        <v>2266</v>
      </c>
      <c r="B319" s="8" t="n">
        <v>72</v>
      </c>
      <c r="C319" s="8" t="n">
        <v>20.3</v>
      </c>
      <c r="D319" s="8" t="n">
        <v>114</v>
      </c>
      <c r="E319" s="8" t="n">
        <v>120</v>
      </c>
      <c r="F319" s="8" t="n">
        <v>0</v>
      </c>
      <c r="G319" s="8" t="n">
        <v>1</v>
      </c>
      <c r="H319" s="8" t="n">
        <v>0</v>
      </c>
      <c r="I319" s="8" t="s">
        <v>1948</v>
      </c>
      <c r="J319" s="8" t="s">
        <v>1405</v>
      </c>
      <c r="K319" s="8" t="s">
        <v>1948</v>
      </c>
      <c r="L319" s="8" t="s">
        <v>1949</v>
      </c>
      <c r="M319" s="28" t="n">
        <f aca="false">'Disease Prediction Model'!$C$9+'Disease Prediction Model'!$C$10*B319+'Disease Prediction Model'!$C$11*C319+'Disease Prediction Model'!$C$12*D319+'Disease Prediction Model'!$C$13*E319+'Disease Prediction Model'!$C$14*F319+'Disease Prediction Model'!$C$15*G319</f>
        <v>0.375307</v>
      </c>
      <c r="N319" s="8" t="str">
        <f aca="false">IF(M319&gt;=0.5,"Yes","No")</f>
        <v>No</v>
      </c>
    </row>
    <row r="320" customFormat="false" ht="15" hidden="false" customHeight="false" outlineLevel="0" collapsed="false">
      <c r="A320" s="8" t="s">
        <v>2267</v>
      </c>
      <c r="B320" s="8" t="n">
        <v>48</v>
      </c>
      <c r="C320" s="8" t="n">
        <v>26.2</v>
      </c>
      <c r="D320" s="8" t="n">
        <v>126</v>
      </c>
      <c r="E320" s="8" t="n">
        <v>92</v>
      </c>
      <c r="F320" s="8" t="n">
        <v>0</v>
      </c>
      <c r="G320" s="8" t="n">
        <v>1</v>
      </c>
      <c r="H320" s="8" t="n">
        <v>0</v>
      </c>
      <c r="I320" s="8" t="s">
        <v>1948</v>
      </c>
      <c r="J320" s="8" t="s">
        <v>1405</v>
      </c>
      <c r="K320" s="8" t="s">
        <v>1948</v>
      </c>
      <c r="L320" s="8" t="s">
        <v>1949</v>
      </c>
      <c r="M320" s="28" t="n">
        <f aca="false">'Disease Prediction Model'!$C$9+'Disease Prediction Model'!$C$10*B320+'Disease Prediction Model'!$C$11*C320+'Disease Prediction Model'!$C$12*D320+'Disease Prediction Model'!$C$13*E320+'Disease Prediction Model'!$C$14*F320+'Disease Prediction Model'!$C$15*G320</f>
        <v>0.156108</v>
      </c>
      <c r="N320" s="8" t="str">
        <f aca="false">IF(M320&gt;=0.5,"Yes","No")</f>
        <v>No</v>
      </c>
    </row>
    <row r="321" customFormat="false" ht="15" hidden="false" customHeight="false" outlineLevel="0" collapsed="false">
      <c r="A321" s="8" t="s">
        <v>2268</v>
      </c>
      <c r="B321" s="8" t="n">
        <v>62</v>
      </c>
      <c r="C321" s="8" t="n">
        <v>25.5</v>
      </c>
      <c r="D321" s="8" t="n">
        <v>116</v>
      </c>
      <c r="E321" s="8" t="n">
        <v>70</v>
      </c>
      <c r="F321" s="8" t="n">
        <v>1</v>
      </c>
      <c r="G321" s="8" t="n">
        <v>0</v>
      </c>
      <c r="H321" s="8" t="n">
        <v>0</v>
      </c>
      <c r="I321" s="8" t="s">
        <v>1954</v>
      </c>
      <c r="J321" s="8" t="s">
        <v>1959</v>
      </c>
      <c r="K321" s="8" t="s">
        <v>1948</v>
      </c>
      <c r="L321" s="8" t="s">
        <v>1949</v>
      </c>
      <c r="M321" s="28" t="n">
        <f aca="false">'Disease Prediction Model'!$C$9+'Disease Prediction Model'!$C$10*B321+'Disease Prediction Model'!$C$11*C321+'Disease Prediction Model'!$C$12*D321+'Disease Prediction Model'!$C$13*E321+'Disease Prediction Model'!$C$14*F321+'Disease Prediction Model'!$C$15*G321</f>
        <v>0.182595</v>
      </c>
      <c r="N321" s="8" t="str">
        <f aca="false">IF(M321&gt;=0.5,"Yes","No")</f>
        <v>No</v>
      </c>
    </row>
    <row r="322" customFormat="false" ht="15" hidden="false" customHeight="false" outlineLevel="0" collapsed="false">
      <c r="A322" s="8" t="s">
        <v>2269</v>
      </c>
      <c r="B322" s="8" t="n">
        <v>64</v>
      </c>
      <c r="C322" s="8" t="n">
        <v>21.3</v>
      </c>
      <c r="D322" s="8" t="n">
        <v>155</v>
      </c>
      <c r="E322" s="8" t="n">
        <v>141</v>
      </c>
      <c r="F322" s="8" t="n">
        <v>0</v>
      </c>
      <c r="G322" s="8" t="n">
        <v>1</v>
      </c>
      <c r="H322" s="8" t="n">
        <v>0</v>
      </c>
      <c r="I322" s="8" t="s">
        <v>1948</v>
      </c>
      <c r="J322" s="8" t="s">
        <v>1405</v>
      </c>
      <c r="K322" s="8" t="s">
        <v>1948</v>
      </c>
      <c r="L322" s="8" t="s">
        <v>1949</v>
      </c>
      <c r="M322" s="28" t="n">
        <f aca="false">'Disease Prediction Model'!$C$9+'Disease Prediction Model'!$C$10*B322+'Disease Prediction Model'!$C$11*C322+'Disease Prediction Model'!$C$12*D322+'Disease Prediction Model'!$C$13*E322+'Disease Prediction Model'!$C$14*F322+'Disease Prediction Model'!$C$15*G322</f>
        <v>0.704577</v>
      </c>
      <c r="N322" s="8" t="str">
        <f aca="false">IF(M322&gt;=0.5,"Yes","No")</f>
        <v>Yes</v>
      </c>
    </row>
    <row r="323" customFormat="false" ht="15" hidden="false" customHeight="false" outlineLevel="0" collapsed="false">
      <c r="A323" s="8" t="s">
        <v>2270</v>
      </c>
      <c r="B323" s="8" t="n">
        <v>29</v>
      </c>
      <c r="C323" s="8" t="n">
        <v>23.8</v>
      </c>
      <c r="D323" s="8" t="n">
        <v>123</v>
      </c>
      <c r="E323" s="8" t="n">
        <v>91</v>
      </c>
      <c r="F323" s="8" t="n">
        <v>0</v>
      </c>
      <c r="G323" s="8" t="n">
        <v>1</v>
      </c>
      <c r="H323" s="8" t="n">
        <v>0</v>
      </c>
      <c r="I323" s="8" t="s">
        <v>1948</v>
      </c>
      <c r="J323" s="8" t="s">
        <v>1405</v>
      </c>
      <c r="K323" s="8" t="s">
        <v>1948</v>
      </c>
      <c r="L323" s="8" t="s">
        <v>1949</v>
      </c>
      <c r="M323" s="28" t="n">
        <f aca="false">'Disease Prediction Model'!$C$9+'Disease Prediction Model'!$C$10*B323+'Disease Prediction Model'!$C$11*C323+'Disease Prediction Model'!$C$12*D323+'Disease Prediction Model'!$C$13*E323+'Disease Prediction Model'!$C$14*F323+'Disease Prediction Model'!$C$15*G323</f>
        <v>0.0532920000000001</v>
      </c>
      <c r="N323" s="8" t="str">
        <f aca="false">IF(M323&gt;=0.5,"Yes","No")</f>
        <v>No</v>
      </c>
    </row>
    <row r="324" customFormat="false" ht="15" hidden="false" customHeight="false" outlineLevel="0" collapsed="false">
      <c r="A324" s="8" t="s">
        <v>2271</v>
      </c>
      <c r="B324" s="8" t="n">
        <v>35</v>
      </c>
      <c r="C324" s="8" t="n">
        <v>28.6</v>
      </c>
      <c r="D324" s="8" t="n">
        <v>125</v>
      </c>
      <c r="E324" s="8" t="n">
        <v>79</v>
      </c>
      <c r="F324" s="8" t="n">
        <v>0</v>
      </c>
      <c r="G324" s="8" t="n">
        <v>2</v>
      </c>
      <c r="H324" s="8" t="n">
        <v>0</v>
      </c>
      <c r="I324" s="8" t="s">
        <v>1948</v>
      </c>
      <c r="J324" s="8" t="s">
        <v>1951</v>
      </c>
      <c r="K324" s="8" t="s">
        <v>1948</v>
      </c>
      <c r="L324" s="8" t="s">
        <v>1949</v>
      </c>
      <c r="M324" s="28" t="n">
        <f aca="false">'Disease Prediction Model'!$C$9+'Disease Prediction Model'!$C$10*B324+'Disease Prediction Model'!$C$11*C324+'Disease Prediction Model'!$C$12*D324+'Disease Prediction Model'!$C$13*E324+'Disease Prediction Model'!$C$14*F324+'Disease Prediction Model'!$C$15*G324</f>
        <v>-0.0793359999999999</v>
      </c>
      <c r="N324" s="8" t="str">
        <f aca="false">IF(M324&gt;=0.5,"Yes","No")</f>
        <v>No</v>
      </c>
    </row>
    <row r="325" customFormat="false" ht="15" hidden="false" customHeight="false" outlineLevel="0" collapsed="false">
      <c r="A325" s="8" t="s">
        <v>2272</v>
      </c>
      <c r="B325" s="8" t="n">
        <v>18</v>
      </c>
      <c r="C325" s="8" t="n">
        <v>21.2</v>
      </c>
      <c r="D325" s="8" t="n">
        <v>116</v>
      </c>
      <c r="E325" s="8" t="n">
        <v>100</v>
      </c>
      <c r="F325" s="8" t="n">
        <v>0</v>
      </c>
      <c r="G325" s="8" t="n">
        <v>1</v>
      </c>
      <c r="H325" s="8" t="n">
        <v>1</v>
      </c>
      <c r="I325" s="8" t="s">
        <v>1948</v>
      </c>
      <c r="J325" s="8" t="s">
        <v>1405</v>
      </c>
      <c r="K325" s="8" t="s">
        <v>1954</v>
      </c>
      <c r="L325" s="8" t="s">
        <v>1949</v>
      </c>
      <c r="M325" s="28" t="n">
        <f aca="false">'Disease Prediction Model'!$C$9+'Disease Prediction Model'!$C$10*B325+'Disease Prediction Model'!$C$11*C325+'Disease Prediction Model'!$C$12*D325+'Disease Prediction Model'!$C$13*E325+'Disease Prediction Model'!$C$14*F325+'Disease Prediction Model'!$C$15*G325</f>
        <v>0.0498379999999999</v>
      </c>
      <c r="N325" s="8" t="str">
        <f aca="false">IF(M325&gt;=0.5,"Yes","No")</f>
        <v>No</v>
      </c>
    </row>
    <row r="326" customFormat="false" ht="15" hidden="false" customHeight="false" outlineLevel="0" collapsed="false">
      <c r="A326" s="8" t="s">
        <v>2273</v>
      </c>
      <c r="B326" s="8" t="n">
        <v>78</v>
      </c>
      <c r="C326" s="8" t="n">
        <v>24.2</v>
      </c>
      <c r="D326" s="8" t="n">
        <v>111</v>
      </c>
      <c r="E326" s="8" t="n">
        <v>94</v>
      </c>
      <c r="F326" s="8" t="n">
        <v>1</v>
      </c>
      <c r="G326" s="8" t="n">
        <v>1</v>
      </c>
      <c r="H326" s="8" t="n">
        <v>0</v>
      </c>
      <c r="I326" s="8" t="s">
        <v>1954</v>
      </c>
      <c r="J326" s="8" t="s">
        <v>1405</v>
      </c>
      <c r="K326" s="8" t="s">
        <v>1948</v>
      </c>
      <c r="L326" s="8" t="s">
        <v>1949</v>
      </c>
      <c r="M326" s="28" t="n">
        <f aca="false">'Disease Prediction Model'!$C$9+'Disease Prediction Model'!$C$10*B326+'Disease Prediction Model'!$C$11*C326+'Disease Prediction Model'!$C$12*D326+'Disease Prediction Model'!$C$13*E326+'Disease Prediction Model'!$C$14*F326+'Disease Prediction Model'!$C$15*G326</f>
        <v>0.317988</v>
      </c>
      <c r="N326" s="8" t="str">
        <f aca="false">IF(M326&gt;=0.5,"Yes","No")</f>
        <v>No</v>
      </c>
    </row>
    <row r="327" customFormat="false" ht="15" hidden="false" customHeight="false" outlineLevel="0" collapsed="false">
      <c r="A327" s="8" t="s">
        <v>2274</v>
      </c>
      <c r="B327" s="8" t="n">
        <v>43</v>
      </c>
      <c r="C327" s="8" t="n">
        <v>23.3</v>
      </c>
      <c r="D327" s="8" t="n">
        <v>135</v>
      </c>
      <c r="E327" s="8" t="n">
        <v>110</v>
      </c>
      <c r="F327" s="8" t="n">
        <v>0</v>
      </c>
      <c r="G327" s="8" t="n">
        <v>2</v>
      </c>
      <c r="H327" s="8" t="n">
        <v>0</v>
      </c>
      <c r="I327" s="8" t="s">
        <v>1948</v>
      </c>
      <c r="J327" s="8" t="s">
        <v>1951</v>
      </c>
      <c r="K327" s="8" t="s">
        <v>1948</v>
      </c>
      <c r="L327" s="8" t="s">
        <v>1949</v>
      </c>
      <c r="M327" s="28" t="n">
        <f aca="false">'Disease Prediction Model'!$C$9+'Disease Prediction Model'!$C$10*B327+'Disease Prediction Model'!$C$11*C327+'Disease Prediction Model'!$C$12*D327+'Disease Prediction Model'!$C$13*E327+'Disease Prediction Model'!$C$14*F327+'Disease Prediction Model'!$C$15*G327</f>
        <v>0.206517</v>
      </c>
      <c r="N327" s="8" t="str">
        <f aca="false">IF(M327&gt;=0.5,"Yes","No")</f>
        <v>No</v>
      </c>
    </row>
    <row r="328" customFormat="false" ht="15" hidden="false" customHeight="false" outlineLevel="0" collapsed="false">
      <c r="A328" s="8" t="s">
        <v>2275</v>
      </c>
      <c r="B328" s="8" t="n">
        <v>48</v>
      </c>
      <c r="C328" s="8" t="n">
        <v>34.9</v>
      </c>
      <c r="D328" s="8" t="n">
        <v>90</v>
      </c>
      <c r="E328" s="8" t="n">
        <v>77</v>
      </c>
      <c r="F328" s="8" t="n">
        <v>0</v>
      </c>
      <c r="G328" s="8" t="n">
        <v>1</v>
      </c>
      <c r="H328" s="8" t="n">
        <v>0</v>
      </c>
      <c r="I328" s="8" t="s">
        <v>1948</v>
      </c>
      <c r="J328" s="8" t="s">
        <v>1405</v>
      </c>
      <c r="K328" s="8" t="s">
        <v>1948</v>
      </c>
      <c r="L328" s="8" t="s">
        <v>1949</v>
      </c>
      <c r="M328" s="28" t="n">
        <f aca="false">'Disease Prediction Model'!$C$9+'Disease Prediction Model'!$C$10*B328+'Disease Prediction Model'!$C$11*C328+'Disease Prediction Model'!$C$12*D328+'Disease Prediction Model'!$C$13*E328+'Disease Prediction Model'!$C$14*F328+'Disease Prediction Model'!$C$15*G328</f>
        <v>-0.012579</v>
      </c>
      <c r="N328" s="8" t="str">
        <f aca="false">IF(M328&gt;=0.5,"Yes","No")</f>
        <v>No</v>
      </c>
    </row>
    <row r="329" customFormat="false" ht="15" hidden="false" customHeight="false" outlineLevel="0" collapsed="false">
      <c r="A329" s="8" t="s">
        <v>2276</v>
      </c>
      <c r="B329" s="8" t="n">
        <v>62</v>
      </c>
      <c r="C329" s="8" t="n">
        <v>21.3</v>
      </c>
      <c r="D329" s="8" t="n">
        <v>148</v>
      </c>
      <c r="E329" s="8" t="n">
        <v>96</v>
      </c>
      <c r="F329" s="8" t="n">
        <v>0</v>
      </c>
      <c r="G329" s="8" t="n">
        <v>1</v>
      </c>
      <c r="H329" s="8" t="n">
        <v>0</v>
      </c>
      <c r="I329" s="8" t="s">
        <v>1948</v>
      </c>
      <c r="J329" s="8" t="s">
        <v>1405</v>
      </c>
      <c r="K329" s="8" t="s">
        <v>1948</v>
      </c>
      <c r="L329" s="8" t="s">
        <v>1949</v>
      </c>
      <c r="M329" s="28" t="n">
        <f aca="false">'Disease Prediction Model'!$C$9+'Disease Prediction Model'!$C$10*B329+'Disease Prediction Model'!$C$11*C329+'Disease Prediction Model'!$C$12*D329+'Disease Prediction Model'!$C$13*E329+'Disease Prediction Model'!$C$14*F329+'Disease Prediction Model'!$C$15*G329</f>
        <v>0.256977</v>
      </c>
      <c r="N329" s="8" t="str">
        <f aca="false">IF(M329&gt;=0.5,"Yes","No")</f>
        <v>No</v>
      </c>
    </row>
    <row r="330" customFormat="false" ht="15" hidden="false" customHeight="false" outlineLevel="0" collapsed="false">
      <c r="A330" s="8" t="s">
        <v>2277</v>
      </c>
      <c r="B330" s="8" t="n">
        <v>28</v>
      </c>
      <c r="C330" s="8" t="n">
        <v>30.8</v>
      </c>
      <c r="D330" s="8" t="n">
        <v>116</v>
      </c>
      <c r="E330" s="8" t="n">
        <v>80</v>
      </c>
      <c r="F330" s="8" t="n">
        <v>0</v>
      </c>
      <c r="G330" s="8" t="n">
        <v>1</v>
      </c>
      <c r="H330" s="8" t="n">
        <v>0</v>
      </c>
      <c r="I330" s="8" t="s">
        <v>1948</v>
      </c>
      <c r="J330" s="8" t="s">
        <v>1405</v>
      </c>
      <c r="K330" s="8" t="s">
        <v>1948</v>
      </c>
      <c r="L330" s="8" t="s">
        <v>1949</v>
      </c>
      <c r="M330" s="28" t="n">
        <f aca="false">'Disease Prediction Model'!$C$9+'Disease Prediction Model'!$C$10*B330+'Disease Prediction Model'!$C$11*C330+'Disease Prediction Model'!$C$12*D330+'Disease Prediction Model'!$C$13*E330+'Disease Prediction Model'!$C$14*F330+'Disease Prediction Model'!$C$15*G330</f>
        <v>0.00318199999999985</v>
      </c>
      <c r="N330" s="8" t="str">
        <f aca="false">IF(M330&gt;=0.5,"Yes","No")</f>
        <v>No</v>
      </c>
    </row>
    <row r="331" customFormat="false" ht="15" hidden="false" customHeight="false" outlineLevel="0" collapsed="false">
      <c r="A331" s="8" t="s">
        <v>2278</v>
      </c>
      <c r="B331" s="8" t="n">
        <v>61</v>
      </c>
      <c r="C331" s="8" t="n">
        <v>28.5</v>
      </c>
      <c r="D331" s="8" t="n">
        <v>111</v>
      </c>
      <c r="E331" s="8" t="n">
        <v>105</v>
      </c>
      <c r="F331" s="8" t="n">
        <v>0</v>
      </c>
      <c r="G331" s="8" t="n">
        <v>0</v>
      </c>
      <c r="H331" s="8" t="n">
        <v>0</v>
      </c>
      <c r="I331" s="8" t="s">
        <v>1948</v>
      </c>
      <c r="J331" s="8" t="s">
        <v>1959</v>
      </c>
      <c r="K331" s="8" t="s">
        <v>1948</v>
      </c>
      <c r="L331" s="8" t="s">
        <v>1949</v>
      </c>
      <c r="M331" s="28" t="n">
        <f aca="false">'Disease Prediction Model'!$C$9+'Disease Prediction Model'!$C$10*B331+'Disease Prediction Model'!$C$11*C331+'Disease Prediction Model'!$C$12*D331+'Disease Prediction Model'!$C$13*E331+'Disease Prediction Model'!$C$14*F331+'Disease Prediction Model'!$C$15*G331</f>
        <v>0.387805</v>
      </c>
      <c r="N331" s="8" t="str">
        <f aca="false">IF(M331&gt;=0.5,"Yes","No")</f>
        <v>No</v>
      </c>
    </row>
    <row r="332" customFormat="false" ht="15" hidden="false" customHeight="false" outlineLevel="0" collapsed="false">
      <c r="A332" s="8" t="s">
        <v>2279</v>
      </c>
      <c r="B332" s="8" t="n">
        <v>48</v>
      </c>
      <c r="C332" s="8" t="n">
        <v>27.9</v>
      </c>
      <c r="D332" s="8" t="n">
        <v>128</v>
      </c>
      <c r="E332" s="8" t="n">
        <v>90</v>
      </c>
      <c r="F332" s="8" t="n">
        <v>1</v>
      </c>
      <c r="G332" s="8" t="n">
        <v>1</v>
      </c>
      <c r="H332" s="8" t="n">
        <v>0</v>
      </c>
      <c r="I332" s="8" t="s">
        <v>1954</v>
      </c>
      <c r="J332" s="8" t="s">
        <v>1405</v>
      </c>
      <c r="K332" s="8" t="s">
        <v>1948</v>
      </c>
      <c r="L332" s="8" t="s">
        <v>1949</v>
      </c>
      <c r="M332" s="28" t="n">
        <f aca="false">'Disease Prediction Model'!$C$9+'Disease Prediction Model'!$C$10*B332+'Disease Prediction Model'!$C$11*C332+'Disease Prediction Model'!$C$12*D332+'Disease Prediction Model'!$C$13*E332+'Disease Prediction Model'!$C$14*F332+'Disease Prediction Model'!$C$15*G332</f>
        <v>0.296351</v>
      </c>
      <c r="N332" s="8" t="str">
        <f aca="false">IF(M332&gt;=0.5,"Yes","No")</f>
        <v>No</v>
      </c>
    </row>
    <row r="333" customFormat="false" ht="15" hidden="false" customHeight="false" outlineLevel="0" collapsed="false">
      <c r="A333" s="8" t="s">
        <v>2280</v>
      </c>
      <c r="B333" s="8" t="n">
        <v>32</v>
      </c>
      <c r="C333" s="8" t="n">
        <v>23.4</v>
      </c>
      <c r="D333" s="8" t="n">
        <v>146</v>
      </c>
      <c r="E333" s="8" t="n">
        <v>101</v>
      </c>
      <c r="F333" s="8" t="n">
        <v>0</v>
      </c>
      <c r="G333" s="8" t="n">
        <v>0</v>
      </c>
      <c r="H333" s="8" t="n">
        <v>0</v>
      </c>
      <c r="I333" s="8" t="s">
        <v>1948</v>
      </c>
      <c r="J333" s="8" t="s">
        <v>1959</v>
      </c>
      <c r="K333" s="8" t="s">
        <v>1948</v>
      </c>
      <c r="L333" s="8" t="s">
        <v>1949</v>
      </c>
      <c r="M333" s="28" t="n">
        <f aca="false">'Disease Prediction Model'!$C$9+'Disease Prediction Model'!$C$10*B333+'Disease Prediction Model'!$C$11*C333+'Disease Prediction Model'!$C$12*D333+'Disease Prediction Model'!$C$13*E333+'Disease Prediction Model'!$C$14*F333+'Disease Prediction Model'!$C$15*G333</f>
        <v>0.333296</v>
      </c>
      <c r="N333" s="8" t="str">
        <f aca="false">IF(M333&gt;=0.5,"Yes","No")</f>
        <v>No</v>
      </c>
    </row>
    <row r="334" customFormat="false" ht="15" hidden="false" customHeight="false" outlineLevel="0" collapsed="false">
      <c r="A334" s="8" t="s">
        <v>2281</v>
      </c>
      <c r="B334" s="8" t="n">
        <v>50</v>
      </c>
      <c r="C334" s="8" t="n">
        <v>36.7</v>
      </c>
      <c r="D334" s="8" t="n">
        <v>108</v>
      </c>
      <c r="E334" s="8" t="n">
        <v>112</v>
      </c>
      <c r="F334" s="8" t="n">
        <v>0</v>
      </c>
      <c r="G334" s="8" t="n">
        <v>2</v>
      </c>
      <c r="H334" s="8" t="n">
        <v>1</v>
      </c>
      <c r="I334" s="8" t="s">
        <v>1948</v>
      </c>
      <c r="J334" s="8" t="s">
        <v>1951</v>
      </c>
      <c r="K334" s="8" t="s">
        <v>1954</v>
      </c>
      <c r="L334" s="8" t="s">
        <v>1949</v>
      </c>
      <c r="M334" s="28" t="n">
        <f aca="false">'Disease Prediction Model'!$C$9+'Disease Prediction Model'!$C$10*B334+'Disease Prediction Model'!$C$11*C334+'Disease Prediction Model'!$C$12*D334+'Disease Prediction Model'!$C$13*E334+'Disease Prediction Model'!$C$14*F334+'Disease Prediction Model'!$C$15*G334</f>
        <v>0.301443</v>
      </c>
      <c r="N334" s="8" t="str">
        <f aca="false">IF(M334&gt;=0.5,"Yes","No")</f>
        <v>No</v>
      </c>
    </row>
    <row r="335" customFormat="false" ht="15" hidden="false" customHeight="false" outlineLevel="0" collapsed="false">
      <c r="A335" s="8" t="s">
        <v>2282</v>
      </c>
      <c r="B335" s="8" t="n">
        <v>60</v>
      </c>
      <c r="C335" s="8" t="n">
        <v>24</v>
      </c>
      <c r="D335" s="8" t="n">
        <v>90</v>
      </c>
      <c r="E335" s="8" t="n">
        <v>100</v>
      </c>
      <c r="F335" s="8" t="n">
        <v>1</v>
      </c>
      <c r="G335" s="8" t="n">
        <v>0</v>
      </c>
      <c r="H335" s="8" t="n">
        <v>0</v>
      </c>
      <c r="I335" s="8" t="s">
        <v>1954</v>
      </c>
      <c r="J335" s="8" t="s">
        <v>1959</v>
      </c>
      <c r="K335" s="8" t="s">
        <v>1948</v>
      </c>
      <c r="L335" s="8" t="s">
        <v>1949</v>
      </c>
      <c r="M335" s="28" t="n">
        <f aca="false">'Disease Prediction Model'!$C$9+'Disease Prediction Model'!$C$10*B335+'Disease Prediction Model'!$C$11*C335+'Disease Prediction Model'!$C$12*D335+'Disease Prediction Model'!$C$13*E335+'Disease Prediction Model'!$C$14*F335+'Disease Prediction Model'!$C$15*G335</f>
        <v>0.34439</v>
      </c>
      <c r="N335" s="8" t="str">
        <f aca="false">IF(M335&gt;=0.5,"Yes","No")</f>
        <v>No</v>
      </c>
    </row>
    <row r="336" customFormat="false" ht="15" hidden="false" customHeight="false" outlineLevel="0" collapsed="false">
      <c r="A336" s="8" t="s">
        <v>2283</v>
      </c>
      <c r="B336" s="8" t="n">
        <v>56</v>
      </c>
      <c r="C336" s="8" t="n">
        <v>21.7</v>
      </c>
      <c r="D336" s="8" t="n">
        <v>151</v>
      </c>
      <c r="E336" s="8" t="n">
        <v>98</v>
      </c>
      <c r="F336" s="8" t="n">
        <v>0</v>
      </c>
      <c r="G336" s="8" t="n">
        <v>0</v>
      </c>
      <c r="H336" s="8" t="n">
        <v>1</v>
      </c>
      <c r="I336" s="8" t="s">
        <v>1948</v>
      </c>
      <c r="J336" s="8" t="s">
        <v>1959</v>
      </c>
      <c r="K336" s="8" t="s">
        <v>1954</v>
      </c>
      <c r="L336" s="8" t="s">
        <v>1949</v>
      </c>
      <c r="M336" s="28" t="n">
        <f aca="false">'Disease Prediction Model'!$C$9+'Disease Prediction Model'!$C$10*B336+'Disease Prediction Model'!$C$11*C336+'Disease Prediction Model'!$C$12*D336+'Disease Prediction Model'!$C$13*E336+'Disease Prediction Model'!$C$14*F336+'Disease Prediction Model'!$C$15*G336</f>
        <v>0.374133</v>
      </c>
      <c r="N336" s="8" t="str">
        <f aca="false">IF(M336&gt;=0.5,"Yes","No")</f>
        <v>No</v>
      </c>
    </row>
    <row r="337" customFormat="false" ht="15" hidden="false" customHeight="false" outlineLevel="0" collapsed="false">
      <c r="A337" s="8" t="s">
        <v>2284</v>
      </c>
      <c r="B337" s="8" t="n">
        <v>27</v>
      </c>
      <c r="C337" s="8" t="n">
        <v>25.7</v>
      </c>
      <c r="D337" s="8" t="n">
        <v>121</v>
      </c>
      <c r="E337" s="8" t="n">
        <v>91</v>
      </c>
      <c r="F337" s="8" t="n">
        <v>0</v>
      </c>
      <c r="G337" s="8" t="n">
        <v>0</v>
      </c>
      <c r="H337" s="8" t="n">
        <v>1</v>
      </c>
      <c r="I337" s="8" t="s">
        <v>1948</v>
      </c>
      <c r="J337" s="8" t="s">
        <v>1959</v>
      </c>
      <c r="K337" s="8" t="s">
        <v>1954</v>
      </c>
      <c r="L337" s="8" t="s">
        <v>1949</v>
      </c>
      <c r="M337" s="28" t="n">
        <f aca="false">'Disease Prediction Model'!$C$9+'Disease Prediction Model'!$C$10*B337+'Disease Prediction Model'!$C$11*C337+'Disease Prediction Model'!$C$12*D337+'Disease Prediction Model'!$C$13*E337+'Disease Prediction Model'!$C$14*F337+'Disease Prediction Model'!$C$15*G337</f>
        <v>0.162793</v>
      </c>
      <c r="N337" s="8" t="str">
        <f aca="false">IF(M337&gt;=0.5,"Yes","No")</f>
        <v>No</v>
      </c>
    </row>
    <row r="338" customFormat="false" ht="15" hidden="false" customHeight="false" outlineLevel="0" collapsed="false">
      <c r="A338" s="8" t="s">
        <v>2285</v>
      </c>
      <c r="B338" s="8" t="n">
        <v>39</v>
      </c>
      <c r="C338" s="8" t="n">
        <v>24.6</v>
      </c>
      <c r="D338" s="8" t="n">
        <v>150</v>
      </c>
      <c r="E338" s="8" t="n">
        <v>122</v>
      </c>
      <c r="F338" s="8" t="n">
        <v>1</v>
      </c>
      <c r="G338" s="8" t="n">
        <v>0</v>
      </c>
      <c r="H338" s="8" t="n">
        <v>0</v>
      </c>
      <c r="I338" s="8" t="s">
        <v>1954</v>
      </c>
      <c r="J338" s="8" t="s">
        <v>1959</v>
      </c>
      <c r="K338" s="8" t="s">
        <v>1948</v>
      </c>
      <c r="L338" s="8" t="s">
        <v>1949</v>
      </c>
      <c r="M338" s="28" t="n">
        <f aca="false">'Disease Prediction Model'!$C$9+'Disease Prediction Model'!$C$10*B338+'Disease Prediction Model'!$C$11*C338+'Disease Prediction Model'!$C$12*D338+'Disease Prediction Model'!$C$13*E338+'Disease Prediction Model'!$C$14*F338+'Disease Prediction Model'!$C$15*G338</f>
        <v>0.708424</v>
      </c>
      <c r="N338" s="8" t="str">
        <f aca="false">IF(M338&gt;=0.5,"Yes","No")</f>
        <v>Yes</v>
      </c>
    </row>
    <row r="339" customFormat="false" ht="15" hidden="false" customHeight="false" outlineLevel="0" collapsed="false">
      <c r="A339" s="8" t="s">
        <v>2286</v>
      </c>
      <c r="B339" s="8" t="n">
        <v>37</v>
      </c>
      <c r="C339" s="8" t="n">
        <v>24.1</v>
      </c>
      <c r="D339" s="8" t="n">
        <v>109</v>
      </c>
      <c r="E339" s="8" t="n">
        <v>101</v>
      </c>
      <c r="F339" s="8" t="n">
        <v>0</v>
      </c>
      <c r="G339" s="8" t="n">
        <v>2</v>
      </c>
      <c r="H339" s="8" t="n">
        <v>0</v>
      </c>
      <c r="I339" s="8" t="s">
        <v>1948</v>
      </c>
      <c r="J339" s="8" t="s">
        <v>1951</v>
      </c>
      <c r="K339" s="8" t="s">
        <v>1948</v>
      </c>
      <c r="L339" s="8" t="s">
        <v>1949</v>
      </c>
      <c r="M339" s="28" t="n">
        <f aca="false">'Disease Prediction Model'!$C$9+'Disease Prediction Model'!$C$10*B339+'Disease Prediction Model'!$C$11*C339+'Disease Prediction Model'!$C$12*D339+'Disease Prediction Model'!$C$13*E339+'Disease Prediction Model'!$C$14*F339+'Disease Prediction Model'!$C$15*G339</f>
        <v>0.0216889999999998</v>
      </c>
      <c r="N339" s="8" t="str">
        <f aca="false">IF(M339&gt;=0.5,"Yes","No")</f>
        <v>No</v>
      </c>
    </row>
    <row r="340" customFormat="false" ht="15" hidden="false" customHeight="false" outlineLevel="0" collapsed="false">
      <c r="A340" s="8" t="s">
        <v>2287</v>
      </c>
      <c r="B340" s="8" t="n">
        <v>34</v>
      </c>
      <c r="C340" s="8" t="n">
        <v>30.3</v>
      </c>
      <c r="D340" s="8" t="n">
        <v>136</v>
      </c>
      <c r="E340" s="8" t="n">
        <v>112</v>
      </c>
      <c r="F340" s="8" t="n">
        <v>0</v>
      </c>
      <c r="G340" s="8" t="n">
        <v>0</v>
      </c>
      <c r="H340" s="8" t="n">
        <v>0</v>
      </c>
      <c r="I340" s="8" t="s">
        <v>1948</v>
      </c>
      <c r="J340" s="8" t="s">
        <v>1959</v>
      </c>
      <c r="K340" s="8" t="s">
        <v>1948</v>
      </c>
      <c r="L340" s="8" t="s">
        <v>1949</v>
      </c>
      <c r="M340" s="28" t="n">
        <f aca="false">'Disease Prediction Model'!$C$9+'Disease Prediction Model'!$C$10*B340+'Disease Prediction Model'!$C$11*C340+'Disease Prediction Model'!$C$12*D340+'Disease Prediction Model'!$C$13*E340+'Disease Prediction Model'!$C$14*F340+'Disease Prediction Model'!$C$15*G340</f>
        <v>0.483787</v>
      </c>
      <c r="N340" s="8" t="str">
        <f aca="false">IF(M340&gt;=0.5,"Yes","No")</f>
        <v>No</v>
      </c>
    </row>
    <row r="341" customFormat="false" ht="15" hidden="false" customHeight="false" outlineLevel="0" collapsed="false">
      <c r="A341" s="8" t="s">
        <v>2288</v>
      </c>
      <c r="B341" s="8" t="n">
        <v>18</v>
      </c>
      <c r="C341" s="8" t="n">
        <v>35.3</v>
      </c>
      <c r="D341" s="8" t="n">
        <v>128</v>
      </c>
      <c r="E341" s="8" t="n">
        <v>79</v>
      </c>
      <c r="F341" s="8" t="n">
        <v>0</v>
      </c>
      <c r="G341" s="8" t="n">
        <v>0</v>
      </c>
      <c r="H341" s="8" t="n">
        <v>0</v>
      </c>
      <c r="I341" s="8" t="s">
        <v>1948</v>
      </c>
      <c r="J341" s="8" t="s">
        <v>1959</v>
      </c>
      <c r="K341" s="8" t="s">
        <v>1948</v>
      </c>
      <c r="L341" s="8" t="s">
        <v>1949</v>
      </c>
      <c r="M341" s="28" t="n">
        <f aca="false">'Disease Prediction Model'!$C$9+'Disease Prediction Model'!$C$10*B341+'Disease Prediction Model'!$C$11*C341+'Disease Prediction Model'!$C$12*D341+'Disease Prediction Model'!$C$13*E341+'Disease Prediction Model'!$C$14*F341+'Disease Prediction Model'!$C$15*G341</f>
        <v>0.159797</v>
      </c>
      <c r="N341" s="8" t="str">
        <f aca="false">IF(M341&gt;=0.5,"Yes","No")</f>
        <v>No</v>
      </c>
    </row>
    <row r="342" customFormat="false" ht="15" hidden="false" customHeight="false" outlineLevel="0" collapsed="false">
      <c r="A342" s="8" t="s">
        <v>2289</v>
      </c>
      <c r="B342" s="8" t="n">
        <v>37</v>
      </c>
      <c r="C342" s="8" t="n">
        <v>27.6</v>
      </c>
      <c r="D342" s="8" t="n">
        <v>119</v>
      </c>
      <c r="E342" s="8" t="n">
        <v>70</v>
      </c>
      <c r="F342" s="8" t="n">
        <v>0</v>
      </c>
      <c r="G342" s="8" t="n">
        <v>0</v>
      </c>
      <c r="H342" s="8" t="n">
        <v>1</v>
      </c>
      <c r="I342" s="8" t="s">
        <v>1948</v>
      </c>
      <c r="J342" s="8" t="s">
        <v>1959</v>
      </c>
      <c r="K342" s="8" t="s">
        <v>1954</v>
      </c>
      <c r="L342" s="8" t="s">
        <v>1949</v>
      </c>
      <c r="M342" s="28" t="n">
        <f aca="false">'Disease Prediction Model'!$C$9+'Disease Prediction Model'!$C$10*B342+'Disease Prediction Model'!$C$11*C342+'Disease Prediction Model'!$C$12*D342+'Disease Prediction Model'!$C$13*E342+'Disease Prediction Model'!$C$14*F342+'Disease Prediction Model'!$C$15*G342</f>
        <v>0.0120139999999999</v>
      </c>
      <c r="N342" s="8" t="str">
        <f aca="false">IF(M342&gt;=0.5,"Yes","No")</f>
        <v>No</v>
      </c>
    </row>
    <row r="343" customFormat="false" ht="15" hidden="false" customHeight="false" outlineLevel="0" collapsed="false">
      <c r="A343" s="8" t="s">
        <v>2290</v>
      </c>
      <c r="B343" s="8" t="n">
        <v>48</v>
      </c>
      <c r="C343" s="8" t="n">
        <v>18.1</v>
      </c>
      <c r="D343" s="8" t="n">
        <v>90</v>
      </c>
      <c r="E343" s="8" t="n">
        <v>90</v>
      </c>
      <c r="F343" s="8" t="n">
        <v>1</v>
      </c>
      <c r="G343" s="8" t="n">
        <v>0</v>
      </c>
      <c r="H343" s="8" t="n">
        <v>0</v>
      </c>
      <c r="I343" s="8" t="s">
        <v>1954</v>
      </c>
      <c r="J343" s="8" t="s">
        <v>1959</v>
      </c>
      <c r="K343" s="8" t="s">
        <v>1948</v>
      </c>
      <c r="L343" s="8" t="s">
        <v>1949</v>
      </c>
      <c r="M343" s="28" t="n">
        <f aca="false">'Disease Prediction Model'!$C$9+'Disease Prediction Model'!$C$10*B343+'Disease Prediction Model'!$C$11*C343+'Disease Prediction Model'!$C$12*D343+'Disease Prediction Model'!$C$13*E343+'Disease Prediction Model'!$C$14*F343+'Disease Prediction Model'!$C$15*G343</f>
        <v>0.149549</v>
      </c>
      <c r="N343" s="8" t="str">
        <f aca="false">IF(M343&gt;=0.5,"Yes","No")</f>
        <v>No</v>
      </c>
    </row>
    <row r="344" customFormat="false" ht="15" hidden="false" customHeight="false" outlineLevel="0" collapsed="false">
      <c r="A344" s="8" t="s">
        <v>2291</v>
      </c>
      <c r="B344" s="8" t="n">
        <v>53</v>
      </c>
      <c r="C344" s="8" t="n">
        <v>28.3</v>
      </c>
      <c r="D344" s="8" t="n">
        <v>123</v>
      </c>
      <c r="E344" s="8" t="n">
        <v>130</v>
      </c>
      <c r="F344" s="8" t="n">
        <v>0</v>
      </c>
      <c r="G344" s="8" t="n">
        <v>0</v>
      </c>
      <c r="H344" s="8" t="n">
        <v>1</v>
      </c>
      <c r="I344" s="8" t="s">
        <v>1948</v>
      </c>
      <c r="J344" s="8" t="s">
        <v>1959</v>
      </c>
      <c r="K344" s="8" t="s">
        <v>1954</v>
      </c>
      <c r="L344" s="8" t="s">
        <v>1949</v>
      </c>
      <c r="M344" s="28" t="n">
        <f aca="false">'Disease Prediction Model'!$C$9+'Disease Prediction Model'!$C$10*B344+'Disease Prediction Model'!$C$11*C344+'Disease Prediction Model'!$C$12*D344+'Disease Prediction Model'!$C$13*E344+'Disease Prediction Model'!$C$14*F344+'Disease Prediction Model'!$C$15*G344</f>
        <v>0.636627</v>
      </c>
      <c r="N344" s="8" t="str">
        <f aca="false">IF(M344&gt;=0.5,"Yes","No")</f>
        <v>Yes</v>
      </c>
    </row>
    <row r="345" customFormat="false" ht="15" hidden="false" customHeight="false" outlineLevel="0" collapsed="false">
      <c r="A345" s="8" t="s">
        <v>2292</v>
      </c>
      <c r="B345" s="8" t="n">
        <v>38</v>
      </c>
      <c r="C345" s="8" t="n">
        <v>32</v>
      </c>
      <c r="D345" s="8" t="n">
        <v>118</v>
      </c>
      <c r="E345" s="8" t="n">
        <v>130</v>
      </c>
      <c r="F345" s="8" t="n">
        <v>0</v>
      </c>
      <c r="G345" s="8" t="n">
        <v>0</v>
      </c>
      <c r="H345" s="8" t="n">
        <v>1</v>
      </c>
      <c r="I345" s="8" t="s">
        <v>1948</v>
      </c>
      <c r="J345" s="8" t="s">
        <v>1959</v>
      </c>
      <c r="K345" s="8" t="s">
        <v>1954</v>
      </c>
      <c r="L345" s="8" t="s">
        <v>1949</v>
      </c>
      <c r="M345" s="28" t="n">
        <f aca="false">'Disease Prediction Model'!$C$9+'Disease Prediction Model'!$C$10*B345+'Disease Prediction Model'!$C$11*C345+'Disease Prediction Model'!$C$12*D345+'Disease Prediction Model'!$C$13*E345+'Disease Prediction Model'!$C$14*F345+'Disease Prediction Model'!$C$15*G345</f>
        <v>0.61707</v>
      </c>
      <c r="N345" s="8" t="str">
        <f aca="false">IF(M345&gt;=0.5,"Yes","No")</f>
        <v>Yes</v>
      </c>
    </row>
    <row r="346" customFormat="false" ht="15" hidden="false" customHeight="false" outlineLevel="0" collapsed="false">
      <c r="A346" s="8" t="s">
        <v>2293</v>
      </c>
      <c r="B346" s="8" t="n">
        <v>55</v>
      </c>
      <c r="C346" s="8" t="n">
        <v>27.8</v>
      </c>
      <c r="D346" s="8" t="n">
        <v>90</v>
      </c>
      <c r="E346" s="8" t="n">
        <v>100</v>
      </c>
      <c r="F346" s="8" t="n">
        <v>1</v>
      </c>
      <c r="G346" s="8" t="n">
        <v>0</v>
      </c>
      <c r="H346" s="8" t="n">
        <v>1</v>
      </c>
      <c r="I346" s="8" t="s">
        <v>1954</v>
      </c>
      <c r="J346" s="8" t="s">
        <v>1959</v>
      </c>
      <c r="K346" s="8" t="s">
        <v>1954</v>
      </c>
      <c r="L346" s="8" t="s">
        <v>1949</v>
      </c>
      <c r="M346" s="28" t="n">
        <f aca="false">'Disease Prediction Model'!$C$9+'Disease Prediction Model'!$C$10*B346+'Disease Prediction Model'!$C$11*C346+'Disease Prediction Model'!$C$12*D346+'Disease Prediction Model'!$C$13*E346+'Disease Prediction Model'!$C$14*F346+'Disease Prediction Model'!$C$15*G346</f>
        <v>0.373072</v>
      </c>
      <c r="N346" s="8" t="str">
        <f aca="false">IF(M346&gt;=0.5,"Yes","No")</f>
        <v>No</v>
      </c>
    </row>
    <row r="347" customFormat="false" ht="15" hidden="false" customHeight="false" outlineLevel="0" collapsed="false">
      <c r="A347" s="8" t="s">
        <v>2294</v>
      </c>
      <c r="B347" s="8" t="n">
        <v>68</v>
      </c>
      <c r="C347" s="8" t="n">
        <v>17.1</v>
      </c>
      <c r="D347" s="8" t="n">
        <v>139</v>
      </c>
      <c r="E347" s="8" t="n">
        <v>86</v>
      </c>
      <c r="F347" s="8" t="n">
        <v>1</v>
      </c>
      <c r="G347" s="8" t="n">
        <v>0</v>
      </c>
      <c r="H347" s="8" t="n">
        <v>1</v>
      </c>
      <c r="I347" s="8" t="s">
        <v>1954</v>
      </c>
      <c r="J347" s="8" t="s">
        <v>1959</v>
      </c>
      <c r="K347" s="8" t="s">
        <v>1954</v>
      </c>
      <c r="L347" s="8" t="s">
        <v>1949</v>
      </c>
      <c r="M347" s="28" t="n">
        <f aca="false">'Disease Prediction Model'!$C$9+'Disease Prediction Model'!$C$10*B347+'Disease Prediction Model'!$C$11*C347+'Disease Prediction Model'!$C$12*D347+'Disease Prediction Model'!$C$13*E347+'Disease Prediction Model'!$C$14*F347+'Disease Prediction Model'!$C$15*G347</f>
        <v>0.334939</v>
      </c>
      <c r="N347" s="8" t="str">
        <f aca="false">IF(M347&gt;=0.5,"Yes","No")</f>
        <v>No</v>
      </c>
    </row>
    <row r="348" customFormat="false" ht="15" hidden="false" customHeight="false" outlineLevel="0" collapsed="false">
      <c r="A348" s="8" t="s">
        <v>2295</v>
      </c>
      <c r="B348" s="8" t="n">
        <v>27</v>
      </c>
      <c r="C348" s="8" t="n">
        <v>27.8</v>
      </c>
      <c r="D348" s="8" t="n">
        <v>120</v>
      </c>
      <c r="E348" s="8" t="n">
        <v>70</v>
      </c>
      <c r="F348" s="8" t="n">
        <v>1</v>
      </c>
      <c r="G348" s="8" t="n">
        <v>0</v>
      </c>
      <c r="H348" s="8" t="n">
        <v>0</v>
      </c>
      <c r="I348" s="8" t="s">
        <v>1954</v>
      </c>
      <c r="J348" s="8" t="s">
        <v>1959</v>
      </c>
      <c r="K348" s="8" t="s">
        <v>1948</v>
      </c>
      <c r="L348" s="8" t="s">
        <v>1949</v>
      </c>
      <c r="M348" s="28" t="n">
        <f aca="false">'Disease Prediction Model'!$C$9+'Disease Prediction Model'!$C$10*B348+'Disease Prediction Model'!$C$11*C348+'Disease Prediction Model'!$C$12*D348+'Disease Prediction Model'!$C$13*E348+'Disease Prediction Model'!$C$14*F348+'Disease Prediction Model'!$C$15*G348</f>
        <v>0.120912</v>
      </c>
      <c r="N348" s="8" t="str">
        <f aca="false">IF(M348&gt;=0.5,"Yes","No")</f>
        <v>No</v>
      </c>
    </row>
    <row r="349" customFormat="false" ht="15" hidden="false" customHeight="false" outlineLevel="0" collapsed="false">
      <c r="A349" s="8" t="s">
        <v>2296</v>
      </c>
      <c r="B349" s="8" t="n">
        <v>34</v>
      </c>
      <c r="C349" s="8" t="n">
        <v>15</v>
      </c>
      <c r="D349" s="8" t="n">
        <v>117</v>
      </c>
      <c r="E349" s="8" t="n">
        <v>98</v>
      </c>
      <c r="F349" s="8" t="n">
        <v>0</v>
      </c>
      <c r="G349" s="8" t="n">
        <v>1</v>
      </c>
      <c r="H349" s="8" t="n">
        <v>0</v>
      </c>
      <c r="I349" s="8" t="s">
        <v>1948</v>
      </c>
      <c r="J349" s="8" t="s">
        <v>1405</v>
      </c>
      <c r="K349" s="8" t="s">
        <v>1948</v>
      </c>
      <c r="L349" s="8" t="s">
        <v>1949</v>
      </c>
      <c r="M349" s="28" t="n">
        <f aca="false">'Disease Prediction Model'!$C$9+'Disease Prediction Model'!$C$10*B349+'Disease Prediction Model'!$C$11*C349+'Disease Prediction Model'!$C$12*D349+'Disease Prediction Model'!$C$13*E349+'Disease Prediction Model'!$C$14*F349+'Disease Prediction Model'!$C$15*G349</f>
        <v>0.011</v>
      </c>
      <c r="N349" s="8" t="str">
        <f aca="false">IF(M349&gt;=0.5,"Yes","No")</f>
        <v>No</v>
      </c>
    </row>
    <row r="350" customFormat="false" ht="15" hidden="false" customHeight="false" outlineLevel="0" collapsed="false">
      <c r="A350" s="8" t="s">
        <v>2297</v>
      </c>
      <c r="B350" s="8" t="n">
        <v>65</v>
      </c>
      <c r="C350" s="8" t="n">
        <v>28.7</v>
      </c>
      <c r="D350" s="8" t="n">
        <v>132</v>
      </c>
      <c r="E350" s="8" t="n">
        <v>103</v>
      </c>
      <c r="F350" s="8" t="n">
        <v>0</v>
      </c>
      <c r="G350" s="8" t="n">
        <v>0</v>
      </c>
      <c r="H350" s="8" t="n">
        <v>1</v>
      </c>
      <c r="I350" s="8" t="s">
        <v>1948</v>
      </c>
      <c r="J350" s="8" t="s">
        <v>1959</v>
      </c>
      <c r="K350" s="8" t="s">
        <v>1954</v>
      </c>
      <c r="L350" s="8" t="s">
        <v>1949</v>
      </c>
      <c r="M350" s="28" t="n">
        <f aca="false">'Disease Prediction Model'!$C$9+'Disease Prediction Model'!$C$10*B350+'Disease Prediction Model'!$C$11*C350+'Disease Prediction Model'!$C$12*D350+'Disease Prediction Model'!$C$13*E350+'Disease Prediction Model'!$C$14*F350+'Disease Prediction Model'!$C$15*G350</f>
        <v>0.458423</v>
      </c>
      <c r="N350" s="8" t="str">
        <f aca="false">IF(M350&gt;=0.5,"Yes","No")</f>
        <v>No</v>
      </c>
    </row>
    <row r="351" customFormat="false" ht="15" hidden="false" customHeight="false" outlineLevel="0" collapsed="false">
      <c r="A351" s="8" t="s">
        <v>2298</v>
      </c>
      <c r="B351" s="8" t="n">
        <v>59</v>
      </c>
      <c r="C351" s="8" t="n">
        <v>21.9</v>
      </c>
      <c r="D351" s="8" t="n">
        <v>116</v>
      </c>
      <c r="E351" s="8" t="n">
        <v>113</v>
      </c>
      <c r="F351" s="8" t="n">
        <v>0</v>
      </c>
      <c r="G351" s="8" t="n">
        <v>0</v>
      </c>
      <c r="H351" s="8" t="n">
        <v>1</v>
      </c>
      <c r="I351" s="8" t="s">
        <v>1948</v>
      </c>
      <c r="J351" s="8" t="s">
        <v>1959</v>
      </c>
      <c r="K351" s="8" t="s">
        <v>1954</v>
      </c>
      <c r="L351" s="8" t="s">
        <v>1949</v>
      </c>
      <c r="M351" s="28" t="n">
        <f aca="false">'Disease Prediction Model'!$C$9+'Disease Prediction Model'!$C$10*B351+'Disease Prediction Model'!$C$11*C351+'Disease Prediction Model'!$C$12*D351+'Disease Prediction Model'!$C$13*E351+'Disease Prediction Model'!$C$14*F351+'Disease Prediction Model'!$C$15*G351</f>
        <v>0.398771</v>
      </c>
      <c r="N351" s="8" t="str">
        <f aca="false">IF(M351&gt;=0.5,"Yes","No")</f>
        <v>No</v>
      </c>
    </row>
    <row r="352" customFormat="false" ht="15" hidden="false" customHeight="false" outlineLevel="0" collapsed="false">
      <c r="A352" s="8" t="s">
        <v>2299</v>
      </c>
      <c r="B352" s="8" t="n">
        <v>70</v>
      </c>
      <c r="C352" s="8" t="n">
        <v>31.6</v>
      </c>
      <c r="D352" s="8" t="n">
        <v>117</v>
      </c>
      <c r="E352" s="8" t="n">
        <v>90</v>
      </c>
      <c r="F352" s="8" t="n">
        <v>1</v>
      </c>
      <c r="G352" s="8" t="n">
        <v>0</v>
      </c>
      <c r="H352" s="8" t="n">
        <v>1</v>
      </c>
      <c r="I352" s="8" t="s">
        <v>1954</v>
      </c>
      <c r="J352" s="8" t="s">
        <v>1959</v>
      </c>
      <c r="K352" s="8" t="s">
        <v>1954</v>
      </c>
      <c r="L352" s="8" t="s">
        <v>1949</v>
      </c>
      <c r="M352" s="28" t="n">
        <f aca="false">'Disease Prediction Model'!$C$9+'Disease Prediction Model'!$C$10*B352+'Disease Prediction Model'!$C$11*C352+'Disease Prediction Model'!$C$12*D352+'Disease Prediction Model'!$C$13*E352+'Disease Prediction Model'!$C$14*F352+'Disease Prediction Model'!$C$15*G352</f>
        <v>0.464214</v>
      </c>
      <c r="N352" s="8" t="str">
        <f aca="false">IF(M352&gt;=0.5,"Yes","No")</f>
        <v>No</v>
      </c>
    </row>
    <row r="353" customFormat="false" ht="15" hidden="false" customHeight="false" outlineLevel="0" collapsed="false">
      <c r="A353" s="8" t="s">
        <v>2300</v>
      </c>
      <c r="B353" s="8" t="n">
        <v>68</v>
      </c>
      <c r="C353" s="8" t="n">
        <v>26.6</v>
      </c>
      <c r="D353" s="8" t="n">
        <v>104</v>
      </c>
      <c r="E353" s="8" t="n">
        <v>98</v>
      </c>
      <c r="F353" s="8" t="n">
        <v>1</v>
      </c>
      <c r="G353" s="8" t="n">
        <v>1</v>
      </c>
      <c r="H353" s="8" t="n">
        <v>0</v>
      </c>
      <c r="I353" s="8" t="s">
        <v>1954</v>
      </c>
      <c r="J353" s="8" t="s">
        <v>1405</v>
      </c>
      <c r="K353" s="8" t="s">
        <v>1948</v>
      </c>
      <c r="L353" s="8" t="s">
        <v>1949</v>
      </c>
      <c r="M353" s="28" t="n">
        <f aca="false">'Disease Prediction Model'!$C$9+'Disease Prediction Model'!$C$10*B353+'Disease Prediction Model'!$C$11*C353+'Disease Prediction Model'!$C$12*D353+'Disease Prediction Model'!$C$13*E353+'Disease Prediction Model'!$C$14*F353+'Disease Prediction Model'!$C$15*G353</f>
        <v>0.328104</v>
      </c>
      <c r="N353" s="8" t="str">
        <f aca="false">IF(M353&gt;=0.5,"Yes","No")</f>
        <v>No</v>
      </c>
    </row>
    <row r="354" customFormat="false" ht="15" hidden="false" customHeight="false" outlineLevel="0" collapsed="false">
      <c r="A354" s="8" t="s">
        <v>2301</v>
      </c>
      <c r="B354" s="8" t="n">
        <v>40</v>
      </c>
      <c r="C354" s="8" t="n">
        <v>29.1</v>
      </c>
      <c r="D354" s="8" t="n">
        <v>125</v>
      </c>
      <c r="E354" s="8" t="n">
        <v>104</v>
      </c>
      <c r="F354" s="8" t="n">
        <v>1</v>
      </c>
      <c r="G354" s="8" t="n">
        <v>1</v>
      </c>
      <c r="H354" s="8" t="n">
        <v>0</v>
      </c>
      <c r="I354" s="8" t="s">
        <v>1954</v>
      </c>
      <c r="J354" s="8" t="s">
        <v>1405</v>
      </c>
      <c r="K354" s="8" t="s">
        <v>1948</v>
      </c>
      <c r="L354" s="8" t="s">
        <v>1949</v>
      </c>
      <c r="M354" s="28" t="n">
        <f aca="false">'Disease Prediction Model'!$C$9+'Disease Prediction Model'!$C$10*B354+'Disease Prediction Model'!$C$11*C354+'Disease Prediction Model'!$C$12*D354+'Disease Prediction Model'!$C$13*E354+'Disease Prediction Model'!$C$14*F354+'Disease Prediction Model'!$C$15*G354</f>
        <v>0.405559</v>
      </c>
      <c r="N354" s="8" t="str">
        <f aca="false">IF(M354&gt;=0.5,"Yes","No")</f>
        <v>No</v>
      </c>
    </row>
    <row r="355" customFormat="false" ht="15" hidden="false" customHeight="false" outlineLevel="0" collapsed="false">
      <c r="A355" s="8" t="s">
        <v>2302</v>
      </c>
      <c r="B355" s="8" t="n">
        <v>80</v>
      </c>
      <c r="C355" s="8" t="n">
        <v>30.6</v>
      </c>
      <c r="D355" s="8" t="n">
        <v>139</v>
      </c>
      <c r="E355" s="8" t="n">
        <v>100</v>
      </c>
      <c r="F355" s="8" t="n">
        <v>1</v>
      </c>
      <c r="G355" s="8" t="n">
        <v>0</v>
      </c>
      <c r="H355" s="8" t="n">
        <v>0</v>
      </c>
      <c r="I355" s="8" t="s">
        <v>1954</v>
      </c>
      <c r="J355" s="8" t="s">
        <v>1959</v>
      </c>
      <c r="K355" s="8" t="s">
        <v>1948</v>
      </c>
      <c r="L355" s="8" t="s">
        <v>1949</v>
      </c>
      <c r="M355" s="28" t="n">
        <f aca="false">'Disease Prediction Model'!$C$9+'Disease Prediction Model'!$C$10*B355+'Disease Prediction Model'!$C$11*C355+'Disease Prediction Model'!$C$12*D355+'Disease Prediction Model'!$C$13*E355+'Disease Prediction Model'!$C$14*F355+'Disease Prediction Model'!$C$15*G355</f>
        <v>0.653384</v>
      </c>
      <c r="N355" s="8" t="str">
        <f aca="false">IF(M355&gt;=0.5,"Yes","No")</f>
        <v>Yes</v>
      </c>
    </row>
    <row r="356" customFormat="false" ht="15" hidden="false" customHeight="false" outlineLevel="0" collapsed="false">
      <c r="A356" s="8" t="s">
        <v>2303</v>
      </c>
      <c r="B356" s="8" t="n">
        <v>37</v>
      </c>
      <c r="C356" s="8" t="n">
        <v>31.4</v>
      </c>
      <c r="D356" s="8" t="n">
        <v>125</v>
      </c>
      <c r="E356" s="8" t="n">
        <v>124</v>
      </c>
      <c r="F356" s="8" t="n">
        <v>0</v>
      </c>
      <c r="G356" s="8" t="n">
        <v>0</v>
      </c>
      <c r="H356" s="8" t="n">
        <v>1</v>
      </c>
      <c r="I356" s="8" t="s">
        <v>1948</v>
      </c>
      <c r="J356" s="8" t="s">
        <v>1959</v>
      </c>
      <c r="K356" s="8" t="s">
        <v>1954</v>
      </c>
      <c r="L356" s="8" t="s">
        <v>1949</v>
      </c>
      <c r="M356" s="28" t="n">
        <f aca="false">'Disease Prediction Model'!$C$9+'Disease Prediction Model'!$C$10*B356+'Disease Prediction Model'!$C$11*C356+'Disease Prediction Model'!$C$12*D356+'Disease Prediction Model'!$C$13*E356+'Disease Prediction Model'!$C$14*F356+'Disease Prediction Model'!$C$15*G356</f>
        <v>0.576816</v>
      </c>
      <c r="N356" s="8" t="str">
        <f aca="false">IF(M356&gt;=0.5,"Yes","No")</f>
        <v>Yes</v>
      </c>
    </row>
    <row r="357" customFormat="false" ht="15" hidden="false" customHeight="false" outlineLevel="0" collapsed="false">
      <c r="A357" s="8" t="s">
        <v>2304</v>
      </c>
      <c r="B357" s="8" t="n">
        <v>60</v>
      </c>
      <c r="C357" s="8" t="n">
        <v>25.6</v>
      </c>
      <c r="D357" s="8" t="n">
        <v>108</v>
      </c>
      <c r="E357" s="8" t="n">
        <v>98</v>
      </c>
      <c r="F357" s="8" t="n">
        <v>0</v>
      </c>
      <c r="G357" s="8" t="n">
        <v>0</v>
      </c>
      <c r="H357" s="8" t="n">
        <v>0</v>
      </c>
      <c r="I357" s="8" t="s">
        <v>1948</v>
      </c>
      <c r="J357" s="8" t="s">
        <v>1959</v>
      </c>
      <c r="K357" s="8" t="s">
        <v>1948</v>
      </c>
      <c r="L357" s="8" t="s">
        <v>1949</v>
      </c>
      <c r="M357" s="28" t="n">
        <f aca="false">'Disease Prediction Model'!$C$9+'Disease Prediction Model'!$C$10*B357+'Disease Prediction Model'!$C$11*C357+'Disease Prediction Model'!$C$12*D357+'Disease Prediction Model'!$C$13*E357+'Disease Prediction Model'!$C$14*F357+'Disease Prediction Model'!$C$15*G357</f>
        <v>0.276294</v>
      </c>
      <c r="N357" s="8" t="str">
        <f aca="false">IF(M357&gt;=0.5,"Yes","No")</f>
        <v>No</v>
      </c>
    </row>
    <row r="358" customFormat="false" ht="15" hidden="false" customHeight="false" outlineLevel="0" collapsed="false">
      <c r="A358" s="8" t="s">
        <v>2305</v>
      </c>
      <c r="B358" s="8" t="n">
        <v>53</v>
      </c>
      <c r="C358" s="8" t="n">
        <v>27</v>
      </c>
      <c r="D358" s="8" t="n">
        <v>106</v>
      </c>
      <c r="E358" s="8" t="n">
        <v>84</v>
      </c>
      <c r="F358" s="8" t="n">
        <v>0</v>
      </c>
      <c r="G358" s="8" t="n">
        <v>1</v>
      </c>
      <c r="H358" s="8" t="n">
        <v>0</v>
      </c>
      <c r="I358" s="8" t="s">
        <v>1948</v>
      </c>
      <c r="J358" s="8" t="s">
        <v>1405</v>
      </c>
      <c r="K358" s="8" t="s">
        <v>1948</v>
      </c>
      <c r="L358" s="8" t="s">
        <v>1949</v>
      </c>
      <c r="M358" s="28" t="n">
        <f aca="false">'Disease Prediction Model'!$C$9+'Disease Prediction Model'!$C$10*B358+'Disease Prediction Model'!$C$11*C358+'Disease Prediction Model'!$C$12*D358+'Disease Prediction Model'!$C$13*E358+'Disease Prediction Model'!$C$14*F358+'Disease Prediction Model'!$C$15*G358</f>
        <v>0.0341400000000001</v>
      </c>
      <c r="N358" s="8" t="str">
        <f aca="false">IF(M358&gt;=0.5,"Yes","No")</f>
        <v>No</v>
      </c>
    </row>
    <row r="359" customFormat="false" ht="15" hidden="false" customHeight="false" outlineLevel="0" collapsed="false">
      <c r="A359" s="8" t="s">
        <v>2306</v>
      </c>
      <c r="B359" s="8" t="n">
        <v>62</v>
      </c>
      <c r="C359" s="8" t="n">
        <v>28.2</v>
      </c>
      <c r="D359" s="8" t="n">
        <v>100</v>
      </c>
      <c r="E359" s="8" t="n">
        <v>93</v>
      </c>
      <c r="F359" s="8" t="n">
        <v>0</v>
      </c>
      <c r="G359" s="8" t="n">
        <v>0</v>
      </c>
      <c r="H359" s="8" t="n">
        <v>0</v>
      </c>
      <c r="I359" s="8" t="s">
        <v>1948</v>
      </c>
      <c r="J359" s="8" t="s">
        <v>1959</v>
      </c>
      <c r="K359" s="8" t="s">
        <v>1948</v>
      </c>
      <c r="L359" s="8" t="s">
        <v>1949</v>
      </c>
      <c r="M359" s="28" t="n">
        <f aca="false">'Disease Prediction Model'!$C$9+'Disease Prediction Model'!$C$10*B359+'Disease Prediction Model'!$C$11*C359+'Disease Prediction Model'!$C$12*D359+'Disease Prediction Model'!$C$13*E359+'Disease Prediction Model'!$C$14*F359+'Disease Prediction Model'!$C$15*G359</f>
        <v>0.236808</v>
      </c>
      <c r="N359" s="8" t="str">
        <f aca="false">IF(M359&gt;=0.5,"Yes","No")</f>
        <v>No</v>
      </c>
    </row>
    <row r="360" customFormat="false" ht="15" hidden="false" customHeight="false" outlineLevel="0" collapsed="false">
      <c r="A360" s="8" t="s">
        <v>2307</v>
      </c>
      <c r="B360" s="8" t="n">
        <v>40</v>
      </c>
      <c r="C360" s="8" t="n">
        <v>29</v>
      </c>
      <c r="D360" s="8" t="n">
        <v>136</v>
      </c>
      <c r="E360" s="8" t="n">
        <v>106</v>
      </c>
      <c r="F360" s="8" t="n">
        <v>0</v>
      </c>
      <c r="G360" s="8" t="n">
        <v>0</v>
      </c>
      <c r="H360" s="8" t="n">
        <v>0</v>
      </c>
      <c r="I360" s="8" t="s">
        <v>1948</v>
      </c>
      <c r="J360" s="8" t="s">
        <v>1959</v>
      </c>
      <c r="K360" s="8" t="s">
        <v>1948</v>
      </c>
      <c r="L360" s="8" t="s">
        <v>1949</v>
      </c>
      <c r="M360" s="28" t="n">
        <f aca="false">'Disease Prediction Model'!$C$9+'Disease Prediction Model'!$C$10*B360+'Disease Prediction Model'!$C$11*C360+'Disease Prediction Model'!$C$12*D360+'Disease Prediction Model'!$C$13*E360+'Disease Prediction Model'!$C$14*F360+'Disease Prediction Model'!$C$15*G360</f>
        <v>0.43094</v>
      </c>
      <c r="N360" s="8" t="str">
        <f aca="false">IF(M360&gt;=0.5,"Yes","No")</f>
        <v>No</v>
      </c>
    </row>
    <row r="361" customFormat="false" ht="15" hidden="false" customHeight="false" outlineLevel="0" collapsed="false">
      <c r="A361" s="8" t="s">
        <v>2308</v>
      </c>
      <c r="B361" s="8" t="n">
        <v>36</v>
      </c>
      <c r="C361" s="8" t="n">
        <v>30.5</v>
      </c>
      <c r="D361" s="8" t="n">
        <v>115</v>
      </c>
      <c r="E361" s="8" t="n">
        <v>104</v>
      </c>
      <c r="F361" s="8" t="n">
        <v>1</v>
      </c>
      <c r="G361" s="8" t="n">
        <v>1</v>
      </c>
      <c r="H361" s="8" t="n">
        <v>1</v>
      </c>
      <c r="I361" s="8" t="s">
        <v>1954</v>
      </c>
      <c r="J361" s="8" t="s">
        <v>1405</v>
      </c>
      <c r="K361" s="8" t="s">
        <v>1954</v>
      </c>
      <c r="L361" s="8" t="s">
        <v>1949</v>
      </c>
      <c r="M361" s="28" t="n">
        <f aca="false">'Disease Prediction Model'!$C$9+'Disease Prediction Model'!$C$10*B361+'Disease Prediction Model'!$C$11*C361+'Disease Prediction Model'!$C$12*D361+'Disease Prediction Model'!$C$13*E361+'Disease Prediction Model'!$C$14*F361+'Disease Prediction Model'!$C$15*G361</f>
        <v>0.374025</v>
      </c>
      <c r="N361" s="8" t="str">
        <f aca="false">IF(M361&gt;=0.5,"Yes","No")</f>
        <v>No</v>
      </c>
    </row>
    <row r="362" customFormat="false" ht="15" hidden="false" customHeight="false" outlineLevel="0" collapsed="false">
      <c r="A362" s="8" t="s">
        <v>2309</v>
      </c>
      <c r="B362" s="8" t="n">
        <v>35</v>
      </c>
      <c r="C362" s="8" t="n">
        <v>21.8</v>
      </c>
      <c r="D362" s="8" t="n">
        <v>139</v>
      </c>
      <c r="E362" s="8" t="n">
        <v>85</v>
      </c>
      <c r="F362" s="8" t="n">
        <v>0</v>
      </c>
      <c r="G362" s="8" t="n">
        <v>1</v>
      </c>
      <c r="H362" s="8" t="n">
        <v>0</v>
      </c>
      <c r="I362" s="8" t="s">
        <v>1948</v>
      </c>
      <c r="J362" s="8" t="s">
        <v>1405</v>
      </c>
      <c r="K362" s="8" t="s">
        <v>1948</v>
      </c>
      <c r="L362" s="8" t="s">
        <v>1949</v>
      </c>
      <c r="M362" s="28" t="n">
        <f aca="false">'Disease Prediction Model'!$C$9+'Disease Prediction Model'!$C$10*B362+'Disease Prediction Model'!$C$11*C362+'Disease Prediction Model'!$C$12*D362+'Disease Prediction Model'!$C$13*E362+'Disease Prediction Model'!$C$14*F362+'Disease Prediction Model'!$C$15*G362</f>
        <v>0.049752</v>
      </c>
      <c r="N362" s="8" t="str">
        <f aca="false">IF(M362&gt;=0.5,"Yes","No")</f>
        <v>No</v>
      </c>
    </row>
    <row r="363" customFormat="false" ht="15" hidden="false" customHeight="false" outlineLevel="0" collapsed="false">
      <c r="A363" s="8" t="s">
        <v>2310</v>
      </c>
      <c r="B363" s="8" t="n">
        <v>40</v>
      </c>
      <c r="C363" s="8" t="n">
        <v>30.9</v>
      </c>
      <c r="D363" s="8" t="n">
        <v>119</v>
      </c>
      <c r="E363" s="8" t="n">
        <v>135</v>
      </c>
      <c r="F363" s="8" t="n">
        <v>0</v>
      </c>
      <c r="G363" s="8" t="n">
        <v>0</v>
      </c>
      <c r="H363" s="8" t="n">
        <v>1</v>
      </c>
      <c r="I363" s="8" t="s">
        <v>1948</v>
      </c>
      <c r="J363" s="8" t="s">
        <v>1959</v>
      </c>
      <c r="K363" s="8" t="s">
        <v>1954</v>
      </c>
      <c r="L363" s="8" t="s">
        <v>1949</v>
      </c>
      <c r="M363" s="28" t="n">
        <f aca="false">'Disease Prediction Model'!$C$9+'Disease Prediction Model'!$C$10*B363+'Disease Prediction Model'!$C$11*C363+'Disease Prediction Model'!$C$12*D363+'Disease Prediction Model'!$C$13*E363+'Disease Prediction Model'!$C$14*F363+'Disease Prediction Model'!$C$15*G363</f>
        <v>0.660261</v>
      </c>
      <c r="N363" s="8" t="str">
        <f aca="false">IF(M363&gt;=0.5,"Yes","No")</f>
        <v>Yes</v>
      </c>
    </row>
    <row r="364" customFormat="false" ht="15" hidden="false" customHeight="false" outlineLevel="0" collapsed="false">
      <c r="A364" s="8" t="s">
        <v>2311</v>
      </c>
      <c r="B364" s="8" t="n">
        <v>55</v>
      </c>
      <c r="C364" s="8" t="n">
        <v>32.1</v>
      </c>
      <c r="D364" s="8" t="n">
        <v>116</v>
      </c>
      <c r="E364" s="8" t="n">
        <v>127</v>
      </c>
      <c r="F364" s="8" t="n">
        <v>1</v>
      </c>
      <c r="G364" s="8" t="n">
        <v>0</v>
      </c>
      <c r="H364" s="8" t="n">
        <v>1</v>
      </c>
      <c r="I364" s="8" t="s">
        <v>1954</v>
      </c>
      <c r="J364" s="8" t="s">
        <v>1959</v>
      </c>
      <c r="K364" s="8" t="s">
        <v>1954</v>
      </c>
      <c r="L364" s="8" t="s">
        <v>1949</v>
      </c>
      <c r="M364" s="28" t="n">
        <f aca="false">'Disease Prediction Model'!$C$9+'Disease Prediction Model'!$C$10*B364+'Disease Prediction Model'!$C$11*C364+'Disease Prediction Model'!$C$12*D364+'Disease Prediction Model'!$C$13*E364+'Disease Prediction Model'!$C$14*F364+'Disease Prediction Model'!$C$15*G364</f>
        <v>0.765149</v>
      </c>
      <c r="N364" s="8" t="str">
        <f aca="false">IF(M364&gt;=0.5,"Yes","No")</f>
        <v>Yes</v>
      </c>
    </row>
    <row r="365" customFormat="false" ht="15" hidden="false" customHeight="false" outlineLevel="0" collapsed="false">
      <c r="A365" s="8" t="s">
        <v>2312</v>
      </c>
      <c r="B365" s="8" t="n">
        <v>42</v>
      </c>
      <c r="C365" s="8" t="n">
        <v>32.8</v>
      </c>
      <c r="D365" s="8" t="n">
        <v>120</v>
      </c>
      <c r="E365" s="8" t="n">
        <v>128</v>
      </c>
      <c r="F365" s="8" t="n">
        <v>0</v>
      </c>
      <c r="G365" s="8" t="n">
        <v>0</v>
      </c>
      <c r="H365" s="8" t="n">
        <v>0</v>
      </c>
      <c r="I365" s="8" t="s">
        <v>1948</v>
      </c>
      <c r="J365" s="8" t="s">
        <v>1959</v>
      </c>
      <c r="K365" s="8" t="s">
        <v>1948</v>
      </c>
      <c r="L365" s="8" t="s">
        <v>1949</v>
      </c>
      <c r="M365" s="28" t="n">
        <f aca="false">'Disease Prediction Model'!$C$9+'Disease Prediction Model'!$C$10*B365+'Disease Prediction Model'!$C$11*C365+'Disease Prediction Model'!$C$12*D365+'Disease Prediction Model'!$C$13*E365+'Disease Prediction Model'!$C$14*F365+'Disease Prediction Model'!$C$15*G365</f>
        <v>0.626502</v>
      </c>
      <c r="N365" s="8" t="str">
        <f aca="false">IF(M365&gt;=0.5,"Yes","No")</f>
        <v>Yes</v>
      </c>
    </row>
    <row r="366" customFormat="false" ht="15" hidden="false" customHeight="false" outlineLevel="0" collapsed="false">
      <c r="A366" s="8" t="s">
        <v>2313</v>
      </c>
      <c r="B366" s="8" t="n">
        <v>69</v>
      </c>
      <c r="C366" s="8" t="n">
        <v>38.2</v>
      </c>
      <c r="D366" s="8" t="n">
        <v>110</v>
      </c>
      <c r="E366" s="8" t="n">
        <v>115</v>
      </c>
      <c r="F366" s="8" t="n">
        <v>1</v>
      </c>
      <c r="G366" s="8" t="n">
        <v>1</v>
      </c>
      <c r="H366" s="8" t="n">
        <v>0</v>
      </c>
      <c r="I366" s="8" t="s">
        <v>1954</v>
      </c>
      <c r="J366" s="8" t="s">
        <v>1405</v>
      </c>
      <c r="K366" s="8" t="s">
        <v>1948</v>
      </c>
      <c r="L366" s="8" t="s">
        <v>1949</v>
      </c>
      <c r="M366" s="28" t="n">
        <f aca="false">'Disease Prediction Model'!$C$9+'Disease Prediction Model'!$C$10*B366+'Disease Prediction Model'!$C$11*C366+'Disease Prediction Model'!$C$12*D366+'Disease Prediction Model'!$C$13*E366+'Disease Prediction Model'!$C$14*F366+'Disease Prediction Model'!$C$15*G366</f>
        <v>0.642048</v>
      </c>
      <c r="N366" s="8" t="str">
        <f aca="false">IF(M366&gt;=0.5,"Yes","No")</f>
        <v>Yes</v>
      </c>
    </row>
    <row r="367" customFormat="false" ht="15" hidden="false" customHeight="false" outlineLevel="0" collapsed="false">
      <c r="A367" s="8" t="s">
        <v>2314</v>
      </c>
      <c r="B367" s="8" t="n">
        <v>55</v>
      </c>
      <c r="C367" s="8" t="n">
        <v>31.9</v>
      </c>
      <c r="D367" s="8" t="n">
        <v>165</v>
      </c>
      <c r="E367" s="8" t="n">
        <v>124</v>
      </c>
      <c r="F367" s="8" t="n">
        <v>0</v>
      </c>
      <c r="G367" s="8" t="n">
        <v>1</v>
      </c>
      <c r="H367" s="8" t="n">
        <v>1</v>
      </c>
      <c r="I367" s="8" t="s">
        <v>1948</v>
      </c>
      <c r="J367" s="8" t="s">
        <v>1405</v>
      </c>
      <c r="K367" s="8" t="s">
        <v>1954</v>
      </c>
      <c r="L367" s="8" t="s">
        <v>1949</v>
      </c>
      <c r="M367" s="28" t="n">
        <f aca="false">'Disease Prediction Model'!$C$9+'Disease Prediction Model'!$C$10*B367+'Disease Prediction Model'!$C$11*C367+'Disease Prediction Model'!$C$12*D367+'Disease Prediction Model'!$C$13*E367+'Disease Prediction Model'!$C$14*F367+'Disease Prediction Model'!$C$15*G367</f>
        <v>0.677411</v>
      </c>
      <c r="N367" s="8" t="str">
        <f aca="false">IF(M367&gt;=0.5,"Yes","No")</f>
        <v>Yes</v>
      </c>
    </row>
    <row r="368" customFormat="false" ht="15" hidden="false" customHeight="false" outlineLevel="0" collapsed="false">
      <c r="A368" s="8" t="s">
        <v>2315</v>
      </c>
      <c r="B368" s="8" t="n">
        <v>61</v>
      </c>
      <c r="C368" s="8" t="n">
        <v>30.4</v>
      </c>
      <c r="D368" s="8" t="n">
        <v>92</v>
      </c>
      <c r="E368" s="8" t="n">
        <v>76</v>
      </c>
      <c r="F368" s="8" t="n">
        <v>0</v>
      </c>
      <c r="G368" s="8" t="n">
        <v>2</v>
      </c>
      <c r="H368" s="8" t="n">
        <v>0</v>
      </c>
      <c r="I368" s="8" t="s">
        <v>1948</v>
      </c>
      <c r="J368" s="8" t="s">
        <v>1951</v>
      </c>
      <c r="K368" s="8" t="s">
        <v>1948</v>
      </c>
      <c r="L368" s="8" t="s">
        <v>1949</v>
      </c>
      <c r="M368" s="28" t="n">
        <f aca="false">'Disease Prediction Model'!$C$9+'Disease Prediction Model'!$C$10*B368+'Disease Prediction Model'!$C$11*C368+'Disease Prediction Model'!$C$12*D368+'Disease Prediction Model'!$C$13*E368+'Disease Prediction Model'!$C$14*F368+'Disease Prediction Model'!$C$15*G368</f>
        <v>-0.128834</v>
      </c>
      <c r="N368" s="8" t="str">
        <f aca="false">IF(M368&gt;=0.5,"Yes","No")</f>
        <v>No</v>
      </c>
    </row>
    <row r="369" customFormat="false" ht="15" hidden="false" customHeight="false" outlineLevel="0" collapsed="false">
      <c r="A369" s="8" t="s">
        <v>2316</v>
      </c>
      <c r="B369" s="8" t="n">
        <v>53</v>
      </c>
      <c r="C369" s="8" t="n">
        <v>22.8</v>
      </c>
      <c r="D369" s="8" t="n">
        <v>130</v>
      </c>
      <c r="E369" s="8" t="n">
        <v>76</v>
      </c>
      <c r="F369" s="8" t="n">
        <v>1</v>
      </c>
      <c r="G369" s="8" t="n">
        <v>2</v>
      </c>
      <c r="H369" s="8" t="n">
        <v>1</v>
      </c>
      <c r="I369" s="8" t="s">
        <v>1954</v>
      </c>
      <c r="J369" s="8" t="s">
        <v>1951</v>
      </c>
      <c r="K369" s="8" t="s">
        <v>1954</v>
      </c>
      <c r="L369" s="8" t="s">
        <v>1949</v>
      </c>
      <c r="M369" s="28" t="n">
        <f aca="false">'Disease Prediction Model'!$C$9+'Disease Prediction Model'!$C$10*B369+'Disease Prediction Model'!$C$11*C369+'Disease Prediction Model'!$C$12*D369+'Disease Prediction Model'!$C$13*E369+'Disease Prediction Model'!$C$14*F369+'Disease Prediction Model'!$C$15*G369</f>
        <v>0.029522</v>
      </c>
      <c r="N369" s="8" t="str">
        <f aca="false">IF(M369&gt;=0.5,"Yes","No")</f>
        <v>No</v>
      </c>
    </row>
    <row r="370" customFormat="false" ht="15" hidden="false" customHeight="false" outlineLevel="0" collapsed="false">
      <c r="A370" s="8" t="s">
        <v>2317</v>
      </c>
      <c r="B370" s="8" t="n">
        <v>55</v>
      </c>
      <c r="C370" s="8" t="n">
        <v>18.6</v>
      </c>
      <c r="D370" s="8" t="n">
        <v>133</v>
      </c>
      <c r="E370" s="8" t="n">
        <v>100</v>
      </c>
      <c r="F370" s="8" t="n">
        <v>1</v>
      </c>
      <c r="G370" s="8" t="n">
        <v>2</v>
      </c>
      <c r="H370" s="8" t="n">
        <v>0</v>
      </c>
      <c r="I370" s="8" t="s">
        <v>1954</v>
      </c>
      <c r="J370" s="8" t="s">
        <v>1951</v>
      </c>
      <c r="K370" s="8" t="s">
        <v>1948</v>
      </c>
      <c r="L370" s="8" t="s">
        <v>1949</v>
      </c>
      <c r="M370" s="28" t="n">
        <f aca="false">'Disease Prediction Model'!$C$9+'Disease Prediction Model'!$C$10*B370+'Disease Prediction Model'!$C$11*C370+'Disease Prediction Model'!$C$12*D370+'Disease Prediction Model'!$C$13*E370+'Disease Prediction Model'!$C$14*F370+'Disease Prediction Model'!$C$15*G370</f>
        <v>0.220504</v>
      </c>
      <c r="N370" s="8" t="str">
        <f aca="false">IF(M370&gt;=0.5,"Yes","No")</f>
        <v>No</v>
      </c>
    </row>
    <row r="371" customFormat="false" ht="15" hidden="false" customHeight="false" outlineLevel="0" collapsed="false">
      <c r="A371" s="8" t="s">
        <v>2318</v>
      </c>
      <c r="B371" s="8" t="n">
        <v>56</v>
      </c>
      <c r="C371" s="8" t="n">
        <v>27.4</v>
      </c>
      <c r="D371" s="8" t="n">
        <v>115</v>
      </c>
      <c r="E371" s="8" t="n">
        <v>123</v>
      </c>
      <c r="F371" s="8" t="n">
        <v>1</v>
      </c>
      <c r="G371" s="8" t="n">
        <v>1</v>
      </c>
      <c r="H371" s="8" t="n">
        <v>1</v>
      </c>
      <c r="I371" s="8" t="s">
        <v>1954</v>
      </c>
      <c r="J371" s="8" t="s">
        <v>1405</v>
      </c>
      <c r="K371" s="8" t="s">
        <v>1954</v>
      </c>
      <c r="L371" s="8" t="s">
        <v>1949</v>
      </c>
      <c r="M371" s="28" t="n">
        <f aca="false">'Disease Prediction Model'!$C$9+'Disease Prediction Model'!$C$10*B371+'Disease Prediction Model'!$C$11*C371+'Disease Prediction Model'!$C$12*D371+'Disease Prediction Model'!$C$13*E371+'Disease Prediction Model'!$C$14*F371+'Disease Prediction Model'!$C$15*G371</f>
        <v>0.573056</v>
      </c>
      <c r="N371" s="8" t="str">
        <f aca="false">IF(M371&gt;=0.5,"Yes","No")</f>
        <v>Yes</v>
      </c>
    </row>
    <row r="372" customFormat="false" ht="15" hidden="false" customHeight="false" outlineLevel="0" collapsed="false">
      <c r="A372" s="8" t="s">
        <v>2319</v>
      </c>
      <c r="B372" s="8" t="n">
        <v>57</v>
      </c>
      <c r="C372" s="8" t="n">
        <v>31.2</v>
      </c>
      <c r="D372" s="8" t="n">
        <v>121</v>
      </c>
      <c r="E372" s="8" t="n">
        <v>123</v>
      </c>
      <c r="F372" s="8" t="n">
        <v>0</v>
      </c>
      <c r="G372" s="8" t="n">
        <v>1</v>
      </c>
      <c r="H372" s="8" t="n">
        <v>1</v>
      </c>
      <c r="I372" s="8" t="s">
        <v>1948</v>
      </c>
      <c r="J372" s="8" t="s">
        <v>1405</v>
      </c>
      <c r="K372" s="8" t="s">
        <v>1954</v>
      </c>
      <c r="L372" s="8" t="s">
        <v>1949</v>
      </c>
      <c r="M372" s="28" t="n">
        <f aca="false">'Disease Prediction Model'!$C$9+'Disease Prediction Model'!$C$10*B372+'Disease Prediction Model'!$C$11*C372+'Disease Prediction Model'!$C$12*D372+'Disease Prediction Model'!$C$13*E372+'Disease Prediction Model'!$C$14*F372+'Disease Prediction Model'!$C$15*G372</f>
        <v>0.508498</v>
      </c>
      <c r="N372" s="8" t="str">
        <f aca="false">IF(M372&gt;=0.5,"Yes","No")</f>
        <v>Yes</v>
      </c>
    </row>
    <row r="373" customFormat="false" ht="15" hidden="false" customHeight="false" outlineLevel="0" collapsed="false">
      <c r="A373" s="8" t="s">
        <v>2320</v>
      </c>
      <c r="B373" s="8" t="n">
        <v>50</v>
      </c>
      <c r="C373" s="8" t="n">
        <v>37.8</v>
      </c>
      <c r="D373" s="8" t="n">
        <v>130</v>
      </c>
      <c r="E373" s="8" t="n">
        <v>81</v>
      </c>
      <c r="F373" s="8" t="n">
        <v>1</v>
      </c>
      <c r="G373" s="8" t="n">
        <v>1</v>
      </c>
      <c r="H373" s="8" t="n">
        <v>1</v>
      </c>
      <c r="I373" s="8" t="s">
        <v>1954</v>
      </c>
      <c r="J373" s="8" t="s">
        <v>1405</v>
      </c>
      <c r="K373" s="8" t="s">
        <v>1954</v>
      </c>
      <c r="L373" s="8" t="s">
        <v>1949</v>
      </c>
      <c r="M373" s="28" t="n">
        <f aca="false">'Disease Prediction Model'!$C$9+'Disease Prediction Model'!$C$10*B373+'Disease Prediction Model'!$C$11*C373+'Disease Prediction Model'!$C$12*D373+'Disease Prediction Model'!$C$13*E373+'Disease Prediction Model'!$C$14*F373+'Disease Prediction Model'!$C$15*G373</f>
        <v>0.338772</v>
      </c>
      <c r="N373" s="8" t="str">
        <f aca="false">IF(M373&gt;=0.5,"Yes","No")</f>
        <v>No</v>
      </c>
    </row>
    <row r="374" customFormat="false" ht="15" hidden="false" customHeight="false" outlineLevel="0" collapsed="false">
      <c r="A374" s="8" t="s">
        <v>2321</v>
      </c>
      <c r="B374" s="8" t="n">
        <v>43</v>
      </c>
      <c r="C374" s="8" t="n">
        <v>29.4</v>
      </c>
      <c r="D374" s="8" t="n">
        <v>120</v>
      </c>
      <c r="E374" s="8" t="n">
        <v>89</v>
      </c>
      <c r="F374" s="8" t="n">
        <v>0</v>
      </c>
      <c r="G374" s="8" t="n">
        <v>0</v>
      </c>
      <c r="H374" s="8" t="n">
        <v>0</v>
      </c>
      <c r="I374" s="8" t="s">
        <v>1948</v>
      </c>
      <c r="J374" s="8" t="s">
        <v>1959</v>
      </c>
      <c r="K374" s="8" t="s">
        <v>1948</v>
      </c>
      <c r="L374" s="8" t="s">
        <v>1949</v>
      </c>
      <c r="M374" s="28" t="n">
        <f aca="false">'Disease Prediction Model'!$C$9+'Disease Prediction Model'!$C$10*B374+'Disease Prediction Model'!$C$11*C374+'Disease Prediction Model'!$C$12*D374+'Disease Prediction Model'!$C$13*E374+'Disease Prediction Model'!$C$14*F374+'Disease Prediction Model'!$C$15*G374</f>
        <v>0.229556</v>
      </c>
      <c r="N374" s="8" t="str">
        <f aca="false">IF(M374&gt;=0.5,"Yes","No")</f>
        <v>No</v>
      </c>
    </row>
    <row r="375" customFormat="false" ht="15" hidden="false" customHeight="false" outlineLevel="0" collapsed="false">
      <c r="A375" s="8" t="s">
        <v>2322</v>
      </c>
      <c r="B375" s="8" t="n">
        <v>51</v>
      </c>
      <c r="C375" s="8" t="n">
        <v>27.8</v>
      </c>
      <c r="D375" s="8" t="n">
        <v>130</v>
      </c>
      <c r="E375" s="8" t="n">
        <v>97</v>
      </c>
      <c r="F375" s="8" t="n">
        <v>1</v>
      </c>
      <c r="G375" s="8" t="n">
        <v>2</v>
      </c>
      <c r="H375" s="8" t="n">
        <v>0</v>
      </c>
      <c r="I375" s="8" t="s">
        <v>1954</v>
      </c>
      <c r="J375" s="8" t="s">
        <v>1951</v>
      </c>
      <c r="K375" s="8" t="s">
        <v>1948</v>
      </c>
      <c r="L375" s="8" t="s">
        <v>1949</v>
      </c>
      <c r="M375" s="28" t="n">
        <f aca="false">'Disease Prediction Model'!$C$9+'Disease Prediction Model'!$C$10*B375+'Disease Prediction Model'!$C$11*C375+'Disease Prediction Model'!$C$12*D375+'Disease Prediction Model'!$C$13*E375+'Disease Prediction Model'!$C$14*F375+'Disease Prediction Model'!$C$15*G375</f>
        <v>0.275092</v>
      </c>
      <c r="N375" s="8" t="str">
        <f aca="false">IF(M375&gt;=0.5,"Yes","No")</f>
        <v>No</v>
      </c>
    </row>
    <row r="376" customFormat="false" ht="15" hidden="false" customHeight="false" outlineLevel="0" collapsed="false">
      <c r="A376" s="8" t="s">
        <v>2323</v>
      </c>
      <c r="B376" s="8" t="n">
        <v>69</v>
      </c>
      <c r="C376" s="8" t="n">
        <v>38.4</v>
      </c>
      <c r="D376" s="8" t="n">
        <v>137</v>
      </c>
      <c r="E376" s="8" t="n">
        <v>95</v>
      </c>
      <c r="F376" s="8" t="n">
        <v>0</v>
      </c>
      <c r="G376" s="8" t="n">
        <v>1</v>
      </c>
      <c r="H376" s="8" t="n">
        <v>1</v>
      </c>
      <c r="I376" s="8" t="s">
        <v>1948</v>
      </c>
      <c r="J376" s="8" t="s">
        <v>1405</v>
      </c>
      <c r="K376" s="8" t="s">
        <v>1954</v>
      </c>
      <c r="L376" s="8" t="s">
        <v>1949</v>
      </c>
      <c r="M376" s="28" t="n">
        <f aca="false">'Disease Prediction Model'!$C$9+'Disease Prediction Model'!$C$10*B376+'Disease Prediction Model'!$C$11*C376+'Disease Prediction Model'!$C$12*D376+'Disease Prediction Model'!$C$13*E376+'Disease Prediction Model'!$C$14*F376+'Disease Prediction Model'!$C$15*G376</f>
        <v>0.423546</v>
      </c>
      <c r="N376" s="8" t="str">
        <f aca="false">IF(M376&gt;=0.5,"Yes","No")</f>
        <v>No</v>
      </c>
    </row>
    <row r="377" customFormat="false" ht="15" hidden="false" customHeight="false" outlineLevel="0" collapsed="false">
      <c r="A377" s="8" t="s">
        <v>2324</v>
      </c>
      <c r="B377" s="8" t="n">
        <v>41</v>
      </c>
      <c r="C377" s="8" t="n">
        <v>21.5</v>
      </c>
      <c r="D377" s="8" t="n">
        <v>139</v>
      </c>
      <c r="E377" s="8" t="n">
        <v>129</v>
      </c>
      <c r="F377" s="8" t="n">
        <v>1</v>
      </c>
      <c r="G377" s="8" t="n">
        <v>1</v>
      </c>
      <c r="H377" s="8" t="n">
        <v>1</v>
      </c>
      <c r="I377" s="8" t="s">
        <v>1954</v>
      </c>
      <c r="J377" s="8" t="s">
        <v>1405</v>
      </c>
      <c r="K377" s="8" t="s">
        <v>1954</v>
      </c>
      <c r="L377" s="8" t="s">
        <v>1949</v>
      </c>
      <c r="M377" s="28" t="n">
        <f aca="false">'Disease Prediction Model'!$C$9+'Disease Prediction Model'!$C$10*B377+'Disease Prediction Model'!$C$11*C377+'Disease Prediction Model'!$C$12*D377+'Disease Prediction Model'!$C$13*E377+'Disease Prediction Model'!$C$14*F377+'Disease Prediction Model'!$C$15*G377</f>
        <v>0.603535</v>
      </c>
      <c r="N377" s="8" t="str">
        <f aca="false">IF(M377&gt;=0.5,"Yes","No")</f>
        <v>Yes</v>
      </c>
    </row>
    <row r="378" customFormat="false" ht="15" hidden="false" customHeight="false" outlineLevel="0" collapsed="false">
      <c r="A378" s="8" t="s">
        <v>2325</v>
      </c>
      <c r="B378" s="8" t="n">
        <v>74</v>
      </c>
      <c r="C378" s="8" t="n">
        <v>25.2</v>
      </c>
      <c r="D378" s="8" t="n">
        <v>119</v>
      </c>
      <c r="E378" s="8" t="n">
        <v>86</v>
      </c>
      <c r="F378" s="8" t="n">
        <v>0</v>
      </c>
      <c r="G378" s="8" t="n">
        <v>1</v>
      </c>
      <c r="H378" s="8" t="n">
        <v>0</v>
      </c>
      <c r="I378" s="8" t="s">
        <v>1948</v>
      </c>
      <c r="J378" s="8" t="s">
        <v>1405</v>
      </c>
      <c r="K378" s="8" t="s">
        <v>1948</v>
      </c>
      <c r="L378" s="8" t="s">
        <v>1949</v>
      </c>
      <c r="M378" s="28" t="n">
        <f aca="false">'Disease Prediction Model'!$C$9+'Disease Prediction Model'!$C$10*B378+'Disease Prediction Model'!$C$11*C378+'Disease Prediction Model'!$C$12*D378+'Disease Prediction Model'!$C$13*E378+'Disease Prediction Model'!$C$14*F378+'Disease Prediction Model'!$C$15*G378</f>
        <v>0.140018</v>
      </c>
      <c r="N378" s="8" t="str">
        <f aca="false">IF(M378&gt;=0.5,"Yes","No")</f>
        <v>No</v>
      </c>
    </row>
    <row r="379" customFormat="false" ht="15" hidden="false" customHeight="false" outlineLevel="0" collapsed="false">
      <c r="A379" s="8" t="s">
        <v>2326</v>
      </c>
      <c r="B379" s="8" t="n">
        <v>36</v>
      </c>
      <c r="C379" s="8" t="n">
        <v>20.9</v>
      </c>
      <c r="D379" s="8" t="n">
        <v>130</v>
      </c>
      <c r="E379" s="8" t="n">
        <v>70</v>
      </c>
      <c r="F379" s="8" t="n">
        <v>0</v>
      </c>
      <c r="G379" s="8" t="n">
        <v>0</v>
      </c>
      <c r="H379" s="8" t="n">
        <v>0</v>
      </c>
      <c r="I379" s="8" t="s">
        <v>1948</v>
      </c>
      <c r="J379" s="8" t="s">
        <v>1959</v>
      </c>
      <c r="K379" s="8" t="s">
        <v>1948</v>
      </c>
      <c r="L379" s="8" t="s">
        <v>1949</v>
      </c>
      <c r="M379" s="28" t="n">
        <f aca="false">'Disease Prediction Model'!$C$9+'Disease Prediction Model'!$C$10*B379+'Disease Prediction Model'!$C$11*C379+'Disease Prediction Model'!$C$12*D379+'Disease Prediction Model'!$C$13*E379+'Disease Prediction Model'!$C$14*F379+'Disease Prediction Model'!$C$15*G379</f>
        <v>-0.0278390000000002</v>
      </c>
      <c r="N379" s="8" t="str">
        <f aca="false">IF(M379&gt;=0.5,"Yes","No")</f>
        <v>No</v>
      </c>
    </row>
    <row r="380" customFormat="false" ht="15" hidden="false" customHeight="false" outlineLevel="0" collapsed="false">
      <c r="A380" s="8" t="s">
        <v>2327</v>
      </c>
      <c r="B380" s="8" t="n">
        <v>54</v>
      </c>
      <c r="C380" s="8" t="n">
        <v>33.1</v>
      </c>
      <c r="D380" s="8" t="n">
        <v>134</v>
      </c>
      <c r="E380" s="8" t="n">
        <v>93</v>
      </c>
      <c r="F380" s="8" t="n">
        <v>1</v>
      </c>
      <c r="G380" s="8" t="n">
        <v>1</v>
      </c>
      <c r="H380" s="8" t="n">
        <v>0</v>
      </c>
      <c r="I380" s="8" t="s">
        <v>1954</v>
      </c>
      <c r="J380" s="8" t="s">
        <v>1405</v>
      </c>
      <c r="K380" s="8" t="s">
        <v>1948</v>
      </c>
      <c r="L380" s="8" t="s">
        <v>1949</v>
      </c>
      <c r="M380" s="28" t="n">
        <f aca="false">'Disease Prediction Model'!$C$9+'Disease Prediction Model'!$C$10*B380+'Disease Prediction Model'!$C$11*C380+'Disease Prediction Model'!$C$12*D380+'Disease Prediction Model'!$C$13*E380+'Disease Prediction Model'!$C$14*F380+'Disease Prediction Model'!$C$15*G380</f>
        <v>0.422359</v>
      </c>
      <c r="N380" s="8" t="str">
        <f aca="false">IF(M380&gt;=0.5,"Yes","No")</f>
        <v>No</v>
      </c>
    </row>
    <row r="381" customFormat="false" ht="15" hidden="false" customHeight="false" outlineLevel="0" collapsed="false">
      <c r="A381" s="8" t="s">
        <v>2328</v>
      </c>
      <c r="B381" s="8" t="n">
        <v>53</v>
      </c>
      <c r="C381" s="8" t="n">
        <v>17.1</v>
      </c>
      <c r="D381" s="8" t="n">
        <v>128</v>
      </c>
      <c r="E381" s="8" t="n">
        <v>70</v>
      </c>
      <c r="F381" s="8" t="n">
        <v>0</v>
      </c>
      <c r="G381" s="8" t="n">
        <v>0</v>
      </c>
      <c r="H381" s="8" t="n">
        <v>0</v>
      </c>
      <c r="I381" s="8" t="s">
        <v>1948</v>
      </c>
      <c r="J381" s="8" t="s">
        <v>1959</v>
      </c>
      <c r="K381" s="8" t="s">
        <v>1948</v>
      </c>
      <c r="L381" s="8" t="s">
        <v>1949</v>
      </c>
      <c r="M381" s="28" t="n">
        <f aca="false">'Disease Prediction Model'!$C$9+'Disease Prediction Model'!$C$10*B381+'Disease Prediction Model'!$C$11*C381+'Disease Prediction Model'!$C$12*D381+'Disease Prediction Model'!$C$13*E381+'Disease Prediction Model'!$C$14*F381+'Disease Prediction Model'!$C$15*G381</f>
        <v>-0.0286410000000001</v>
      </c>
      <c r="N381" s="8" t="str">
        <f aca="false">IF(M381&gt;=0.5,"Yes","No")</f>
        <v>No</v>
      </c>
    </row>
    <row r="382" customFormat="false" ht="15" hidden="false" customHeight="false" outlineLevel="0" collapsed="false">
      <c r="A382" s="8" t="s">
        <v>2329</v>
      </c>
      <c r="B382" s="8" t="n">
        <v>45</v>
      </c>
      <c r="C382" s="8" t="n">
        <v>18.2</v>
      </c>
      <c r="D382" s="8" t="n">
        <v>117</v>
      </c>
      <c r="E382" s="8" t="n">
        <v>91</v>
      </c>
      <c r="F382" s="8" t="n">
        <v>0</v>
      </c>
      <c r="G382" s="8" t="n">
        <v>1</v>
      </c>
      <c r="H382" s="8" t="n">
        <v>0</v>
      </c>
      <c r="I382" s="8" t="s">
        <v>1948</v>
      </c>
      <c r="J382" s="8" t="s">
        <v>1405</v>
      </c>
      <c r="K382" s="8" t="s">
        <v>1948</v>
      </c>
      <c r="L382" s="8" t="s">
        <v>1949</v>
      </c>
      <c r="M382" s="28" t="n">
        <f aca="false">'Disease Prediction Model'!$C$9+'Disease Prediction Model'!$C$10*B382+'Disease Prediction Model'!$C$11*C382+'Disease Prediction Model'!$C$12*D382+'Disease Prediction Model'!$C$13*E382+'Disease Prediction Model'!$C$14*F382+'Disease Prediction Model'!$C$15*G382</f>
        <v>0.0147479999999999</v>
      </c>
      <c r="N382" s="8" t="str">
        <f aca="false">IF(M382&gt;=0.5,"Yes","No")</f>
        <v>No</v>
      </c>
    </row>
    <row r="383" customFormat="false" ht="15" hidden="false" customHeight="false" outlineLevel="0" collapsed="false">
      <c r="A383" s="8" t="s">
        <v>2330</v>
      </c>
      <c r="B383" s="8" t="n">
        <v>49</v>
      </c>
      <c r="C383" s="8" t="n">
        <v>31.3</v>
      </c>
      <c r="D383" s="8" t="n">
        <v>128</v>
      </c>
      <c r="E383" s="8" t="n">
        <v>87</v>
      </c>
      <c r="F383" s="8" t="n">
        <v>0</v>
      </c>
      <c r="G383" s="8" t="n">
        <v>0</v>
      </c>
      <c r="H383" s="8" t="n">
        <v>0</v>
      </c>
      <c r="I383" s="8" t="s">
        <v>1948</v>
      </c>
      <c r="J383" s="8" t="s">
        <v>1959</v>
      </c>
      <c r="K383" s="8" t="s">
        <v>1948</v>
      </c>
      <c r="L383" s="8" t="s">
        <v>1949</v>
      </c>
      <c r="M383" s="28" t="n">
        <f aca="false">'Disease Prediction Model'!$C$9+'Disease Prediction Model'!$C$10*B383+'Disease Prediction Model'!$C$11*C383+'Disease Prediction Model'!$C$12*D383+'Disease Prediction Model'!$C$13*E383+'Disease Prediction Model'!$C$14*F383+'Disease Prediction Model'!$C$15*G383</f>
        <v>0.278837</v>
      </c>
      <c r="N383" s="8" t="str">
        <f aca="false">IF(M383&gt;=0.5,"Yes","No")</f>
        <v>No</v>
      </c>
    </row>
    <row r="384" customFormat="false" ht="15" hidden="false" customHeight="false" outlineLevel="0" collapsed="false">
      <c r="A384" s="8" t="s">
        <v>2331</v>
      </c>
      <c r="B384" s="8" t="n">
        <v>37</v>
      </c>
      <c r="C384" s="8" t="n">
        <v>25.7</v>
      </c>
      <c r="D384" s="8" t="n">
        <v>110</v>
      </c>
      <c r="E384" s="8" t="n">
        <v>138</v>
      </c>
      <c r="F384" s="8" t="n">
        <v>0</v>
      </c>
      <c r="G384" s="8" t="n">
        <v>0</v>
      </c>
      <c r="H384" s="8" t="n">
        <v>1</v>
      </c>
      <c r="I384" s="8" t="s">
        <v>1948</v>
      </c>
      <c r="J384" s="8" t="s">
        <v>1959</v>
      </c>
      <c r="K384" s="8" t="s">
        <v>1954</v>
      </c>
      <c r="L384" s="8" t="s">
        <v>1949</v>
      </c>
      <c r="M384" s="28" t="n">
        <f aca="false">'Disease Prediction Model'!$C$9+'Disease Prediction Model'!$C$10*B384+'Disease Prediction Model'!$C$11*C384+'Disease Prediction Model'!$C$12*D384+'Disease Prediction Model'!$C$13*E384+'Disease Prediction Model'!$C$14*F384+'Disease Prediction Model'!$C$15*G384</f>
        <v>0.587833</v>
      </c>
      <c r="N384" s="8" t="str">
        <f aca="false">IF(M384&gt;=0.5,"Yes","No")</f>
        <v>Yes</v>
      </c>
    </row>
    <row r="385" customFormat="false" ht="15" hidden="false" customHeight="false" outlineLevel="0" collapsed="false">
      <c r="A385" s="8" t="s">
        <v>2332</v>
      </c>
      <c r="B385" s="8" t="n">
        <v>36</v>
      </c>
      <c r="C385" s="8" t="n">
        <v>31.8</v>
      </c>
      <c r="D385" s="8" t="n">
        <v>125</v>
      </c>
      <c r="E385" s="8" t="n">
        <v>131</v>
      </c>
      <c r="F385" s="8" t="n">
        <v>0</v>
      </c>
      <c r="G385" s="8" t="n">
        <v>1</v>
      </c>
      <c r="H385" s="8" t="n">
        <v>1</v>
      </c>
      <c r="I385" s="8" t="s">
        <v>1948</v>
      </c>
      <c r="J385" s="8" t="s">
        <v>1405</v>
      </c>
      <c r="K385" s="8" t="s">
        <v>1954</v>
      </c>
      <c r="L385" s="8" t="s">
        <v>1949</v>
      </c>
      <c r="M385" s="28" t="n">
        <f aca="false">'Disease Prediction Model'!$C$9+'Disease Prediction Model'!$C$10*B385+'Disease Prediction Model'!$C$11*C385+'Disease Prediction Model'!$C$12*D385+'Disease Prediction Model'!$C$13*E385+'Disease Prediction Model'!$C$14*F385+'Disease Prediction Model'!$C$15*G385</f>
        <v>0.542412</v>
      </c>
      <c r="N385" s="8" t="str">
        <f aca="false">IF(M385&gt;=0.5,"Yes","No")</f>
        <v>Yes</v>
      </c>
    </row>
    <row r="386" customFormat="false" ht="15" hidden="false" customHeight="false" outlineLevel="0" collapsed="false">
      <c r="A386" s="8" t="s">
        <v>2333</v>
      </c>
      <c r="B386" s="8" t="n">
        <v>31</v>
      </c>
      <c r="C386" s="8" t="n">
        <v>20.9</v>
      </c>
      <c r="D386" s="8" t="n">
        <v>124</v>
      </c>
      <c r="E386" s="8" t="n">
        <v>104</v>
      </c>
      <c r="F386" s="8" t="n">
        <v>0</v>
      </c>
      <c r="G386" s="8" t="n">
        <v>1</v>
      </c>
      <c r="H386" s="8" t="n">
        <v>0</v>
      </c>
      <c r="I386" s="8" t="s">
        <v>1948</v>
      </c>
      <c r="J386" s="8" t="s">
        <v>1405</v>
      </c>
      <c r="K386" s="8" t="s">
        <v>1948</v>
      </c>
      <c r="L386" s="8" t="s">
        <v>1949</v>
      </c>
      <c r="M386" s="28" t="n">
        <f aca="false">'Disease Prediction Model'!$C$9+'Disease Prediction Model'!$C$10*B386+'Disease Prediction Model'!$C$11*C386+'Disease Prediction Model'!$C$12*D386+'Disease Prediction Model'!$C$13*E386+'Disease Prediction Model'!$C$14*F386+'Disease Prediction Model'!$C$15*G386</f>
        <v>0.150061</v>
      </c>
      <c r="N386" s="8" t="str">
        <f aca="false">IF(M386&gt;=0.5,"Yes","No")</f>
        <v>No</v>
      </c>
    </row>
    <row r="387" customFormat="false" ht="15" hidden="false" customHeight="false" outlineLevel="0" collapsed="false">
      <c r="A387" s="8" t="s">
        <v>2334</v>
      </c>
      <c r="B387" s="8" t="n">
        <v>64</v>
      </c>
      <c r="C387" s="8" t="n">
        <v>25.5</v>
      </c>
      <c r="D387" s="8" t="n">
        <v>126</v>
      </c>
      <c r="E387" s="8" t="n">
        <v>85</v>
      </c>
      <c r="F387" s="8" t="n">
        <v>1</v>
      </c>
      <c r="G387" s="8" t="n">
        <v>0</v>
      </c>
      <c r="H387" s="8" t="n">
        <v>0</v>
      </c>
      <c r="I387" s="8" t="s">
        <v>1954</v>
      </c>
      <c r="J387" s="8" t="s">
        <v>1959</v>
      </c>
      <c r="K387" s="8" t="s">
        <v>1948</v>
      </c>
      <c r="L387" s="8" t="s">
        <v>1949</v>
      </c>
      <c r="M387" s="28" t="n">
        <f aca="false">'Disease Prediction Model'!$C$9+'Disease Prediction Model'!$C$10*B387+'Disease Prediction Model'!$C$11*C387+'Disease Prediction Model'!$C$12*D387+'Disease Prediction Model'!$C$13*E387+'Disease Prediction Model'!$C$14*F387+'Disease Prediction Model'!$C$15*G387</f>
        <v>0.363135</v>
      </c>
      <c r="N387" s="8" t="str">
        <f aca="false">IF(M387&gt;=0.5,"Yes","No")</f>
        <v>No</v>
      </c>
    </row>
    <row r="388" customFormat="false" ht="15" hidden="false" customHeight="false" outlineLevel="0" collapsed="false">
      <c r="A388" s="8" t="s">
        <v>2335</v>
      </c>
      <c r="B388" s="8" t="n">
        <v>29</v>
      </c>
      <c r="C388" s="8" t="n">
        <v>17.5</v>
      </c>
      <c r="D388" s="8" t="n">
        <v>106</v>
      </c>
      <c r="E388" s="8" t="n">
        <v>132</v>
      </c>
      <c r="F388" s="8" t="n">
        <v>0</v>
      </c>
      <c r="G388" s="8" t="n">
        <v>2</v>
      </c>
      <c r="H388" s="8" t="n">
        <v>0</v>
      </c>
      <c r="I388" s="8" t="s">
        <v>1948</v>
      </c>
      <c r="J388" s="8" t="s">
        <v>1951</v>
      </c>
      <c r="K388" s="8" t="s">
        <v>1948</v>
      </c>
      <c r="L388" s="8" t="s">
        <v>1949</v>
      </c>
      <c r="M388" s="28" t="n">
        <f aca="false">'Disease Prediction Model'!$C$9+'Disease Prediction Model'!$C$10*B388+'Disease Prediction Model'!$C$11*C388+'Disease Prediction Model'!$C$12*D388+'Disease Prediction Model'!$C$13*E388+'Disease Prediction Model'!$C$14*F388+'Disease Prediction Model'!$C$15*G388</f>
        <v>0.199475</v>
      </c>
      <c r="N388" s="8" t="str">
        <f aca="false">IF(M388&gt;=0.5,"Yes","No")</f>
        <v>No</v>
      </c>
    </row>
    <row r="389" customFormat="false" ht="15" hidden="false" customHeight="false" outlineLevel="0" collapsed="false">
      <c r="A389" s="8" t="s">
        <v>2336</v>
      </c>
      <c r="B389" s="8" t="n">
        <v>57</v>
      </c>
      <c r="C389" s="8" t="n">
        <v>25.6</v>
      </c>
      <c r="D389" s="8" t="n">
        <v>138</v>
      </c>
      <c r="E389" s="8" t="n">
        <v>83</v>
      </c>
      <c r="F389" s="8" t="n">
        <v>1</v>
      </c>
      <c r="G389" s="8" t="n">
        <v>1</v>
      </c>
      <c r="H389" s="8" t="n">
        <v>1</v>
      </c>
      <c r="I389" s="8" t="s">
        <v>1954</v>
      </c>
      <c r="J389" s="8" t="s">
        <v>1405</v>
      </c>
      <c r="K389" s="8" t="s">
        <v>1954</v>
      </c>
      <c r="L389" s="8" t="s">
        <v>1949</v>
      </c>
      <c r="M389" s="28" t="n">
        <f aca="false">'Disease Prediction Model'!$C$9+'Disease Prediction Model'!$C$10*B389+'Disease Prediction Model'!$C$11*C389+'Disease Prediction Model'!$C$12*D389+'Disease Prediction Model'!$C$13*E389+'Disease Prediction Model'!$C$14*F389+'Disease Prediction Model'!$C$15*G389</f>
        <v>0.267414</v>
      </c>
      <c r="N389" s="8" t="str">
        <f aca="false">IF(M389&gt;=0.5,"Yes","No")</f>
        <v>No</v>
      </c>
    </row>
    <row r="390" customFormat="false" ht="15" hidden="false" customHeight="false" outlineLevel="0" collapsed="false">
      <c r="A390" s="8" t="s">
        <v>2337</v>
      </c>
      <c r="B390" s="8" t="n">
        <v>65</v>
      </c>
      <c r="C390" s="8" t="n">
        <v>23.1</v>
      </c>
      <c r="D390" s="8" t="n">
        <v>134</v>
      </c>
      <c r="E390" s="8" t="n">
        <v>81</v>
      </c>
      <c r="F390" s="8" t="n">
        <v>0</v>
      </c>
      <c r="G390" s="8" t="n">
        <v>0</v>
      </c>
      <c r="H390" s="8" t="n">
        <v>0</v>
      </c>
      <c r="I390" s="8" t="s">
        <v>1948</v>
      </c>
      <c r="J390" s="8" t="s">
        <v>1959</v>
      </c>
      <c r="K390" s="8" t="s">
        <v>1948</v>
      </c>
      <c r="L390" s="8" t="s">
        <v>1949</v>
      </c>
      <c r="M390" s="28" t="n">
        <f aca="false">'Disease Prediction Model'!$C$9+'Disease Prediction Model'!$C$10*B390+'Disease Prediction Model'!$C$11*C390+'Disease Prediction Model'!$C$12*D390+'Disease Prediction Model'!$C$13*E390+'Disease Prediction Model'!$C$14*F390+'Disease Prediction Model'!$C$15*G390</f>
        <v>0.198079</v>
      </c>
      <c r="N390" s="8" t="str">
        <f aca="false">IF(M390&gt;=0.5,"Yes","No")</f>
        <v>No</v>
      </c>
    </row>
    <row r="391" customFormat="false" ht="15" hidden="false" customHeight="false" outlineLevel="0" collapsed="false">
      <c r="A391" s="8" t="s">
        <v>2338</v>
      </c>
      <c r="B391" s="8" t="n">
        <v>59</v>
      </c>
      <c r="C391" s="8" t="n">
        <v>24.9</v>
      </c>
      <c r="D391" s="8" t="n">
        <v>142</v>
      </c>
      <c r="E391" s="8" t="n">
        <v>106</v>
      </c>
      <c r="F391" s="8" t="n">
        <v>0</v>
      </c>
      <c r="G391" s="8" t="n">
        <v>0</v>
      </c>
      <c r="H391" s="8" t="n">
        <v>1</v>
      </c>
      <c r="I391" s="8" t="s">
        <v>1948</v>
      </c>
      <c r="J391" s="8" t="s">
        <v>1959</v>
      </c>
      <c r="K391" s="8" t="s">
        <v>1954</v>
      </c>
      <c r="L391" s="8" t="s">
        <v>1949</v>
      </c>
      <c r="M391" s="28" t="n">
        <f aca="false">'Disease Prediction Model'!$C$9+'Disease Prediction Model'!$C$10*B391+'Disease Prediction Model'!$C$11*C391+'Disease Prediction Model'!$C$12*D391+'Disease Prediction Model'!$C$13*E391+'Disease Prediction Model'!$C$14*F391+'Disease Prediction Model'!$C$15*G391</f>
        <v>0.461201</v>
      </c>
      <c r="N391" s="8" t="str">
        <f aca="false">IF(M391&gt;=0.5,"Yes","No")</f>
        <v>No</v>
      </c>
    </row>
    <row r="392" customFormat="false" ht="15" hidden="false" customHeight="false" outlineLevel="0" collapsed="false">
      <c r="A392" s="8" t="s">
        <v>2339</v>
      </c>
      <c r="B392" s="8" t="n">
        <v>50</v>
      </c>
      <c r="C392" s="8" t="n">
        <v>28.9</v>
      </c>
      <c r="D392" s="8" t="n">
        <v>106</v>
      </c>
      <c r="E392" s="8" t="n">
        <v>71</v>
      </c>
      <c r="F392" s="8" t="n">
        <v>0</v>
      </c>
      <c r="G392" s="8" t="n">
        <v>1</v>
      </c>
      <c r="H392" s="8" t="n">
        <v>0</v>
      </c>
      <c r="I392" s="8" t="s">
        <v>1948</v>
      </c>
      <c r="J392" s="8" t="s">
        <v>1405</v>
      </c>
      <c r="K392" s="8" t="s">
        <v>1948</v>
      </c>
      <c r="L392" s="8" t="s">
        <v>1949</v>
      </c>
      <c r="M392" s="28" t="n">
        <f aca="false">'Disease Prediction Model'!$C$9+'Disease Prediction Model'!$C$10*B392+'Disease Prediction Model'!$C$11*C392+'Disease Prediction Model'!$C$12*D392+'Disease Prediction Model'!$C$13*E392+'Disease Prediction Model'!$C$14*F392+'Disease Prediction Model'!$C$15*G392</f>
        <v>-0.073359</v>
      </c>
      <c r="N392" s="8" t="str">
        <f aca="false">IF(M392&gt;=0.5,"Yes","No")</f>
        <v>No</v>
      </c>
    </row>
    <row r="393" customFormat="false" ht="15" hidden="false" customHeight="false" outlineLevel="0" collapsed="false">
      <c r="A393" s="8" t="s">
        <v>2340</v>
      </c>
      <c r="B393" s="8" t="n">
        <v>38</v>
      </c>
      <c r="C393" s="8" t="n">
        <v>30.7</v>
      </c>
      <c r="D393" s="8" t="n">
        <v>133</v>
      </c>
      <c r="E393" s="8" t="n">
        <v>82</v>
      </c>
      <c r="F393" s="8" t="n">
        <v>0</v>
      </c>
      <c r="G393" s="8" t="n">
        <v>0</v>
      </c>
      <c r="H393" s="8" t="n">
        <v>0</v>
      </c>
      <c r="I393" s="8" t="s">
        <v>1948</v>
      </c>
      <c r="J393" s="8" t="s">
        <v>1959</v>
      </c>
      <c r="K393" s="8" t="s">
        <v>1948</v>
      </c>
      <c r="L393" s="8" t="s">
        <v>1949</v>
      </c>
      <c r="M393" s="28" t="n">
        <f aca="false">'Disease Prediction Model'!$C$9+'Disease Prediction Model'!$C$10*B393+'Disease Prediction Model'!$C$11*C393+'Disease Prediction Model'!$C$12*D393+'Disease Prediction Model'!$C$13*E393+'Disease Prediction Model'!$C$14*F393+'Disease Prediction Model'!$C$15*G393</f>
        <v>0.211483</v>
      </c>
      <c r="N393" s="8" t="str">
        <f aca="false">IF(M393&gt;=0.5,"Yes","No")</f>
        <v>No</v>
      </c>
    </row>
    <row r="394" customFormat="false" ht="15" hidden="false" customHeight="false" outlineLevel="0" collapsed="false">
      <c r="A394" s="8" t="s">
        <v>2341</v>
      </c>
      <c r="B394" s="8" t="n">
        <v>51</v>
      </c>
      <c r="C394" s="8" t="n">
        <v>25.7</v>
      </c>
      <c r="D394" s="8" t="n">
        <v>113</v>
      </c>
      <c r="E394" s="8" t="n">
        <v>129</v>
      </c>
      <c r="F394" s="8" t="n">
        <v>1</v>
      </c>
      <c r="G394" s="8" t="n">
        <v>1</v>
      </c>
      <c r="H394" s="8" t="n">
        <v>1</v>
      </c>
      <c r="I394" s="8" t="s">
        <v>1954</v>
      </c>
      <c r="J394" s="8" t="s">
        <v>1405</v>
      </c>
      <c r="K394" s="8" t="s">
        <v>1954</v>
      </c>
      <c r="L394" s="8" t="s">
        <v>1949</v>
      </c>
      <c r="M394" s="28" t="n">
        <f aca="false">'Disease Prediction Model'!$C$9+'Disease Prediction Model'!$C$10*B394+'Disease Prediction Model'!$C$11*C394+'Disease Prediction Model'!$C$12*D394+'Disease Prediction Model'!$C$13*E394+'Disease Prediction Model'!$C$14*F394+'Disease Prediction Model'!$C$15*G394</f>
        <v>0.587493</v>
      </c>
      <c r="N394" s="8" t="str">
        <f aca="false">IF(M394&gt;=0.5,"Yes","No")</f>
        <v>Yes</v>
      </c>
    </row>
    <row r="395" customFormat="false" ht="15" hidden="false" customHeight="false" outlineLevel="0" collapsed="false">
      <c r="A395" s="8" t="s">
        <v>2342</v>
      </c>
      <c r="B395" s="8" t="n">
        <v>34</v>
      </c>
      <c r="C395" s="8" t="n">
        <v>28.4</v>
      </c>
      <c r="D395" s="8" t="n">
        <v>138</v>
      </c>
      <c r="E395" s="8" t="n">
        <v>102</v>
      </c>
      <c r="F395" s="8" t="n">
        <v>1</v>
      </c>
      <c r="G395" s="8" t="n">
        <v>1</v>
      </c>
      <c r="H395" s="8" t="n">
        <v>0</v>
      </c>
      <c r="I395" s="8" t="s">
        <v>1954</v>
      </c>
      <c r="J395" s="8" t="s">
        <v>1405</v>
      </c>
      <c r="K395" s="8" t="s">
        <v>1948</v>
      </c>
      <c r="L395" s="8" t="s">
        <v>1949</v>
      </c>
      <c r="M395" s="28" t="n">
        <f aca="false">'Disease Prediction Model'!$C$9+'Disease Prediction Model'!$C$10*B395+'Disease Prediction Model'!$C$11*C395+'Disease Prediction Model'!$C$12*D395+'Disease Prediction Model'!$C$13*E395+'Disease Prediction Model'!$C$14*F395+'Disease Prediction Model'!$C$15*G395</f>
        <v>0.408086</v>
      </c>
      <c r="N395" s="8" t="str">
        <f aca="false">IF(M395&gt;=0.5,"Yes","No")</f>
        <v>No</v>
      </c>
    </row>
    <row r="396" customFormat="false" ht="15" hidden="false" customHeight="false" outlineLevel="0" collapsed="false">
      <c r="A396" s="8" t="s">
        <v>2343</v>
      </c>
      <c r="B396" s="8" t="n">
        <v>54</v>
      </c>
      <c r="C396" s="8" t="n">
        <v>25.5</v>
      </c>
      <c r="D396" s="8" t="n">
        <v>153</v>
      </c>
      <c r="E396" s="8" t="n">
        <v>112</v>
      </c>
      <c r="F396" s="8" t="n">
        <v>0</v>
      </c>
      <c r="G396" s="8" t="n">
        <v>0</v>
      </c>
      <c r="H396" s="8" t="n">
        <v>1</v>
      </c>
      <c r="I396" s="8" t="s">
        <v>1948</v>
      </c>
      <c r="J396" s="8" t="s">
        <v>1959</v>
      </c>
      <c r="K396" s="8" t="s">
        <v>1954</v>
      </c>
      <c r="L396" s="8" t="s">
        <v>1949</v>
      </c>
      <c r="M396" s="28" t="n">
        <f aca="false">'Disease Prediction Model'!$C$9+'Disease Prediction Model'!$C$10*B396+'Disease Prediction Model'!$C$11*C396+'Disease Prediction Model'!$C$12*D396+'Disease Prediction Model'!$C$13*E396+'Disease Prediction Model'!$C$14*F396+'Disease Prediction Model'!$C$15*G396</f>
        <v>0.548375</v>
      </c>
      <c r="N396" s="8" t="str">
        <f aca="false">IF(M396&gt;=0.5,"Yes","No")</f>
        <v>Yes</v>
      </c>
    </row>
    <row r="397" customFormat="false" ht="15" hidden="false" customHeight="false" outlineLevel="0" collapsed="false">
      <c r="A397" s="8" t="s">
        <v>2344</v>
      </c>
      <c r="B397" s="8" t="n">
        <v>58</v>
      </c>
      <c r="C397" s="8" t="n">
        <v>36.8</v>
      </c>
      <c r="D397" s="8" t="n">
        <v>115</v>
      </c>
      <c r="E397" s="8" t="n">
        <v>86</v>
      </c>
      <c r="F397" s="8" t="n">
        <v>0</v>
      </c>
      <c r="G397" s="8" t="n">
        <v>2</v>
      </c>
      <c r="H397" s="8" t="n">
        <v>0</v>
      </c>
      <c r="I397" s="8" t="s">
        <v>1948</v>
      </c>
      <c r="J397" s="8" t="s">
        <v>1951</v>
      </c>
      <c r="K397" s="8" t="s">
        <v>1948</v>
      </c>
      <c r="L397" s="8" t="s">
        <v>1949</v>
      </c>
      <c r="M397" s="28" t="n">
        <f aca="false">'Disease Prediction Model'!$C$9+'Disease Prediction Model'!$C$10*B397+'Disease Prediction Model'!$C$11*C397+'Disease Prediction Model'!$C$12*D397+'Disease Prediction Model'!$C$13*E397+'Disease Prediction Model'!$C$14*F397+'Disease Prediction Model'!$C$15*G397</f>
        <v>0.110242</v>
      </c>
      <c r="N397" s="8" t="str">
        <f aca="false">IF(M397&gt;=0.5,"Yes","No")</f>
        <v>No</v>
      </c>
    </row>
    <row r="398" customFormat="false" ht="15" hidden="false" customHeight="false" outlineLevel="0" collapsed="false">
      <c r="A398" s="8" t="s">
        <v>2345</v>
      </c>
      <c r="B398" s="8" t="n">
        <v>62</v>
      </c>
      <c r="C398" s="8" t="n">
        <v>26.8</v>
      </c>
      <c r="D398" s="8" t="n">
        <v>115</v>
      </c>
      <c r="E398" s="8" t="n">
        <v>95</v>
      </c>
      <c r="F398" s="8" t="n">
        <v>0</v>
      </c>
      <c r="G398" s="8" t="n">
        <v>0</v>
      </c>
      <c r="H398" s="8" t="n">
        <v>0</v>
      </c>
      <c r="I398" s="8" t="s">
        <v>1948</v>
      </c>
      <c r="J398" s="8" t="s">
        <v>1959</v>
      </c>
      <c r="K398" s="8" t="s">
        <v>1948</v>
      </c>
      <c r="L398" s="8" t="s">
        <v>1949</v>
      </c>
      <c r="M398" s="28" t="n">
        <f aca="false">'Disease Prediction Model'!$C$9+'Disease Prediction Model'!$C$10*B398+'Disease Prediction Model'!$C$11*C398+'Disease Prediction Model'!$C$12*D398+'Disease Prediction Model'!$C$13*E398+'Disease Prediction Model'!$C$14*F398+'Disease Prediction Model'!$C$15*G398</f>
        <v>0.293082</v>
      </c>
      <c r="N398" s="8" t="str">
        <f aca="false">IF(M398&gt;=0.5,"Yes","No")</f>
        <v>No</v>
      </c>
    </row>
    <row r="399" customFormat="false" ht="15" hidden="false" customHeight="false" outlineLevel="0" collapsed="false">
      <c r="A399" s="8" t="s">
        <v>2346</v>
      </c>
      <c r="B399" s="8" t="n">
        <v>57</v>
      </c>
      <c r="C399" s="8" t="n">
        <v>30.7</v>
      </c>
      <c r="D399" s="8" t="n">
        <v>103</v>
      </c>
      <c r="E399" s="8" t="n">
        <v>89</v>
      </c>
      <c r="F399" s="8" t="n">
        <v>0</v>
      </c>
      <c r="G399" s="8" t="n">
        <v>0</v>
      </c>
      <c r="H399" s="8" t="n">
        <v>1</v>
      </c>
      <c r="I399" s="8" t="s">
        <v>1948</v>
      </c>
      <c r="J399" s="8" t="s">
        <v>1959</v>
      </c>
      <c r="K399" s="8" t="s">
        <v>1954</v>
      </c>
      <c r="L399" s="8" t="s">
        <v>1949</v>
      </c>
      <c r="M399" s="28" t="n">
        <f aca="false">'Disease Prediction Model'!$C$9+'Disease Prediction Model'!$C$10*B399+'Disease Prediction Model'!$C$11*C399+'Disease Prediction Model'!$C$12*D399+'Disease Prediction Model'!$C$13*E399+'Disease Prediction Model'!$C$14*F399+'Disease Prediction Model'!$C$15*G399</f>
        <v>0.224383</v>
      </c>
      <c r="N399" s="8" t="str">
        <f aca="false">IF(M399&gt;=0.5,"Yes","No")</f>
        <v>No</v>
      </c>
    </row>
    <row r="400" customFormat="false" ht="15" hidden="false" customHeight="false" outlineLevel="0" collapsed="false">
      <c r="A400" s="8" t="s">
        <v>2347</v>
      </c>
      <c r="B400" s="8" t="n">
        <v>44</v>
      </c>
      <c r="C400" s="8" t="n">
        <v>27</v>
      </c>
      <c r="D400" s="8" t="n">
        <v>132</v>
      </c>
      <c r="E400" s="8" t="n">
        <v>80</v>
      </c>
      <c r="F400" s="8" t="n">
        <v>1</v>
      </c>
      <c r="G400" s="8" t="n">
        <v>1</v>
      </c>
      <c r="H400" s="8" t="n">
        <v>0</v>
      </c>
      <c r="I400" s="8" t="s">
        <v>1954</v>
      </c>
      <c r="J400" s="8" t="s">
        <v>1405</v>
      </c>
      <c r="K400" s="8" t="s">
        <v>1948</v>
      </c>
      <c r="L400" s="8" t="s">
        <v>1949</v>
      </c>
      <c r="M400" s="28" t="n">
        <f aca="false">'Disease Prediction Model'!$C$9+'Disease Prediction Model'!$C$10*B400+'Disease Prediction Model'!$C$11*C400+'Disease Prediction Model'!$C$12*D400+'Disease Prediction Model'!$C$13*E400+'Disease Prediction Model'!$C$14*F400+'Disease Prediction Model'!$C$15*G400</f>
        <v>0.19614</v>
      </c>
      <c r="N400" s="8" t="str">
        <f aca="false">IF(M400&gt;=0.5,"Yes","No")</f>
        <v>No</v>
      </c>
    </row>
    <row r="401" customFormat="false" ht="15" hidden="false" customHeight="false" outlineLevel="0" collapsed="false">
      <c r="A401" s="8" t="s">
        <v>2348</v>
      </c>
      <c r="B401" s="8" t="n">
        <v>44</v>
      </c>
      <c r="C401" s="8" t="n">
        <v>21.1</v>
      </c>
      <c r="D401" s="8" t="n">
        <v>136</v>
      </c>
      <c r="E401" s="8" t="n">
        <v>100</v>
      </c>
      <c r="F401" s="8" t="n">
        <v>0</v>
      </c>
      <c r="G401" s="8" t="n">
        <v>2</v>
      </c>
      <c r="H401" s="8" t="n">
        <v>0</v>
      </c>
      <c r="I401" s="8" t="s">
        <v>1948</v>
      </c>
      <c r="J401" s="8" t="s">
        <v>1951</v>
      </c>
      <c r="K401" s="8" t="s">
        <v>1948</v>
      </c>
      <c r="L401" s="8" t="s">
        <v>1949</v>
      </c>
      <c r="M401" s="28" t="n">
        <f aca="false">'Disease Prediction Model'!$C$9+'Disease Prediction Model'!$C$10*B401+'Disease Prediction Model'!$C$11*C401+'Disease Prediction Model'!$C$12*D401+'Disease Prediction Model'!$C$13*E401+'Disease Prediction Model'!$C$14*F401+'Disease Prediction Model'!$C$15*G401</f>
        <v>0.0953589999999999</v>
      </c>
      <c r="N401" s="8" t="str">
        <f aca="false">IF(M401&gt;=0.5,"Yes","No")</f>
        <v>No</v>
      </c>
    </row>
    <row r="402" customFormat="false" ht="15" hidden="false" customHeight="false" outlineLevel="0" collapsed="false">
      <c r="A402" s="8" t="s">
        <v>2349</v>
      </c>
      <c r="B402" s="8" t="n">
        <v>69</v>
      </c>
      <c r="C402" s="8" t="n">
        <v>29.2</v>
      </c>
      <c r="D402" s="8" t="n">
        <v>133</v>
      </c>
      <c r="E402" s="8" t="n">
        <v>106</v>
      </c>
      <c r="F402" s="8" t="n">
        <v>0</v>
      </c>
      <c r="G402" s="8" t="n">
        <v>2</v>
      </c>
      <c r="H402" s="8" t="n">
        <v>1</v>
      </c>
      <c r="I402" s="8" t="s">
        <v>1948</v>
      </c>
      <c r="J402" s="8" t="s">
        <v>1951</v>
      </c>
      <c r="K402" s="8" t="s">
        <v>1954</v>
      </c>
      <c r="L402" s="8" t="s">
        <v>1949</v>
      </c>
      <c r="M402" s="28" t="n">
        <f aca="false">'Disease Prediction Model'!$C$9+'Disease Prediction Model'!$C$10*B402+'Disease Prediction Model'!$C$11*C402+'Disease Prediction Model'!$C$12*D402+'Disease Prediction Model'!$C$13*E402+'Disease Prediction Model'!$C$14*F402+'Disease Prediction Model'!$C$15*G402</f>
        <v>0.305438</v>
      </c>
      <c r="N402" s="8" t="str">
        <f aca="false">IF(M402&gt;=0.5,"Yes","No")</f>
        <v>No</v>
      </c>
    </row>
    <row r="403" customFormat="false" ht="15" hidden="false" customHeight="false" outlineLevel="0" collapsed="false">
      <c r="A403" s="8" t="s">
        <v>2350</v>
      </c>
      <c r="B403" s="8" t="n">
        <v>52</v>
      </c>
      <c r="C403" s="8" t="n">
        <v>30.3</v>
      </c>
      <c r="D403" s="8" t="n">
        <v>132</v>
      </c>
      <c r="E403" s="8" t="n">
        <v>92</v>
      </c>
      <c r="F403" s="8" t="n">
        <v>0</v>
      </c>
      <c r="G403" s="8" t="n">
        <v>2</v>
      </c>
      <c r="H403" s="8" t="n">
        <v>0</v>
      </c>
      <c r="I403" s="8" t="s">
        <v>1948</v>
      </c>
      <c r="J403" s="8" t="s">
        <v>1951</v>
      </c>
      <c r="K403" s="8" t="s">
        <v>1948</v>
      </c>
      <c r="L403" s="8" t="s">
        <v>1949</v>
      </c>
      <c r="M403" s="28" t="n">
        <f aca="false">'Disease Prediction Model'!$C$9+'Disease Prediction Model'!$C$10*B403+'Disease Prediction Model'!$C$11*C403+'Disease Prediction Model'!$C$12*D403+'Disease Prediction Model'!$C$13*E403+'Disease Prediction Model'!$C$14*F403+'Disease Prediction Model'!$C$15*G403</f>
        <v>0.135107</v>
      </c>
      <c r="N403" s="8" t="str">
        <f aca="false">IF(M403&gt;=0.5,"Yes","No")</f>
        <v>No</v>
      </c>
    </row>
    <row r="404" customFormat="false" ht="15" hidden="false" customHeight="false" outlineLevel="0" collapsed="false">
      <c r="A404" s="8" t="s">
        <v>2351</v>
      </c>
      <c r="B404" s="8" t="n">
        <v>56</v>
      </c>
      <c r="C404" s="8" t="n">
        <v>19.1</v>
      </c>
      <c r="D404" s="8" t="n">
        <v>138</v>
      </c>
      <c r="E404" s="8" t="n">
        <v>79</v>
      </c>
      <c r="F404" s="8" t="n">
        <v>0</v>
      </c>
      <c r="G404" s="8" t="n">
        <v>1</v>
      </c>
      <c r="H404" s="8" t="n">
        <v>0</v>
      </c>
      <c r="I404" s="8" t="s">
        <v>1948</v>
      </c>
      <c r="J404" s="8" t="s">
        <v>1405</v>
      </c>
      <c r="K404" s="8" t="s">
        <v>1948</v>
      </c>
      <c r="L404" s="8" t="s">
        <v>1949</v>
      </c>
      <c r="M404" s="28" t="n">
        <f aca="false">'Disease Prediction Model'!$C$9+'Disease Prediction Model'!$C$10*B404+'Disease Prediction Model'!$C$11*C404+'Disease Prediction Model'!$C$12*D404+'Disease Prediction Model'!$C$13*E404+'Disease Prediction Model'!$C$14*F404+'Disease Prediction Model'!$C$15*G404</f>
        <v>0.0211790000000001</v>
      </c>
      <c r="N404" s="8" t="str">
        <f aca="false">IF(M404&gt;=0.5,"Yes","No")</f>
        <v>No</v>
      </c>
    </row>
    <row r="405" customFormat="false" ht="15" hidden="false" customHeight="false" outlineLevel="0" collapsed="false">
      <c r="A405" s="8" t="s">
        <v>2352</v>
      </c>
      <c r="B405" s="8" t="n">
        <v>70</v>
      </c>
      <c r="C405" s="8" t="n">
        <v>28.9</v>
      </c>
      <c r="D405" s="8" t="n">
        <v>136</v>
      </c>
      <c r="E405" s="8" t="n">
        <v>76</v>
      </c>
      <c r="F405" s="8" t="n">
        <v>0</v>
      </c>
      <c r="G405" s="8" t="n">
        <v>1</v>
      </c>
      <c r="H405" s="8" t="n">
        <v>0</v>
      </c>
      <c r="I405" s="8" t="s">
        <v>1948</v>
      </c>
      <c r="J405" s="8" t="s">
        <v>1405</v>
      </c>
      <c r="K405" s="8" t="s">
        <v>1948</v>
      </c>
      <c r="L405" s="8" t="s">
        <v>1949</v>
      </c>
      <c r="M405" s="28" t="n">
        <f aca="false">'Disease Prediction Model'!$C$9+'Disease Prediction Model'!$C$10*B405+'Disease Prediction Model'!$C$11*C405+'Disease Prediction Model'!$C$12*D405+'Disease Prediction Model'!$C$13*E405+'Disease Prediction Model'!$C$14*F405+'Disease Prediction Model'!$C$15*G405</f>
        <v>0.138741</v>
      </c>
      <c r="N405" s="8" t="str">
        <f aca="false">IF(M405&gt;=0.5,"Yes","No")</f>
        <v>No</v>
      </c>
    </row>
    <row r="406" customFormat="false" ht="15" hidden="false" customHeight="false" outlineLevel="0" collapsed="false">
      <c r="A406" s="8" t="s">
        <v>2353</v>
      </c>
      <c r="B406" s="8" t="n">
        <v>54</v>
      </c>
      <c r="C406" s="8" t="n">
        <v>21.1</v>
      </c>
      <c r="D406" s="8" t="n">
        <v>141</v>
      </c>
      <c r="E406" s="8" t="n">
        <v>85</v>
      </c>
      <c r="F406" s="8" t="n">
        <v>0</v>
      </c>
      <c r="G406" s="8" t="n">
        <v>0</v>
      </c>
      <c r="H406" s="8" t="n">
        <v>1</v>
      </c>
      <c r="I406" s="8" t="s">
        <v>1948</v>
      </c>
      <c r="J406" s="8" t="s">
        <v>1959</v>
      </c>
      <c r="K406" s="8" t="s">
        <v>1954</v>
      </c>
      <c r="L406" s="8" t="s">
        <v>1949</v>
      </c>
      <c r="M406" s="28" t="n">
        <f aca="false">'Disease Prediction Model'!$C$9+'Disease Prediction Model'!$C$10*B406+'Disease Prediction Model'!$C$11*C406+'Disease Prediction Model'!$C$12*D406+'Disease Prediction Model'!$C$13*E406+'Disease Prediction Model'!$C$14*F406+'Disease Prediction Model'!$C$15*G406</f>
        <v>0.205279</v>
      </c>
      <c r="N406" s="8" t="str">
        <f aca="false">IF(M406&gt;=0.5,"Yes","No")</f>
        <v>No</v>
      </c>
    </row>
    <row r="407" customFormat="false" ht="15" hidden="false" customHeight="false" outlineLevel="0" collapsed="false">
      <c r="A407" s="8" t="s">
        <v>2354</v>
      </c>
      <c r="B407" s="8" t="n">
        <v>41</v>
      </c>
      <c r="C407" s="8" t="n">
        <v>22.5</v>
      </c>
      <c r="D407" s="8" t="n">
        <v>141</v>
      </c>
      <c r="E407" s="8" t="n">
        <v>120</v>
      </c>
      <c r="F407" s="8" t="n">
        <v>0</v>
      </c>
      <c r="G407" s="8" t="n">
        <v>0</v>
      </c>
      <c r="H407" s="8" t="n">
        <v>1</v>
      </c>
      <c r="I407" s="8" t="s">
        <v>1948</v>
      </c>
      <c r="J407" s="8" t="s">
        <v>1959</v>
      </c>
      <c r="K407" s="8" t="s">
        <v>1954</v>
      </c>
      <c r="L407" s="8" t="s">
        <v>1949</v>
      </c>
      <c r="M407" s="28" t="n">
        <f aca="false">'Disease Prediction Model'!$C$9+'Disease Prediction Model'!$C$10*B407+'Disease Prediction Model'!$C$11*C407+'Disease Prediction Model'!$C$12*D407+'Disease Prediction Model'!$C$13*E407+'Disease Prediction Model'!$C$14*F407+'Disease Prediction Model'!$C$15*G407</f>
        <v>0.507365</v>
      </c>
      <c r="N407" s="8" t="str">
        <f aca="false">IF(M407&gt;=0.5,"Yes","No")</f>
        <v>Yes</v>
      </c>
    </row>
    <row r="408" customFormat="false" ht="15" hidden="false" customHeight="false" outlineLevel="0" collapsed="false">
      <c r="A408" s="8" t="s">
        <v>2355</v>
      </c>
      <c r="B408" s="8" t="n">
        <v>58</v>
      </c>
      <c r="C408" s="8" t="n">
        <v>31.1</v>
      </c>
      <c r="D408" s="8" t="n">
        <v>102</v>
      </c>
      <c r="E408" s="8" t="n">
        <v>111</v>
      </c>
      <c r="F408" s="8" t="n">
        <v>0</v>
      </c>
      <c r="G408" s="8" t="n">
        <v>0</v>
      </c>
      <c r="H408" s="8" t="n">
        <v>0</v>
      </c>
      <c r="I408" s="8" t="s">
        <v>1948</v>
      </c>
      <c r="J408" s="8" t="s">
        <v>1959</v>
      </c>
      <c r="K408" s="8" t="s">
        <v>1948</v>
      </c>
      <c r="L408" s="8" t="s">
        <v>1949</v>
      </c>
      <c r="M408" s="28" t="n">
        <f aca="false">'Disease Prediction Model'!$C$9+'Disease Prediction Model'!$C$10*B408+'Disease Prediction Model'!$C$11*C408+'Disease Prediction Model'!$C$12*D408+'Disease Prediction Model'!$C$13*E408+'Disease Prediction Model'!$C$14*F408+'Disease Prediction Model'!$C$15*G408</f>
        <v>0.431999</v>
      </c>
      <c r="N408" s="8" t="str">
        <f aca="false">IF(M408&gt;=0.5,"Yes","No")</f>
        <v>No</v>
      </c>
    </row>
    <row r="409" customFormat="false" ht="15" hidden="false" customHeight="false" outlineLevel="0" collapsed="false">
      <c r="A409" s="8" t="s">
        <v>2356</v>
      </c>
      <c r="B409" s="8" t="n">
        <v>51</v>
      </c>
      <c r="C409" s="8" t="n">
        <v>24.6</v>
      </c>
      <c r="D409" s="8" t="n">
        <v>145</v>
      </c>
      <c r="E409" s="8" t="n">
        <v>89</v>
      </c>
      <c r="F409" s="8" t="n">
        <v>0</v>
      </c>
      <c r="G409" s="8" t="n">
        <v>0</v>
      </c>
      <c r="H409" s="8" t="n">
        <v>0</v>
      </c>
      <c r="I409" s="8" t="s">
        <v>1948</v>
      </c>
      <c r="J409" s="8" t="s">
        <v>1959</v>
      </c>
      <c r="K409" s="8" t="s">
        <v>1948</v>
      </c>
      <c r="L409" s="8" t="s">
        <v>1949</v>
      </c>
      <c r="M409" s="28" t="n">
        <f aca="false">'Disease Prediction Model'!$C$9+'Disease Prediction Model'!$C$10*B409+'Disease Prediction Model'!$C$11*C409+'Disease Prediction Model'!$C$12*D409+'Disease Prediction Model'!$C$13*E409+'Disease Prediction Model'!$C$14*F409+'Disease Prediction Model'!$C$15*G409</f>
        <v>0.287744</v>
      </c>
      <c r="N409" s="8" t="str">
        <f aca="false">IF(M409&gt;=0.5,"Yes","No")</f>
        <v>No</v>
      </c>
    </row>
    <row r="410" customFormat="false" ht="15" hidden="false" customHeight="false" outlineLevel="0" collapsed="false">
      <c r="A410" s="8" t="s">
        <v>2357</v>
      </c>
      <c r="B410" s="8" t="n">
        <v>39</v>
      </c>
      <c r="C410" s="8" t="n">
        <v>23.5</v>
      </c>
      <c r="D410" s="8" t="n">
        <v>131</v>
      </c>
      <c r="E410" s="8" t="n">
        <v>80</v>
      </c>
      <c r="F410" s="8" t="n">
        <v>0</v>
      </c>
      <c r="G410" s="8" t="n">
        <v>1</v>
      </c>
      <c r="H410" s="8" t="n">
        <v>0</v>
      </c>
      <c r="I410" s="8" t="s">
        <v>1948</v>
      </c>
      <c r="J410" s="8" t="s">
        <v>1405</v>
      </c>
      <c r="K410" s="8" t="s">
        <v>1948</v>
      </c>
      <c r="L410" s="8" t="s">
        <v>1949</v>
      </c>
      <c r="M410" s="28" t="n">
        <f aca="false">'Disease Prediction Model'!$C$9+'Disease Prediction Model'!$C$10*B410+'Disease Prediction Model'!$C$11*C410+'Disease Prediction Model'!$C$12*D410+'Disease Prediction Model'!$C$13*E410+'Disease Prediction Model'!$C$14*F410+'Disease Prediction Model'!$C$15*G410</f>
        <v>0.00585499999999989</v>
      </c>
      <c r="N410" s="8" t="str">
        <f aca="false">IF(M410&gt;=0.5,"Yes","No")</f>
        <v>No</v>
      </c>
    </row>
    <row r="411" customFormat="false" ht="15" hidden="false" customHeight="false" outlineLevel="0" collapsed="false">
      <c r="A411" s="8" t="s">
        <v>2358</v>
      </c>
      <c r="B411" s="8" t="n">
        <v>50</v>
      </c>
      <c r="C411" s="8" t="n">
        <v>22.6</v>
      </c>
      <c r="D411" s="8" t="n">
        <v>128</v>
      </c>
      <c r="E411" s="8" t="n">
        <v>122</v>
      </c>
      <c r="F411" s="8" t="n">
        <v>0</v>
      </c>
      <c r="G411" s="8" t="n">
        <v>1</v>
      </c>
      <c r="H411" s="8" t="n">
        <v>0</v>
      </c>
      <c r="I411" s="8" t="s">
        <v>1948</v>
      </c>
      <c r="J411" s="8" t="s">
        <v>1405</v>
      </c>
      <c r="K411" s="8" t="s">
        <v>1948</v>
      </c>
      <c r="L411" s="8" t="s">
        <v>1949</v>
      </c>
      <c r="M411" s="28" t="n">
        <f aca="false">'Disease Prediction Model'!$C$9+'Disease Prediction Model'!$C$10*B411+'Disease Prediction Model'!$C$11*C411+'Disease Prediction Model'!$C$12*D411+'Disease Prediction Model'!$C$13*E411+'Disease Prediction Model'!$C$14*F411+'Disease Prediction Model'!$C$15*G411</f>
        <v>0.405904</v>
      </c>
      <c r="N411" s="8" t="str">
        <f aca="false">IF(M411&gt;=0.5,"Yes","No")</f>
        <v>No</v>
      </c>
    </row>
    <row r="412" customFormat="false" ht="15" hidden="false" customHeight="false" outlineLevel="0" collapsed="false">
      <c r="A412" s="8" t="s">
        <v>2359</v>
      </c>
      <c r="B412" s="8" t="n">
        <v>51</v>
      </c>
      <c r="C412" s="8" t="n">
        <v>26.8</v>
      </c>
      <c r="D412" s="8" t="n">
        <v>132</v>
      </c>
      <c r="E412" s="8" t="n">
        <v>102</v>
      </c>
      <c r="F412" s="8" t="n">
        <v>1</v>
      </c>
      <c r="G412" s="8" t="n">
        <v>2</v>
      </c>
      <c r="H412" s="8" t="n">
        <v>1</v>
      </c>
      <c r="I412" s="8" t="s">
        <v>1954</v>
      </c>
      <c r="J412" s="8" t="s">
        <v>1951</v>
      </c>
      <c r="K412" s="8" t="s">
        <v>1954</v>
      </c>
      <c r="L412" s="8" t="s">
        <v>1949</v>
      </c>
      <c r="M412" s="28" t="n">
        <f aca="false">'Disease Prediction Model'!$C$9+'Disease Prediction Model'!$C$10*B412+'Disease Prediction Model'!$C$11*C412+'Disease Prediction Model'!$C$12*D412+'Disease Prediction Model'!$C$13*E412+'Disease Prediction Model'!$C$14*F412+'Disease Prediction Model'!$C$15*G412</f>
        <v>0.317162</v>
      </c>
      <c r="N412" s="8" t="str">
        <f aca="false">IF(M412&gt;=0.5,"Yes","No")</f>
        <v>No</v>
      </c>
    </row>
    <row r="413" customFormat="false" ht="15" hidden="false" customHeight="false" outlineLevel="0" collapsed="false">
      <c r="A413" s="8" t="s">
        <v>2360</v>
      </c>
      <c r="B413" s="8" t="n">
        <v>45</v>
      </c>
      <c r="C413" s="8" t="n">
        <v>26.6</v>
      </c>
      <c r="D413" s="8" t="n">
        <v>119</v>
      </c>
      <c r="E413" s="8" t="n">
        <v>84</v>
      </c>
      <c r="F413" s="8" t="n">
        <v>0</v>
      </c>
      <c r="G413" s="8" t="n">
        <v>1</v>
      </c>
      <c r="H413" s="8" t="n">
        <v>0</v>
      </c>
      <c r="I413" s="8" t="s">
        <v>1948</v>
      </c>
      <c r="J413" s="8" t="s">
        <v>1405</v>
      </c>
      <c r="K413" s="8" t="s">
        <v>1948</v>
      </c>
      <c r="L413" s="8" t="s">
        <v>1949</v>
      </c>
      <c r="M413" s="28" t="n">
        <f aca="false">'Disease Prediction Model'!$C$9+'Disease Prediction Model'!$C$10*B413+'Disease Prediction Model'!$C$11*C413+'Disease Prediction Model'!$C$12*D413+'Disease Prediction Model'!$C$13*E413+'Disease Prediction Model'!$C$14*F413+'Disease Prediction Model'!$C$15*G413</f>
        <v>0.052764</v>
      </c>
      <c r="N413" s="8" t="str">
        <f aca="false">IF(M413&gt;=0.5,"Yes","No")</f>
        <v>No</v>
      </c>
    </row>
    <row r="414" customFormat="false" ht="15" hidden="false" customHeight="false" outlineLevel="0" collapsed="false">
      <c r="A414" s="8" t="s">
        <v>2361</v>
      </c>
      <c r="B414" s="8" t="n">
        <v>47</v>
      </c>
      <c r="C414" s="8" t="n">
        <v>15.5</v>
      </c>
      <c r="D414" s="8" t="n">
        <v>125</v>
      </c>
      <c r="E414" s="8" t="n">
        <v>130</v>
      </c>
      <c r="F414" s="8" t="n">
        <v>0</v>
      </c>
      <c r="G414" s="8" t="n">
        <v>1</v>
      </c>
      <c r="H414" s="8" t="n">
        <v>1</v>
      </c>
      <c r="I414" s="8" t="s">
        <v>1948</v>
      </c>
      <c r="J414" s="8" t="s">
        <v>1405</v>
      </c>
      <c r="K414" s="8" t="s">
        <v>1954</v>
      </c>
      <c r="L414" s="8" t="s">
        <v>1949</v>
      </c>
      <c r="M414" s="28" t="n">
        <f aca="false">'Disease Prediction Model'!$C$9+'Disease Prediction Model'!$C$10*B414+'Disease Prediction Model'!$C$11*C414+'Disease Prediction Model'!$C$12*D414+'Disease Prediction Model'!$C$13*E414+'Disease Prediction Model'!$C$14*F414+'Disease Prediction Model'!$C$15*G414</f>
        <v>0.379615</v>
      </c>
      <c r="N414" s="8" t="str">
        <f aca="false">IF(M414&gt;=0.5,"Yes","No")</f>
        <v>No</v>
      </c>
    </row>
    <row r="415" customFormat="false" ht="15" hidden="false" customHeight="false" outlineLevel="0" collapsed="false">
      <c r="A415" s="8" t="s">
        <v>2362</v>
      </c>
      <c r="B415" s="8" t="n">
        <v>43</v>
      </c>
      <c r="C415" s="8" t="n">
        <v>33.2</v>
      </c>
      <c r="D415" s="8" t="n">
        <v>134</v>
      </c>
      <c r="E415" s="8" t="n">
        <v>111</v>
      </c>
      <c r="F415" s="8" t="n">
        <v>1</v>
      </c>
      <c r="G415" s="8" t="n">
        <v>2</v>
      </c>
      <c r="H415" s="8" t="n">
        <v>0</v>
      </c>
      <c r="I415" s="8" t="s">
        <v>1954</v>
      </c>
      <c r="J415" s="8" t="s">
        <v>1951</v>
      </c>
      <c r="K415" s="8" t="s">
        <v>1948</v>
      </c>
      <c r="L415" s="8" t="s">
        <v>1949</v>
      </c>
      <c r="M415" s="28" t="n">
        <f aca="false">'Disease Prediction Model'!$C$9+'Disease Prediction Model'!$C$10*B415+'Disease Prediction Model'!$C$11*C415+'Disease Prediction Model'!$C$12*D415+'Disease Prediction Model'!$C$13*E415+'Disease Prediction Model'!$C$14*F415+'Disease Prediction Model'!$C$15*G415</f>
        <v>0.457198</v>
      </c>
      <c r="N415" s="8" t="str">
        <f aca="false">IF(M415&gt;=0.5,"Yes","No")</f>
        <v>No</v>
      </c>
    </row>
    <row r="416" customFormat="false" ht="15" hidden="false" customHeight="false" outlineLevel="0" collapsed="false">
      <c r="A416" s="8" t="s">
        <v>2363</v>
      </c>
      <c r="B416" s="8" t="n">
        <v>56</v>
      </c>
      <c r="C416" s="8" t="n">
        <v>26.4</v>
      </c>
      <c r="D416" s="8" t="n">
        <v>124</v>
      </c>
      <c r="E416" s="8" t="n">
        <v>88</v>
      </c>
      <c r="F416" s="8" t="n">
        <v>0</v>
      </c>
      <c r="G416" s="8" t="n">
        <v>0</v>
      </c>
      <c r="H416" s="8" t="n">
        <v>0</v>
      </c>
      <c r="I416" s="8" t="s">
        <v>1948</v>
      </c>
      <c r="J416" s="8" t="s">
        <v>1959</v>
      </c>
      <c r="K416" s="8" t="s">
        <v>1948</v>
      </c>
      <c r="L416" s="8" t="s">
        <v>1949</v>
      </c>
      <c r="M416" s="28" t="n">
        <f aca="false">'Disease Prediction Model'!$C$9+'Disease Prediction Model'!$C$10*B416+'Disease Prediction Model'!$C$11*C416+'Disease Prediction Model'!$C$12*D416+'Disease Prediction Model'!$C$13*E416+'Disease Prediction Model'!$C$14*F416+'Disease Prediction Model'!$C$15*G416</f>
        <v>0.238406</v>
      </c>
      <c r="N416" s="8" t="str">
        <f aca="false">IF(M416&gt;=0.5,"Yes","No")</f>
        <v>No</v>
      </c>
    </row>
    <row r="417" customFormat="false" ht="15" hidden="false" customHeight="false" outlineLevel="0" collapsed="false">
      <c r="A417" s="8" t="s">
        <v>2364</v>
      </c>
      <c r="B417" s="8" t="n">
        <v>55</v>
      </c>
      <c r="C417" s="8" t="n">
        <v>26.1</v>
      </c>
      <c r="D417" s="8" t="n">
        <v>136</v>
      </c>
      <c r="E417" s="8" t="n">
        <v>77</v>
      </c>
      <c r="F417" s="8" t="n">
        <v>0</v>
      </c>
      <c r="G417" s="8" t="n">
        <v>1</v>
      </c>
      <c r="H417" s="8" t="n">
        <v>0</v>
      </c>
      <c r="I417" s="8" t="s">
        <v>1948</v>
      </c>
      <c r="J417" s="8" t="s">
        <v>1405</v>
      </c>
      <c r="K417" s="8" t="s">
        <v>1948</v>
      </c>
      <c r="L417" s="8" t="s">
        <v>1949</v>
      </c>
      <c r="M417" s="28" t="n">
        <f aca="false">'Disease Prediction Model'!$C$9+'Disease Prediction Model'!$C$10*B417+'Disease Prediction Model'!$C$11*C417+'Disease Prediction Model'!$C$12*D417+'Disease Prediction Model'!$C$13*E417+'Disease Prediction Model'!$C$14*F417+'Disease Prediction Model'!$C$15*G417</f>
        <v>0.0723090000000001</v>
      </c>
      <c r="N417" s="8" t="str">
        <f aca="false">IF(M417&gt;=0.5,"Yes","No")</f>
        <v>No</v>
      </c>
    </row>
    <row r="418" customFormat="false" ht="15" hidden="false" customHeight="false" outlineLevel="0" collapsed="false">
      <c r="A418" s="8" t="s">
        <v>2365</v>
      </c>
      <c r="B418" s="8" t="n">
        <v>54</v>
      </c>
      <c r="C418" s="8" t="n">
        <v>21.1</v>
      </c>
      <c r="D418" s="8" t="n">
        <v>116</v>
      </c>
      <c r="E418" s="8" t="n">
        <v>96</v>
      </c>
      <c r="F418" s="8" t="n">
        <v>0</v>
      </c>
      <c r="G418" s="8" t="n">
        <v>2</v>
      </c>
      <c r="H418" s="8" t="n">
        <v>0</v>
      </c>
      <c r="I418" s="8" t="s">
        <v>1948</v>
      </c>
      <c r="J418" s="8" t="s">
        <v>1951</v>
      </c>
      <c r="K418" s="8" t="s">
        <v>1948</v>
      </c>
      <c r="L418" s="8" t="s">
        <v>1949</v>
      </c>
      <c r="M418" s="28" t="n">
        <f aca="false">'Disease Prediction Model'!$C$9+'Disease Prediction Model'!$C$10*B418+'Disease Prediction Model'!$C$11*C418+'Disease Prediction Model'!$C$12*D418+'Disease Prediction Model'!$C$13*E418+'Disease Prediction Model'!$C$14*F418+'Disease Prediction Model'!$C$15*G418</f>
        <v>0.015919</v>
      </c>
      <c r="N418" s="8" t="str">
        <f aca="false">IF(M418&gt;=0.5,"Yes","No")</f>
        <v>No</v>
      </c>
    </row>
    <row r="419" customFormat="false" ht="15" hidden="false" customHeight="false" outlineLevel="0" collapsed="false">
      <c r="A419" s="8" t="s">
        <v>2366</v>
      </c>
      <c r="B419" s="8" t="n">
        <v>62</v>
      </c>
      <c r="C419" s="8" t="n">
        <v>27</v>
      </c>
      <c r="D419" s="8" t="n">
        <v>116</v>
      </c>
      <c r="E419" s="8" t="n">
        <v>92</v>
      </c>
      <c r="F419" s="8" t="n">
        <v>0</v>
      </c>
      <c r="G419" s="8" t="n">
        <v>0</v>
      </c>
      <c r="H419" s="8" t="n">
        <v>0</v>
      </c>
      <c r="I419" s="8" t="s">
        <v>1948</v>
      </c>
      <c r="J419" s="8" t="s">
        <v>1959</v>
      </c>
      <c r="K419" s="8" t="s">
        <v>1948</v>
      </c>
      <c r="L419" s="8" t="s">
        <v>1949</v>
      </c>
      <c r="M419" s="28" t="n">
        <f aca="false">'Disease Prediction Model'!$C$9+'Disease Prediction Model'!$C$10*B419+'Disease Prediction Model'!$C$11*C419+'Disease Prediction Model'!$C$12*D419+'Disease Prediction Model'!$C$13*E419+'Disease Prediction Model'!$C$14*F419+'Disease Prediction Model'!$C$15*G419</f>
        <v>0.27116</v>
      </c>
      <c r="N419" s="8" t="str">
        <f aca="false">IF(M419&gt;=0.5,"Yes","No")</f>
        <v>No</v>
      </c>
    </row>
    <row r="420" customFormat="false" ht="15" hidden="false" customHeight="false" outlineLevel="0" collapsed="false">
      <c r="A420" s="8" t="s">
        <v>2367</v>
      </c>
      <c r="B420" s="8" t="n">
        <v>27</v>
      </c>
      <c r="C420" s="8" t="n">
        <v>26.6</v>
      </c>
      <c r="D420" s="8" t="n">
        <v>149</v>
      </c>
      <c r="E420" s="8" t="n">
        <v>96</v>
      </c>
      <c r="F420" s="8" t="n">
        <v>0</v>
      </c>
      <c r="G420" s="8" t="n">
        <v>0</v>
      </c>
      <c r="H420" s="8" t="n">
        <v>0</v>
      </c>
      <c r="I420" s="8" t="s">
        <v>1948</v>
      </c>
      <c r="J420" s="8" t="s">
        <v>1959</v>
      </c>
      <c r="K420" s="8" t="s">
        <v>1948</v>
      </c>
      <c r="L420" s="8" t="s">
        <v>1949</v>
      </c>
      <c r="M420" s="28" t="n">
        <f aca="false">'Disease Prediction Model'!$C$9+'Disease Prediction Model'!$C$10*B420+'Disease Prediction Model'!$C$11*C420+'Disease Prediction Model'!$C$12*D420+'Disease Prediction Model'!$C$13*E420+'Disease Prediction Model'!$C$14*F420+'Disease Prediction Model'!$C$15*G420</f>
        <v>0.319584</v>
      </c>
      <c r="N420" s="8" t="str">
        <f aca="false">IF(M420&gt;=0.5,"Yes","No")</f>
        <v>No</v>
      </c>
    </row>
    <row r="421" customFormat="false" ht="15" hidden="false" customHeight="false" outlineLevel="0" collapsed="false">
      <c r="A421" s="8" t="s">
        <v>2368</v>
      </c>
      <c r="B421" s="8" t="n">
        <v>45</v>
      </c>
      <c r="C421" s="8" t="n">
        <v>26.6</v>
      </c>
      <c r="D421" s="8" t="n">
        <v>139</v>
      </c>
      <c r="E421" s="8" t="n">
        <v>98</v>
      </c>
      <c r="F421" s="8" t="n">
        <v>0</v>
      </c>
      <c r="G421" s="8" t="n">
        <v>2</v>
      </c>
      <c r="H421" s="8" t="n">
        <v>0</v>
      </c>
      <c r="I421" s="8" t="s">
        <v>1948</v>
      </c>
      <c r="J421" s="8" t="s">
        <v>1951</v>
      </c>
      <c r="K421" s="8" t="s">
        <v>1948</v>
      </c>
      <c r="L421" s="8" t="s">
        <v>1949</v>
      </c>
      <c r="M421" s="28" t="n">
        <f aca="false">'Disease Prediction Model'!$C$9+'Disease Prediction Model'!$C$10*B421+'Disease Prediction Model'!$C$11*C421+'Disease Prediction Model'!$C$12*D421+'Disease Prediction Model'!$C$13*E421+'Disease Prediction Model'!$C$14*F421+'Disease Prediction Model'!$C$15*G421</f>
        <v>0.153144</v>
      </c>
      <c r="N421" s="8" t="str">
        <f aca="false">IF(M421&gt;=0.5,"Yes","No")</f>
        <v>No</v>
      </c>
    </row>
    <row r="422" customFormat="false" ht="15" hidden="false" customHeight="false" outlineLevel="0" collapsed="false">
      <c r="A422" s="8" t="s">
        <v>2369</v>
      </c>
      <c r="B422" s="8" t="n">
        <v>73</v>
      </c>
      <c r="C422" s="8" t="n">
        <v>26.2</v>
      </c>
      <c r="D422" s="8" t="n">
        <v>108</v>
      </c>
      <c r="E422" s="8" t="n">
        <v>85</v>
      </c>
      <c r="F422" s="8" t="n">
        <v>1</v>
      </c>
      <c r="G422" s="8" t="n">
        <v>0</v>
      </c>
      <c r="H422" s="8" t="n">
        <v>0</v>
      </c>
      <c r="I422" s="8" t="s">
        <v>1954</v>
      </c>
      <c r="J422" s="8" t="s">
        <v>1959</v>
      </c>
      <c r="K422" s="8" t="s">
        <v>1948</v>
      </c>
      <c r="L422" s="8" t="s">
        <v>1949</v>
      </c>
      <c r="M422" s="28" t="n">
        <f aca="false">'Disease Prediction Model'!$C$9+'Disease Prediction Model'!$C$10*B422+'Disease Prediction Model'!$C$11*C422+'Disease Prediction Model'!$C$12*D422+'Disease Prediction Model'!$C$13*E422+'Disease Prediction Model'!$C$14*F422+'Disease Prediction Model'!$C$15*G422</f>
        <v>0.332948</v>
      </c>
      <c r="N422" s="8" t="str">
        <f aca="false">IF(M422&gt;=0.5,"Yes","No")</f>
        <v>No</v>
      </c>
    </row>
    <row r="423" customFormat="false" ht="15" hidden="false" customHeight="false" outlineLevel="0" collapsed="false">
      <c r="A423" s="8" t="s">
        <v>2370</v>
      </c>
      <c r="B423" s="8" t="n">
        <v>36</v>
      </c>
      <c r="C423" s="8" t="n">
        <v>29.5</v>
      </c>
      <c r="D423" s="8" t="n">
        <v>120</v>
      </c>
      <c r="E423" s="8" t="n">
        <v>98</v>
      </c>
      <c r="F423" s="8" t="n">
        <v>0</v>
      </c>
      <c r="G423" s="8" t="n">
        <v>2</v>
      </c>
      <c r="H423" s="8" t="n">
        <v>0</v>
      </c>
      <c r="I423" s="8" t="s">
        <v>1948</v>
      </c>
      <c r="J423" s="8" t="s">
        <v>1951</v>
      </c>
      <c r="K423" s="8" t="s">
        <v>1948</v>
      </c>
      <c r="L423" s="8" t="s">
        <v>1949</v>
      </c>
      <c r="M423" s="28" t="n">
        <f aca="false">'Disease Prediction Model'!$C$9+'Disease Prediction Model'!$C$10*B423+'Disease Prediction Model'!$C$11*C423+'Disease Prediction Model'!$C$12*D423+'Disease Prediction Model'!$C$13*E423+'Disease Prediction Model'!$C$14*F423+'Disease Prediction Model'!$C$15*G423</f>
        <v>0.0918749999999999</v>
      </c>
      <c r="N423" s="8" t="str">
        <f aca="false">IF(M423&gt;=0.5,"Yes","No")</f>
        <v>No</v>
      </c>
    </row>
    <row r="424" customFormat="false" ht="15" hidden="false" customHeight="false" outlineLevel="0" collapsed="false">
      <c r="A424" s="8" t="s">
        <v>2371</v>
      </c>
      <c r="B424" s="8" t="n">
        <v>43</v>
      </c>
      <c r="C424" s="8" t="n">
        <v>41.3</v>
      </c>
      <c r="D424" s="8" t="n">
        <v>112</v>
      </c>
      <c r="E424" s="8" t="n">
        <v>118</v>
      </c>
      <c r="F424" s="8" t="n">
        <v>1</v>
      </c>
      <c r="G424" s="8" t="n">
        <v>0</v>
      </c>
      <c r="H424" s="8" t="n">
        <v>1</v>
      </c>
      <c r="I424" s="8" t="s">
        <v>1954</v>
      </c>
      <c r="J424" s="8" t="s">
        <v>1959</v>
      </c>
      <c r="K424" s="8" t="s">
        <v>1954</v>
      </c>
      <c r="L424" s="8" t="s">
        <v>1949</v>
      </c>
      <c r="M424" s="28" t="n">
        <f aca="false">'Disease Prediction Model'!$C$9+'Disease Prediction Model'!$C$10*B424+'Disease Prediction Model'!$C$11*C424+'Disease Prediction Model'!$C$12*D424+'Disease Prediction Model'!$C$13*E424+'Disease Prediction Model'!$C$14*F424+'Disease Prediction Model'!$C$15*G424</f>
        <v>0.737237</v>
      </c>
      <c r="N424" s="8" t="str">
        <f aca="false">IF(M424&gt;=0.5,"Yes","No")</f>
        <v>Yes</v>
      </c>
    </row>
    <row r="425" customFormat="false" ht="15" hidden="false" customHeight="false" outlineLevel="0" collapsed="false">
      <c r="A425" s="8" t="s">
        <v>2372</v>
      </c>
      <c r="B425" s="8" t="n">
        <v>60</v>
      </c>
      <c r="C425" s="8" t="n">
        <v>16.2</v>
      </c>
      <c r="D425" s="8" t="n">
        <v>100</v>
      </c>
      <c r="E425" s="8" t="n">
        <v>70</v>
      </c>
      <c r="F425" s="8" t="n">
        <v>0</v>
      </c>
      <c r="G425" s="8" t="n">
        <v>1</v>
      </c>
      <c r="H425" s="8" t="n">
        <v>0</v>
      </c>
      <c r="I425" s="8" t="s">
        <v>1948</v>
      </c>
      <c r="J425" s="8" t="s">
        <v>1405</v>
      </c>
      <c r="K425" s="8" t="s">
        <v>1948</v>
      </c>
      <c r="L425" s="8" t="s">
        <v>2373</v>
      </c>
      <c r="M425" s="28" t="n">
        <f aca="false">'Disease Prediction Model'!$C$9+'Disease Prediction Model'!$C$10*B425+'Disease Prediction Model'!$C$11*C425+'Disease Prediction Model'!$C$12*D425+'Disease Prediction Model'!$C$13*E425+'Disease Prediction Model'!$C$14*F425+'Disease Prediction Model'!$C$15*G425</f>
        <v>-0.219552</v>
      </c>
      <c r="N425" s="8" t="str">
        <f aca="false">IF(M425&gt;=0.5,"Yes","No")</f>
        <v>No</v>
      </c>
    </row>
    <row r="426" customFormat="false" ht="15" hidden="false" customHeight="false" outlineLevel="0" collapsed="false">
      <c r="A426" s="8" t="s">
        <v>2374</v>
      </c>
      <c r="B426" s="8" t="n">
        <v>57</v>
      </c>
      <c r="C426" s="8" t="n">
        <v>30.9</v>
      </c>
      <c r="D426" s="8" t="n">
        <v>137</v>
      </c>
      <c r="E426" s="8" t="n">
        <v>115</v>
      </c>
      <c r="F426" s="8" t="n">
        <v>0</v>
      </c>
      <c r="G426" s="8" t="n">
        <v>1</v>
      </c>
      <c r="H426" s="8" t="n">
        <v>0</v>
      </c>
      <c r="I426" s="8" t="s">
        <v>1948</v>
      </c>
      <c r="J426" s="8" t="s">
        <v>1405</v>
      </c>
      <c r="K426" s="8" t="s">
        <v>1948</v>
      </c>
      <c r="L426" s="8" t="s">
        <v>2373</v>
      </c>
      <c r="M426" s="28" t="n">
        <f aca="false">'Disease Prediction Model'!$C$9+'Disease Prediction Model'!$C$10*B426+'Disease Prediction Model'!$C$11*C426+'Disease Prediction Model'!$C$12*D426+'Disease Prediction Model'!$C$13*E426+'Disease Prediction Model'!$C$14*F426+'Disease Prediction Model'!$C$15*G426</f>
        <v>0.488281</v>
      </c>
      <c r="N426" s="8" t="str">
        <f aca="false">IF(M426&gt;=0.5,"Yes","No")</f>
        <v>No</v>
      </c>
    </row>
    <row r="427" customFormat="false" ht="15" hidden="false" customHeight="false" outlineLevel="0" collapsed="false">
      <c r="A427" s="8" t="s">
        <v>2375</v>
      </c>
      <c r="B427" s="8" t="n">
        <v>48</v>
      </c>
      <c r="C427" s="8" t="n">
        <v>29.7</v>
      </c>
      <c r="D427" s="8" t="n">
        <v>136</v>
      </c>
      <c r="E427" s="8" t="n">
        <v>123</v>
      </c>
      <c r="F427" s="8" t="n">
        <v>0</v>
      </c>
      <c r="G427" s="8" t="n">
        <v>0</v>
      </c>
      <c r="H427" s="8" t="n">
        <v>1</v>
      </c>
      <c r="I427" s="8" t="s">
        <v>1948</v>
      </c>
      <c r="J427" s="8" t="s">
        <v>1959</v>
      </c>
      <c r="K427" s="8" t="s">
        <v>1954</v>
      </c>
      <c r="L427" s="8" t="s">
        <v>2373</v>
      </c>
      <c r="M427" s="28" t="n">
        <f aca="false">'Disease Prediction Model'!$C$9+'Disease Prediction Model'!$C$10*B427+'Disease Prediction Model'!$C$11*C427+'Disease Prediction Model'!$C$12*D427+'Disease Prediction Model'!$C$13*E427+'Disease Prediction Model'!$C$14*F427+'Disease Prediction Model'!$C$15*G427</f>
        <v>0.619693</v>
      </c>
      <c r="N427" s="8" t="str">
        <f aca="false">IF(M427&gt;=0.5,"Yes","No")</f>
        <v>Yes</v>
      </c>
    </row>
    <row r="428" customFormat="false" ht="15" hidden="false" customHeight="false" outlineLevel="0" collapsed="false">
      <c r="A428" s="8" t="s">
        <v>2376</v>
      </c>
      <c r="B428" s="8" t="n">
        <v>70</v>
      </c>
      <c r="C428" s="8" t="n">
        <v>30.3</v>
      </c>
      <c r="D428" s="8" t="n">
        <v>90</v>
      </c>
      <c r="E428" s="8" t="n">
        <v>120</v>
      </c>
      <c r="F428" s="8" t="n">
        <v>0</v>
      </c>
      <c r="G428" s="8" t="n">
        <v>0</v>
      </c>
      <c r="H428" s="8" t="n">
        <v>0</v>
      </c>
      <c r="I428" s="8" t="s">
        <v>1948</v>
      </c>
      <c r="J428" s="8" t="s">
        <v>1959</v>
      </c>
      <c r="K428" s="8" t="s">
        <v>1948</v>
      </c>
      <c r="L428" s="8" t="s">
        <v>2373</v>
      </c>
      <c r="M428" s="28" t="n">
        <f aca="false">'Disease Prediction Model'!$C$9+'Disease Prediction Model'!$C$10*B428+'Disease Prediction Model'!$C$11*C428+'Disease Prediction Model'!$C$12*D428+'Disease Prediction Model'!$C$13*E428+'Disease Prediction Model'!$C$14*F428+'Disease Prediction Model'!$C$15*G428</f>
        <v>0.498307</v>
      </c>
      <c r="N428" s="8" t="str">
        <f aca="false">IF(M428&gt;=0.5,"Yes","No")</f>
        <v>No</v>
      </c>
    </row>
    <row r="429" customFormat="false" ht="15" hidden="false" customHeight="false" outlineLevel="0" collapsed="false">
      <c r="A429" s="8" t="s">
        <v>2377</v>
      </c>
      <c r="B429" s="8" t="n">
        <v>68</v>
      </c>
      <c r="C429" s="8" t="n">
        <v>27.8</v>
      </c>
      <c r="D429" s="8" t="n">
        <v>112</v>
      </c>
      <c r="E429" s="8" t="n">
        <v>79</v>
      </c>
      <c r="F429" s="8" t="n">
        <v>1</v>
      </c>
      <c r="G429" s="8" t="n">
        <v>2</v>
      </c>
      <c r="H429" s="8" t="n">
        <v>0</v>
      </c>
      <c r="I429" s="8" t="s">
        <v>1954</v>
      </c>
      <c r="J429" s="8" t="s">
        <v>1951</v>
      </c>
      <c r="K429" s="8" t="s">
        <v>1948</v>
      </c>
      <c r="L429" s="8" t="s">
        <v>2373</v>
      </c>
      <c r="M429" s="28" t="n">
        <f aca="false">'Disease Prediction Model'!$C$9+'Disease Prediction Model'!$C$10*B429+'Disease Prediction Model'!$C$11*C429+'Disease Prediction Model'!$C$12*D429+'Disease Prediction Model'!$C$13*E429+'Disease Prediction Model'!$C$14*F429+'Disease Prediction Model'!$C$15*G429</f>
        <v>0.0936120000000001</v>
      </c>
      <c r="N429" s="8" t="str">
        <f aca="false">IF(M429&gt;=0.5,"Yes","No")</f>
        <v>No</v>
      </c>
    </row>
    <row r="430" customFormat="false" ht="15" hidden="false" customHeight="false" outlineLevel="0" collapsed="false">
      <c r="A430" s="8" t="s">
        <v>2378</v>
      </c>
      <c r="B430" s="8" t="n">
        <v>62</v>
      </c>
      <c r="C430" s="8" t="n">
        <v>24.2</v>
      </c>
      <c r="D430" s="8" t="n">
        <v>113</v>
      </c>
      <c r="E430" s="8" t="n">
        <v>117</v>
      </c>
      <c r="F430" s="8" t="n">
        <v>0</v>
      </c>
      <c r="G430" s="8" t="n">
        <v>2</v>
      </c>
      <c r="H430" s="8" t="n">
        <v>0</v>
      </c>
      <c r="I430" s="8" t="s">
        <v>1948</v>
      </c>
      <c r="J430" s="8" t="s">
        <v>1951</v>
      </c>
      <c r="K430" s="8" t="s">
        <v>1948</v>
      </c>
      <c r="L430" s="8" t="s">
        <v>2373</v>
      </c>
      <c r="M430" s="28" t="n">
        <f aca="false">'Disease Prediction Model'!$C$9+'Disease Prediction Model'!$C$10*B430+'Disease Prediction Model'!$C$11*C430+'Disease Prediction Model'!$C$12*D430+'Disease Prediction Model'!$C$13*E430+'Disease Prediction Model'!$C$14*F430+'Disease Prediction Model'!$C$15*G430</f>
        <v>0.258308</v>
      </c>
      <c r="N430" s="8" t="str">
        <f aca="false">IF(M430&gt;=0.5,"Yes","No")</f>
        <v>No</v>
      </c>
    </row>
    <row r="431" customFormat="false" ht="15" hidden="false" customHeight="false" outlineLevel="0" collapsed="false">
      <c r="A431" s="8" t="s">
        <v>2379</v>
      </c>
      <c r="B431" s="8" t="n">
        <v>48</v>
      </c>
      <c r="C431" s="8" t="n">
        <v>23.9</v>
      </c>
      <c r="D431" s="8" t="n">
        <v>126</v>
      </c>
      <c r="E431" s="8" t="n">
        <v>109</v>
      </c>
      <c r="F431" s="8" t="n">
        <v>0</v>
      </c>
      <c r="G431" s="8" t="n">
        <v>1</v>
      </c>
      <c r="H431" s="8" t="n">
        <v>1</v>
      </c>
      <c r="I431" s="8" t="s">
        <v>1948</v>
      </c>
      <c r="J431" s="8" t="s">
        <v>1405</v>
      </c>
      <c r="K431" s="8" t="s">
        <v>1954</v>
      </c>
      <c r="L431" s="8" t="s">
        <v>2373</v>
      </c>
      <c r="M431" s="28" t="n">
        <f aca="false">'Disease Prediction Model'!$C$9+'Disease Prediction Model'!$C$10*B431+'Disease Prediction Model'!$C$11*C431+'Disease Prediction Model'!$C$12*D431+'Disease Prediction Model'!$C$13*E431+'Disease Prediction Model'!$C$14*F431+'Disease Prediction Model'!$C$15*G431</f>
        <v>0.287331</v>
      </c>
      <c r="N431" s="8" t="str">
        <f aca="false">IF(M431&gt;=0.5,"Yes","No")</f>
        <v>No</v>
      </c>
    </row>
    <row r="432" customFormat="false" ht="15" hidden="false" customHeight="false" outlineLevel="0" collapsed="false">
      <c r="A432" s="8" t="s">
        <v>2380</v>
      </c>
      <c r="B432" s="8" t="n">
        <v>49</v>
      </c>
      <c r="C432" s="8" t="n">
        <v>29.8</v>
      </c>
      <c r="D432" s="8" t="n">
        <v>110</v>
      </c>
      <c r="E432" s="8" t="n">
        <v>70</v>
      </c>
      <c r="F432" s="8" t="n">
        <v>0</v>
      </c>
      <c r="G432" s="8" t="n">
        <v>2</v>
      </c>
      <c r="H432" s="8" t="n">
        <v>0</v>
      </c>
      <c r="I432" s="8" t="s">
        <v>1948</v>
      </c>
      <c r="J432" s="8" t="s">
        <v>1951</v>
      </c>
      <c r="K432" s="8" t="s">
        <v>1948</v>
      </c>
      <c r="L432" s="8" t="s">
        <v>2373</v>
      </c>
      <c r="M432" s="28" t="n">
        <f aca="false">'Disease Prediction Model'!$C$9+'Disease Prediction Model'!$C$10*B432+'Disease Prediction Model'!$C$11*C432+'Disease Prediction Model'!$C$12*D432+'Disease Prediction Model'!$C$13*E432+'Disease Prediction Model'!$C$14*F432+'Disease Prediction Model'!$C$15*G432</f>
        <v>-0.161828</v>
      </c>
      <c r="N432" s="8" t="str">
        <f aca="false">IF(M432&gt;=0.5,"Yes","No")</f>
        <v>No</v>
      </c>
    </row>
    <row r="433" customFormat="false" ht="15" hidden="false" customHeight="false" outlineLevel="0" collapsed="false">
      <c r="A433" s="8" t="s">
        <v>2381</v>
      </c>
      <c r="B433" s="8" t="n">
        <v>39</v>
      </c>
      <c r="C433" s="8" t="n">
        <v>25.8</v>
      </c>
      <c r="D433" s="8" t="n">
        <v>119</v>
      </c>
      <c r="E433" s="8" t="n">
        <v>98</v>
      </c>
      <c r="F433" s="8" t="n">
        <v>0</v>
      </c>
      <c r="G433" s="8" t="n">
        <v>1</v>
      </c>
      <c r="H433" s="8" t="n">
        <v>1</v>
      </c>
      <c r="I433" s="8" t="s">
        <v>1948</v>
      </c>
      <c r="J433" s="8" t="s">
        <v>1405</v>
      </c>
      <c r="K433" s="8" t="s">
        <v>1954</v>
      </c>
      <c r="L433" s="8" t="s">
        <v>2373</v>
      </c>
      <c r="M433" s="28" t="n">
        <f aca="false">'Disease Prediction Model'!$C$9+'Disease Prediction Model'!$C$10*B433+'Disease Prediction Model'!$C$11*C433+'Disease Prediction Model'!$C$12*D433+'Disease Prediction Model'!$C$13*E433+'Disease Prediction Model'!$C$14*F433+'Disease Prediction Model'!$C$15*G433</f>
        <v>0.155772</v>
      </c>
      <c r="N433" s="8" t="str">
        <f aca="false">IF(M433&gt;=0.5,"Yes","No")</f>
        <v>No</v>
      </c>
    </row>
    <row r="434" customFormat="false" ht="15" hidden="false" customHeight="false" outlineLevel="0" collapsed="false">
      <c r="A434" s="8" t="s">
        <v>2382</v>
      </c>
      <c r="B434" s="8" t="n">
        <v>52</v>
      </c>
      <c r="C434" s="8" t="n">
        <v>37.8</v>
      </c>
      <c r="D434" s="8" t="n">
        <v>127</v>
      </c>
      <c r="E434" s="8" t="n">
        <v>94</v>
      </c>
      <c r="F434" s="8" t="n">
        <v>0</v>
      </c>
      <c r="G434" s="8" t="n">
        <v>1</v>
      </c>
      <c r="H434" s="8" t="n">
        <v>0</v>
      </c>
      <c r="I434" s="8" t="s">
        <v>1948</v>
      </c>
      <c r="J434" s="8" t="s">
        <v>1405</v>
      </c>
      <c r="K434" s="8" t="s">
        <v>1948</v>
      </c>
      <c r="L434" s="8" t="s">
        <v>2373</v>
      </c>
      <c r="M434" s="28" t="n">
        <f aca="false">'Disease Prediction Model'!$C$9+'Disease Prediction Model'!$C$10*B434+'Disease Prediction Model'!$C$11*C434+'Disease Prediction Model'!$C$12*D434+'Disease Prediction Model'!$C$13*E434+'Disease Prediction Model'!$C$14*F434+'Disease Prediction Model'!$C$15*G434</f>
        <v>0.322012</v>
      </c>
      <c r="N434" s="8" t="str">
        <f aca="false">IF(M434&gt;=0.5,"Yes","No")</f>
        <v>No</v>
      </c>
    </row>
    <row r="435" customFormat="false" ht="15" hidden="false" customHeight="false" outlineLevel="0" collapsed="false">
      <c r="A435" s="8" t="s">
        <v>2383</v>
      </c>
      <c r="B435" s="8" t="n">
        <v>54</v>
      </c>
      <c r="C435" s="8" t="n">
        <v>17.4</v>
      </c>
      <c r="D435" s="8" t="n">
        <v>128</v>
      </c>
      <c r="E435" s="8" t="n">
        <v>99</v>
      </c>
      <c r="F435" s="8" t="n">
        <v>1</v>
      </c>
      <c r="G435" s="8" t="n">
        <v>2</v>
      </c>
      <c r="H435" s="8" t="n">
        <v>1</v>
      </c>
      <c r="I435" s="8" t="s">
        <v>1954</v>
      </c>
      <c r="J435" s="8" t="s">
        <v>1951</v>
      </c>
      <c r="K435" s="8" t="s">
        <v>1954</v>
      </c>
      <c r="L435" s="8" t="s">
        <v>2373</v>
      </c>
      <c r="M435" s="28" t="n">
        <f aca="false">'Disease Prediction Model'!$C$9+'Disease Prediction Model'!$C$10*B435+'Disease Prediction Model'!$C$11*C435+'Disease Prediction Model'!$C$12*D435+'Disease Prediction Model'!$C$13*E435+'Disease Prediction Model'!$C$14*F435+'Disease Prediction Model'!$C$15*G435</f>
        <v>0.176756</v>
      </c>
      <c r="N435" s="8" t="str">
        <f aca="false">IF(M435&gt;=0.5,"Yes","No")</f>
        <v>No</v>
      </c>
    </row>
    <row r="436" customFormat="false" ht="15" hidden="false" customHeight="false" outlineLevel="0" collapsed="false">
      <c r="A436" s="8" t="s">
        <v>2384</v>
      </c>
      <c r="B436" s="8" t="n">
        <v>39</v>
      </c>
      <c r="C436" s="8" t="n">
        <v>26.9</v>
      </c>
      <c r="D436" s="8" t="n">
        <v>106</v>
      </c>
      <c r="E436" s="8" t="n">
        <v>120</v>
      </c>
      <c r="F436" s="8" t="n">
        <v>0</v>
      </c>
      <c r="G436" s="8" t="n">
        <v>0</v>
      </c>
      <c r="H436" s="8" t="n">
        <v>1</v>
      </c>
      <c r="I436" s="8" t="s">
        <v>1948</v>
      </c>
      <c r="J436" s="8" t="s">
        <v>1959</v>
      </c>
      <c r="K436" s="8" t="s">
        <v>1954</v>
      </c>
      <c r="L436" s="8" t="s">
        <v>2373</v>
      </c>
      <c r="M436" s="28" t="n">
        <f aca="false">'Disease Prediction Model'!$C$9+'Disease Prediction Model'!$C$10*B436+'Disease Prediction Model'!$C$11*C436+'Disease Prediction Model'!$C$12*D436+'Disease Prediction Model'!$C$13*E436+'Disease Prediction Model'!$C$14*F436+'Disease Prediction Model'!$C$15*G436</f>
        <v>0.426341</v>
      </c>
      <c r="N436" s="8" t="str">
        <f aca="false">IF(M436&gt;=0.5,"Yes","No")</f>
        <v>No</v>
      </c>
    </row>
    <row r="437" customFormat="false" ht="15" hidden="false" customHeight="false" outlineLevel="0" collapsed="false">
      <c r="A437" s="8" t="s">
        <v>2385</v>
      </c>
      <c r="B437" s="8" t="n">
        <v>69</v>
      </c>
      <c r="C437" s="8" t="n">
        <v>26.4</v>
      </c>
      <c r="D437" s="8" t="n">
        <v>152</v>
      </c>
      <c r="E437" s="8" t="n">
        <v>83</v>
      </c>
      <c r="F437" s="8" t="n">
        <v>1</v>
      </c>
      <c r="G437" s="8" t="n">
        <v>0</v>
      </c>
      <c r="H437" s="8" t="n">
        <v>0</v>
      </c>
      <c r="I437" s="8" t="s">
        <v>1954</v>
      </c>
      <c r="J437" s="8" t="s">
        <v>1959</v>
      </c>
      <c r="K437" s="8" t="s">
        <v>1948</v>
      </c>
      <c r="L437" s="8" t="s">
        <v>2373</v>
      </c>
      <c r="M437" s="28" t="n">
        <f aca="false">'Disease Prediction Model'!$C$9+'Disease Prediction Model'!$C$10*B437+'Disease Prediction Model'!$C$11*C437+'Disease Prediction Model'!$C$12*D437+'Disease Prediction Model'!$C$13*E437+'Disease Prediction Model'!$C$14*F437+'Disease Prediction Model'!$C$15*G437</f>
        <v>0.462546</v>
      </c>
      <c r="N437" s="8" t="str">
        <f aca="false">IF(M437&gt;=0.5,"Yes","No")</f>
        <v>No</v>
      </c>
    </row>
    <row r="438" customFormat="false" ht="15" hidden="false" customHeight="false" outlineLevel="0" collapsed="false">
      <c r="A438" s="8" t="s">
        <v>2386</v>
      </c>
      <c r="B438" s="8" t="n">
        <v>53</v>
      </c>
      <c r="C438" s="8" t="n">
        <v>27.1</v>
      </c>
      <c r="D438" s="8" t="n">
        <v>113</v>
      </c>
      <c r="E438" s="8" t="n">
        <v>95</v>
      </c>
      <c r="F438" s="8" t="n">
        <v>0</v>
      </c>
      <c r="G438" s="8" t="n">
        <v>1</v>
      </c>
      <c r="H438" s="8" t="n">
        <v>0</v>
      </c>
      <c r="I438" s="8" t="s">
        <v>1948</v>
      </c>
      <c r="J438" s="8" t="s">
        <v>1405</v>
      </c>
      <c r="K438" s="8" t="s">
        <v>1948</v>
      </c>
      <c r="L438" s="8" t="s">
        <v>2373</v>
      </c>
      <c r="M438" s="28" t="n">
        <f aca="false">'Disease Prediction Model'!$C$9+'Disease Prediction Model'!$C$10*B438+'Disease Prediction Model'!$C$11*C438+'Disease Prediction Model'!$C$12*D438+'Disease Prediction Model'!$C$13*E438+'Disease Prediction Model'!$C$14*F438+'Disease Prediction Model'!$C$15*G438</f>
        <v>0.162199</v>
      </c>
      <c r="N438" s="8" t="str">
        <f aca="false">IF(M438&gt;=0.5,"Yes","No")</f>
        <v>No</v>
      </c>
    </row>
    <row r="439" customFormat="false" ht="15" hidden="false" customHeight="false" outlineLevel="0" collapsed="false">
      <c r="A439" s="8" t="s">
        <v>2387</v>
      </c>
      <c r="B439" s="8" t="n">
        <v>42</v>
      </c>
      <c r="C439" s="8" t="n">
        <v>28.9</v>
      </c>
      <c r="D439" s="8" t="n">
        <v>122</v>
      </c>
      <c r="E439" s="8" t="n">
        <v>125</v>
      </c>
      <c r="F439" s="8" t="n">
        <v>0</v>
      </c>
      <c r="G439" s="8" t="n">
        <v>0</v>
      </c>
      <c r="H439" s="8" t="n">
        <v>0</v>
      </c>
      <c r="I439" s="8" t="s">
        <v>1948</v>
      </c>
      <c r="J439" s="8" t="s">
        <v>1959</v>
      </c>
      <c r="K439" s="8" t="s">
        <v>1948</v>
      </c>
      <c r="L439" s="8" t="s">
        <v>2373</v>
      </c>
      <c r="M439" s="28" t="n">
        <f aca="false">'Disease Prediction Model'!$C$9+'Disease Prediction Model'!$C$10*B439+'Disease Prediction Model'!$C$11*C439+'Disease Prediction Model'!$C$12*D439+'Disease Prediction Model'!$C$13*E439+'Disease Prediction Model'!$C$14*F439+'Disease Prediction Model'!$C$15*G439</f>
        <v>0.561461</v>
      </c>
      <c r="N439" s="8" t="str">
        <f aca="false">IF(M439&gt;=0.5,"Yes","No")</f>
        <v>Yes</v>
      </c>
    </row>
    <row r="440" customFormat="false" ht="15" hidden="false" customHeight="false" outlineLevel="0" collapsed="false">
      <c r="A440" s="8" t="s">
        <v>2388</v>
      </c>
      <c r="B440" s="8" t="n">
        <v>39</v>
      </c>
      <c r="C440" s="8" t="n">
        <v>32.1</v>
      </c>
      <c r="D440" s="8" t="n">
        <v>98</v>
      </c>
      <c r="E440" s="8" t="n">
        <v>87</v>
      </c>
      <c r="F440" s="8" t="n">
        <v>1</v>
      </c>
      <c r="G440" s="8" t="n">
        <v>0</v>
      </c>
      <c r="H440" s="8" t="n">
        <v>0</v>
      </c>
      <c r="I440" s="8" t="s">
        <v>1954</v>
      </c>
      <c r="J440" s="8" t="s">
        <v>1959</v>
      </c>
      <c r="K440" s="8" t="s">
        <v>1948</v>
      </c>
      <c r="L440" s="8" t="s">
        <v>2373</v>
      </c>
      <c r="M440" s="28" t="n">
        <f aca="false">'Disease Prediction Model'!$C$9+'Disease Prediction Model'!$C$10*B440+'Disease Prediction Model'!$C$11*C440+'Disease Prediction Model'!$C$12*D440+'Disease Prediction Model'!$C$13*E440+'Disease Prediction Model'!$C$14*F440+'Disease Prediction Model'!$C$15*G440</f>
        <v>0.283589</v>
      </c>
      <c r="N440" s="8" t="str">
        <f aca="false">IF(M440&gt;=0.5,"Yes","No")</f>
        <v>No</v>
      </c>
    </row>
    <row r="441" customFormat="false" ht="15" hidden="false" customHeight="false" outlineLevel="0" collapsed="false">
      <c r="A441" s="8" t="s">
        <v>2389</v>
      </c>
      <c r="B441" s="8" t="n">
        <v>23</v>
      </c>
      <c r="C441" s="8" t="n">
        <v>31.8</v>
      </c>
      <c r="D441" s="8" t="n">
        <v>123</v>
      </c>
      <c r="E441" s="8" t="n">
        <v>70</v>
      </c>
      <c r="F441" s="8" t="n">
        <v>0</v>
      </c>
      <c r="G441" s="8" t="n">
        <v>2</v>
      </c>
      <c r="H441" s="8" t="n">
        <v>0</v>
      </c>
      <c r="I441" s="8" t="s">
        <v>1948</v>
      </c>
      <c r="J441" s="8" t="s">
        <v>1951</v>
      </c>
      <c r="K441" s="8" t="s">
        <v>1948</v>
      </c>
      <c r="L441" s="8" t="s">
        <v>2373</v>
      </c>
      <c r="M441" s="28" t="n">
        <f aca="false">'Disease Prediction Model'!$C$9+'Disease Prediction Model'!$C$10*B441+'Disease Prediction Model'!$C$11*C441+'Disease Prediction Model'!$C$12*D441+'Disease Prediction Model'!$C$13*E441+'Disease Prediction Model'!$C$14*F441+'Disease Prediction Model'!$C$15*G441</f>
        <v>-0.168428</v>
      </c>
      <c r="N441" s="8" t="str">
        <f aca="false">IF(M441&gt;=0.5,"Yes","No")</f>
        <v>No</v>
      </c>
    </row>
    <row r="442" customFormat="false" ht="15" hidden="false" customHeight="false" outlineLevel="0" collapsed="false">
      <c r="A442" s="8" t="s">
        <v>2390</v>
      </c>
      <c r="B442" s="8" t="n">
        <v>58</v>
      </c>
      <c r="C442" s="8" t="n">
        <v>27.3</v>
      </c>
      <c r="D442" s="8" t="n">
        <v>126</v>
      </c>
      <c r="E442" s="8" t="n">
        <v>97</v>
      </c>
      <c r="F442" s="8" t="n">
        <v>1</v>
      </c>
      <c r="G442" s="8" t="n">
        <v>0</v>
      </c>
      <c r="H442" s="8" t="n">
        <v>0</v>
      </c>
      <c r="I442" s="8" t="s">
        <v>1954</v>
      </c>
      <c r="J442" s="8" t="s">
        <v>1959</v>
      </c>
      <c r="K442" s="8" t="s">
        <v>1948</v>
      </c>
      <c r="L442" s="8" t="s">
        <v>2373</v>
      </c>
      <c r="M442" s="28" t="n">
        <f aca="false">'Disease Prediction Model'!$C$9+'Disease Prediction Model'!$C$10*B442+'Disease Prediction Model'!$C$11*C442+'Disease Prediction Model'!$C$12*D442+'Disease Prediction Model'!$C$13*E442+'Disease Prediction Model'!$C$14*F442+'Disease Prediction Model'!$C$15*G442</f>
        <v>0.477237</v>
      </c>
      <c r="N442" s="8" t="str">
        <f aca="false">IF(M442&gt;=0.5,"Yes","No")</f>
        <v>No</v>
      </c>
    </row>
    <row r="443" customFormat="false" ht="15" hidden="false" customHeight="false" outlineLevel="0" collapsed="false">
      <c r="A443" s="8" t="s">
        <v>2391</v>
      </c>
      <c r="B443" s="8" t="n">
        <v>34</v>
      </c>
      <c r="C443" s="8" t="n">
        <v>16.7</v>
      </c>
      <c r="D443" s="8" t="n">
        <v>146</v>
      </c>
      <c r="E443" s="8" t="n">
        <v>80</v>
      </c>
      <c r="F443" s="8" t="n">
        <v>0</v>
      </c>
      <c r="G443" s="8" t="n">
        <v>0</v>
      </c>
      <c r="H443" s="8" t="n">
        <v>0</v>
      </c>
      <c r="I443" s="8" t="s">
        <v>1948</v>
      </c>
      <c r="J443" s="8" t="s">
        <v>1959</v>
      </c>
      <c r="K443" s="8" t="s">
        <v>1948</v>
      </c>
      <c r="L443" s="8" t="s">
        <v>2373</v>
      </c>
      <c r="M443" s="28" t="n">
        <f aca="false">'Disease Prediction Model'!$C$9+'Disease Prediction Model'!$C$10*B443+'Disease Prediction Model'!$C$11*C443+'Disease Prediction Model'!$C$12*D443+'Disease Prediction Model'!$C$13*E443+'Disease Prediction Model'!$C$14*F443+'Disease Prediction Model'!$C$15*G443</f>
        <v>0.068363</v>
      </c>
      <c r="N443" s="8" t="str">
        <f aca="false">IF(M443&gt;=0.5,"Yes","No")</f>
        <v>No</v>
      </c>
    </row>
    <row r="444" customFormat="false" ht="15" hidden="false" customHeight="false" outlineLevel="0" collapsed="false">
      <c r="A444" s="8" t="s">
        <v>2392</v>
      </c>
      <c r="B444" s="8" t="n">
        <v>59</v>
      </c>
      <c r="C444" s="8" t="n">
        <v>34</v>
      </c>
      <c r="D444" s="8" t="n">
        <v>115</v>
      </c>
      <c r="E444" s="8" t="n">
        <v>111</v>
      </c>
      <c r="F444" s="8" t="n">
        <v>0</v>
      </c>
      <c r="G444" s="8" t="n">
        <v>1</v>
      </c>
      <c r="H444" s="8" t="n">
        <v>0</v>
      </c>
      <c r="I444" s="8" t="s">
        <v>1948</v>
      </c>
      <c r="J444" s="8" t="s">
        <v>1405</v>
      </c>
      <c r="K444" s="8" t="s">
        <v>1948</v>
      </c>
      <c r="L444" s="8" t="s">
        <v>2373</v>
      </c>
      <c r="M444" s="28" t="n">
        <f aca="false">'Disease Prediction Model'!$C$9+'Disease Prediction Model'!$C$10*B444+'Disease Prediction Model'!$C$11*C444+'Disease Prediction Model'!$C$12*D444+'Disease Prediction Model'!$C$13*E444+'Disease Prediction Model'!$C$14*F444+'Disease Prediction Model'!$C$15*G444</f>
        <v>0.41363</v>
      </c>
      <c r="N444" s="8" t="str">
        <f aca="false">IF(M444&gt;=0.5,"Yes","No")</f>
        <v>No</v>
      </c>
    </row>
    <row r="445" customFormat="false" ht="15" hidden="false" customHeight="false" outlineLevel="0" collapsed="false">
      <c r="A445" s="8" t="s">
        <v>2393</v>
      </c>
      <c r="B445" s="8" t="n">
        <v>60</v>
      </c>
      <c r="C445" s="8" t="n">
        <v>31.5</v>
      </c>
      <c r="D445" s="8" t="n">
        <v>113</v>
      </c>
      <c r="E445" s="8" t="n">
        <v>105</v>
      </c>
      <c r="F445" s="8" t="n">
        <v>1</v>
      </c>
      <c r="G445" s="8" t="n">
        <v>0</v>
      </c>
      <c r="H445" s="8" t="n">
        <v>1</v>
      </c>
      <c r="I445" s="8" t="s">
        <v>1954</v>
      </c>
      <c r="J445" s="8" t="s">
        <v>1959</v>
      </c>
      <c r="K445" s="8" t="s">
        <v>1954</v>
      </c>
      <c r="L445" s="8" t="s">
        <v>2373</v>
      </c>
      <c r="M445" s="28" t="n">
        <f aca="false">'Disease Prediction Model'!$C$9+'Disease Prediction Model'!$C$10*B445+'Disease Prediction Model'!$C$11*C445+'Disease Prediction Model'!$C$12*D445+'Disease Prediction Model'!$C$13*E445+'Disease Prediction Model'!$C$14*F445+'Disease Prediction Model'!$C$15*G445</f>
        <v>0.558455</v>
      </c>
      <c r="N445" s="8" t="str">
        <f aca="false">IF(M445&gt;=0.5,"Yes","No")</f>
        <v>Yes</v>
      </c>
    </row>
    <row r="446" customFormat="false" ht="15" hidden="false" customHeight="false" outlineLevel="0" collapsed="false">
      <c r="A446" s="8" t="s">
        <v>2394</v>
      </c>
      <c r="B446" s="8" t="n">
        <v>61</v>
      </c>
      <c r="C446" s="8" t="n">
        <v>23.3</v>
      </c>
      <c r="D446" s="8" t="n">
        <v>134</v>
      </c>
      <c r="E446" s="8" t="n">
        <v>111</v>
      </c>
      <c r="F446" s="8" t="n">
        <v>0</v>
      </c>
      <c r="G446" s="8" t="n">
        <v>1</v>
      </c>
      <c r="H446" s="8" t="n">
        <v>0</v>
      </c>
      <c r="I446" s="8" t="s">
        <v>1948</v>
      </c>
      <c r="J446" s="8" t="s">
        <v>1405</v>
      </c>
      <c r="K446" s="8" t="s">
        <v>1948</v>
      </c>
      <c r="L446" s="8" t="s">
        <v>2373</v>
      </c>
      <c r="M446" s="28" t="n">
        <f aca="false">'Disease Prediction Model'!$C$9+'Disease Prediction Model'!$C$10*B446+'Disease Prediction Model'!$C$11*C446+'Disease Prediction Model'!$C$12*D446+'Disease Prediction Model'!$C$13*E446+'Disease Prediction Model'!$C$14*F446+'Disease Prediction Model'!$C$15*G446</f>
        <v>0.365617</v>
      </c>
      <c r="N446" s="8" t="str">
        <f aca="false">IF(M446&gt;=0.5,"Yes","No")</f>
        <v>No</v>
      </c>
    </row>
    <row r="447" customFormat="false" ht="15" hidden="false" customHeight="false" outlineLevel="0" collapsed="false">
      <c r="A447" s="8" t="s">
        <v>2395</v>
      </c>
      <c r="B447" s="8" t="n">
        <v>43</v>
      </c>
      <c r="C447" s="8" t="n">
        <v>22.5</v>
      </c>
      <c r="D447" s="8" t="n">
        <v>101</v>
      </c>
      <c r="E447" s="8" t="n">
        <v>125</v>
      </c>
      <c r="F447" s="8" t="n">
        <v>1</v>
      </c>
      <c r="G447" s="8" t="n">
        <v>0</v>
      </c>
      <c r="H447" s="8" t="n">
        <v>0</v>
      </c>
      <c r="I447" s="8" t="s">
        <v>1954</v>
      </c>
      <c r="J447" s="8" t="s">
        <v>1959</v>
      </c>
      <c r="K447" s="8" t="s">
        <v>1948</v>
      </c>
      <c r="L447" s="8" t="s">
        <v>2373</v>
      </c>
      <c r="M447" s="28" t="n">
        <f aca="false">'Disease Prediction Model'!$C$9+'Disease Prediction Model'!$C$10*B447+'Disease Prediction Model'!$C$11*C447+'Disease Prediction Model'!$C$12*D447+'Disease Prediction Model'!$C$13*E447+'Disease Prediction Model'!$C$14*F447+'Disease Prediction Model'!$C$15*G447</f>
        <v>0.548545</v>
      </c>
      <c r="N447" s="8" t="str">
        <f aca="false">IF(M447&gt;=0.5,"Yes","No")</f>
        <v>Yes</v>
      </c>
    </row>
    <row r="448" customFormat="false" ht="15" hidden="false" customHeight="false" outlineLevel="0" collapsed="false">
      <c r="A448" s="8" t="s">
        <v>2396</v>
      </c>
      <c r="B448" s="8" t="n">
        <v>46</v>
      </c>
      <c r="C448" s="8" t="n">
        <v>24.2</v>
      </c>
      <c r="D448" s="8" t="n">
        <v>130</v>
      </c>
      <c r="E448" s="8" t="n">
        <v>97</v>
      </c>
      <c r="F448" s="8" t="n">
        <v>0</v>
      </c>
      <c r="G448" s="8" t="n">
        <v>1</v>
      </c>
      <c r="H448" s="8" t="n">
        <v>1</v>
      </c>
      <c r="I448" s="8" t="s">
        <v>1948</v>
      </c>
      <c r="J448" s="8" t="s">
        <v>1405</v>
      </c>
      <c r="K448" s="8" t="s">
        <v>1954</v>
      </c>
      <c r="L448" s="8" t="s">
        <v>2373</v>
      </c>
      <c r="M448" s="28" t="n">
        <f aca="false">'Disease Prediction Model'!$C$9+'Disease Prediction Model'!$C$10*B448+'Disease Prediction Model'!$C$11*C448+'Disease Prediction Model'!$C$12*D448+'Disease Prediction Model'!$C$13*E448+'Disease Prediction Model'!$C$14*F448+'Disease Prediction Model'!$C$15*G448</f>
        <v>0.188108</v>
      </c>
      <c r="N448" s="8" t="str">
        <f aca="false">IF(M448&gt;=0.5,"Yes","No")</f>
        <v>No</v>
      </c>
    </row>
    <row r="449" customFormat="false" ht="15" hidden="false" customHeight="false" outlineLevel="0" collapsed="false">
      <c r="A449" s="8" t="s">
        <v>2397</v>
      </c>
      <c r="B449" s="8" t="n">
        <v>54</v>
      </c>
      <c r="C449" s="8" t="n">
        <v>30.2</v>
      </c>
      <c r="D449" s="8" t="n">
        <v>130</v>
      </c>
      <c r="E449" s="8" t="n">
        <v>94</v>
      </c>
      <c r="F449" s="8" t="n">
        <v>1</v>
      </c>
      <c r="G449" s="8" t="n">
        <v>0</v>
      </c>
      <c r="H449" s="8" t="n">
        <v>1</v>
      </c>
      <c r="I449" s="8" t="s">
        <v>1954</v>
      </c>
      <c r="J449" s="8" t="s">
        <v>1959</v>
      </c>
      <c r="K449" s="8" t="s">
        <v>1954</v>
      </c>
      <c r="L449" s="8" t="s">
        <v>2373</v>
      </c>
      <c r="M449" s="28" t="n">
        <f aca="false">'Disease Prediction Model'!$C$9+'Disease Prediction Model'!$C$10*B449+'Disease Prediction Model'!$C$11*C449+'Disease Prediction Model'!$C$12*D449+'Disease Prediction Model'!$C$13*E449+'Disease Prediction Model'!$C$14*F449+'Disease Prediction Model'!$C$15*G449</f>
        <v>0.485128</v>
      </c>
      <c r="N449" s="8" t="str">
        <f aca="false">IF(M449&gt;=0.5,"Yes","No")</f>
        <v>No</v>
      </c>
    </row>
    <row r="450" customFormat="false" ht="15" hidden="false" customHeight="false" outlineLevel="0" collapsed="false">
      <c r="A450" s="8" t="s">
        <v>2398</v>
      </c>
      <c r="B450" s="8" t="n">
        <v>46</v>
      </c>
      <c r="C450" s="8" t="n">
        <v>24.1</v>
      </c>
      <c r="D450" s="8" t="n">
        <v>149</v>
      </c>
      <c r="E450" s="8" t="n">
        <v>135</v>
      </c>
      <c r="F450" s="8" t="n">
        <v>0</v>
      </c>
      <c r="G450" s="8" t="n">
        <v>0</v>
      </c>
      <c r="H450" s="8" t="n">
        <v>1</v>
      </c>
      <c r="I450" s="8" t="s">
        <v>1948</v>
      </c>
      <c r="J450" s="8" t="s">
        <v>1959</v>
      </c>
      <c r="K450" s="8" t="s">
        <v>1954</v>
      </c>
      <c r="L450" s="8" t="s">
        <v>2373</v>
      </c>
      <c r="M450" s="28" t="n">
        <f aca="false">'Disease Prediction Model'!$C$9+'Disease Prediction Model'!$C$10*B450+'Disease Prediction Model'!$C$11*C450+'Disease Prediction Model'!$C$12*D450+'Disease Prediction Model'!$C$13*E450+'Disease Prediction Model'!$C$14*F450+'Disease Prediction Model'!$C$15*G450</f>
        <v>0.707729</v>
      </c>
      <c r="N450" s="8" t="str">
        <f aca="false">IF(M450&gt;=0.5,"Yes","No")</f>
        <v>Yes</v>
      </c>
    </row>
    <row r="451" customFormat="false" ht="15" hidden="false" customHeight="false" outlineLevel="0" collapsed="false">
      <c r="A451" s="8" t="s">
        <v>2399</v>
      </c>
      <c r="B451" s="8" t="n">
        <v>63</v>
      </c>
      <c r="C451" s="8" t="n">
        <v>28.7</v>
      </c>
      <c r="D451" s="8" t="n">
        <v>136</v>
      </c>
      <c r="E451" s="8" t="n">
        <v>92</v>
      </c>
      <c r="F451" s="8" t="n">
        <v>0</v>
      </c>
      <c r="G451" s="8" t="n">
        <v>1</v>
      </c>
      <c r="H451" s="8" t="n">
        <v>0</v>
      </c>
      <c r="I451" s="8" t="s">
        <v>1948</v>
      </c>
      <c r="J451" s="8" t="s">
        <v>1405</v>
      </c>
      <c r="K451" s="8" t="s">
        <v>1948</v>
      </c>
      <c r="L451" s="8" t="s">
        <v>2373</v>
      </c>
      <c r="M451" s="28" t="n">
        <f aca="false">'Disease Prediction Model'!$C$9+'Disease Prediction Model'!$C$10*B451+'Disease Prediction Model'!$C$11*C451+'Disease Prediction Model'!$C$12*D451+'Disease Prediction Model'!$C$13*E451+'Disease Prediction Model'!$C$14*F451+'Disease Prediction Model'!$C$15*G451</f>
        <v>0.264183</v>
      </c>
      <c r="N451" s="8" t="str">
        <f aca="false">IF(M451&gt;=0.5,"Yes","No")</f>
        <v>No</v>
      </c>
    </row>
    <row r="452" customFormat="false" ht="15" hidden="false" customHeight="false" outlineLevel="0" collapsed="false">
      <c r="A452" s="8" t="s">
        <v>2400</v>
      </c>
      <c r="B452" s="8" t="n">
        <v>39</v>
      </c>
      <c r="C452" s="8" t="n">
        <v>32.6</v>
      </c>
      <c r="D452" s="8" t="n">
        <v>114</v>
      </c>
      <c r="E452" s="8" t="n">
        <v>79</v>
      </c>
      <c r="F452" s="8" t="n">
        <v>1</v>
      </c>
      <c r="G452" s="8" t="n">
        <v>0</v>
      </c>
      <c r="H452" s="8" t="n">
        <v>1</v>
      </c>
      <c r="I452" s="8" t="s">
        <v>1954</v>
      </c>
      <c r="J452" s="8" t="s">
        <v>1959</v>
      </c>
      <c r="K452" s="8" t="s">
        <v>1954</v>
      </c>
      <c r="L452" s="8" t="s">
        <v>2373</v>
      </c>
      <c r="M452" s="28" t="n">
        <f aca="false">'Disease Prediction Model'!$C$9+'Disease Prediction Model'!$C$10*B452+'Disease Prediction Model'!$C$11*C452+'Disease Prediction Model'!$C$12*D452+'Disease Prediction Model'!$C$13*E452+'Disease Prediction Model'!$C$14*F452+'Disease Prediction Model'!$C$15*G452</f>
        <v>0.272484</v>
      </c>
      <c r="N452" s="8" t="str">
        <f aca="false">IF(M452&gt;=0.5,"Yes","No")</f>
        <v>No</v>
      </c>
    </row>
    <row r="453" customFormat="false" ht="15" hidden="false" customHeight="false" outlineLevel="0" collapsed="false">
      <c r="A453" s="8" t="s">
        <v>2401</v>
      </c>
      <c r="B453" s="8" t="n">
        <v>38</v>
      </c>
      <c r="C453" s="8" t="n">
        <v>21.4</v>
      </c>
      <c r="D453" s="8" t="n">
        <v>120</v>
      </c>
      <c r="E453" s="8" t="n">
        <v>144</v>
      </c>
      <c r="F453" s="8" t="n">
        <v>0</v>
      </c>
      <c r="G453" s="8" t="n">
        <v>2</v>
      </c>
      <c r="H453" s="8" t="n">
        <v>1</v>
      </c>
      <c r="I453" s="8" t="s">
        <v>1948</v>
      </c>
      <c r="J453" s="8" t="s">
        <v>1951</v>
      </c>
      <c r="K453" s="8" t="s">
        <v>1954</v>
      </c>
      <c r="L453" s="8" t="s">
        <v>2373</v>
      </c>
      <c r="M453" s="28" t="n">
        <f aca="false">'Disease Prediction Model'!$C$9+'Disease Prediction Model'!$C$10*B453+'Disease Prediction Model'!$C$11*C453+'Disease Prediction Model'!$C$12*D453+'Disease Prediction Model'!$C$13*E453+'Disease Prediction Model'!$C$14*F453+'Disease Prediction Model'!$C$15*G453</f>
        <v>0.431416</v>
      </c>
      <c r="N453" s="8" t="str">
        <f aca="false">IF(M453&gt;=0.5,"Yes","No")</f>
        <v>No</v>
      </c>
    </row>
    <row r="454" customFormat="false" ht="15" hidden="false" customHeight="false" outlineLevel="0" collapsed="false">
      <c r="A454" s="8" t="s">
        <v>2402</v>
      </c>
      <c r="B454" s="8" t="n">
        <v>58</v>
      </c>
      <c r="C454" s="8" t="n">
        <v>33.8</v>
      </c>
      <c r="D454" s="8" t="n">
        <v>112</v>
      </c>
      <c r="E454" s="8" t="n">
        <v>108</v>
      </c>
      <c r="F454" s="8" t="n">
        <v>1</v>
      </c>
      <c r="G454" s="8" t="n">
        <v>1</v>
      </c>
      <c r="H454" s="8" t="n">
        <v>0</v>
      </c>
      <c r="I454" s="8" t="s">
        <v>1954</v>
      </c>
      <c r="J454" s="8" t="s">
        <v>1405</v>
      </c>
      <c r="K454" s="8" t="s">
        <v>1948</v>
      </c>
      <c r="L454" s="8" t="s">
        <v>2373</v>
      </c>
      <c r="M454" s="28" t="n">
        <f aca="false">'Disease Prediction Model'!$C$9+'Disease Prediction Model'!$C$10*B454+'Disease Prediction Model'!$C$11*C454+'Disease Prediction Model'!$C$12*D454+'Disease Prediction Model'!$C$13*E454+'Disease Prediction Model'!$C$14*F454+'Disease Prediction Model'!$C$15*G454</f>
        <v>0.502152</v>
      </c>
      <c r="N454" s="8" t="str">
        <f aca="false">IF(M454&gt;=0.5,"Yes","No")</f>
        <v>Yes</v>
      </c>
    </row>
    <row r="455" customFormat="false" ht="15" hidden="false" customHeight="false" outlineLevel="0" collapsed="false">
      <c r="A455" s="8" t="s">
        <v>2403</v>
      </c>
      <c r="B455" s="8" t="n">
        <v>18</v>
      </c>
      <c r="C455" s="8" t="n">
        <v>27.1</v>
      </c>
      <c r="D455" s="8" t="n">
        <v>102</v>
      </c>
      <c r="E455" s="8" t="n">
        <v>70</v>
      </c>
      <c r="F455" s="8" t="n">
        <v>0</v>
      </c>
      <c r="G455" s="8" t="n">
        <v>1</v>
      </c>
      <c r="H455" s="8" t="n">
        <v>0</v>
      </c>
      <c r="I455" s="8" t="s">
        <v>1948</v>
      </c>
      <c r="J455" s="8" t="s">
        <v>1405</v>
      </c>
      <c r="K455" s="8" t="s">
        <v>1948</v>
      </c>
      <c r="L455" s="8" t="s">
        <v>2373</v>
      </c>
      <c r="M455" s="28" t="n">
        <f aca="false">'Disease Prediction Model'!$C$9+'Disease Prediction Model'!$C$10*B455+'Disease Prediction Model'!$C$11*C455+'Disease Prediction Model'!$C$12*D455+'Disease Prediction Model'!$C$13*E455+'Disease Prediction Model'!$C$14*F455+'Disease Prediction Model'!$C$15*G455</f>
        <v>-0.210881</v>
      </c>
      <c r="N455" s="8" t="str">
        <f aca="false">IF(M455&gt;=0.5,"Yes","No")</f>
        <v>No</v>
      </c>
    </row>
    <row r="456" customFormat="false" ht="15" hidden="false" customHeight="false" outlineLevel="0" collapsed="false">
      <c r="A456" s="8" t="s">
        <v>2404</v>
      </c>
      <c r="B456" s="8" t="n">
        <v>39</v>
      </c>
      <c r="C456" s="8" t="n">
        <v>25.4</v>
      </c>
      <c r="D456" s="8" t="n">
        <v>110</v>
      </c>
      <c r="E456" s="8" t="n">
        <v>71</v>
      </c>
      <c r="F456" s="8" t="n">
        <v>1</v>
      </c>
      <c r="G456" s="8" t="n">
        <v>0</v>
      </c>
      <c r="H456" s="8" t="n">
        <v>0</v>
      </c>
      <c r="I456" s="8" t="s">
        <v>1954</v>
      </c>
      <c r="J456" s="8" t="s">
        <v>1959</v>
      </c>
      <c r="K456" s="8" t="s">
        <v>1948</v>
      </c>
      <c r="L456" s="8" t="s">
        <v>2373</v>
      </c>
      <c r="M456" s="28" t="n">
        <f aca="false">'Disease Prediction Model'!$C$9+'Disease Prediction Model'!$C$10*B456+'Disease Prediction Model'!$C$11*C456+'Disease Prediction Model'!$C$12*D456+'Disease Prediction Model'!$C$13*E456+'Disease Prediction Model'!$C$14*F456+'Disease Prediction Model'!$C$15*G456</f>
        <v>0.102076</v>
      </c>
      <c r="N456" s="8" t="str">
        <f aca="false">IF(M456&gt;=0.5,"Yes","No")</f>
        <v>No</v>
      </c>
    </row>
    <row r="457" customFormat="false" ht="15" hidden="false" customHeight="false" outlineLevel="0" collapsed="false">
      <c r="A457" s="8" t="s">
        <v>2405</v>
      </c>
      <c r="B457" s="8" t="n">
        <v>36</v>
      </c>
      <c r="C457" s="8" t="n">
        <v>30.1</v>
      </c>
      <c r="D457" s="8" t="n">
        <v>127</v>
      </c>
      <c r="E457" s="8" t="n">
        <v>116</v>
      </c>
      <c r="F457" s="8" t="n">
        <v>1</v>
      </c>
      <c r="G457" s="8" t="n">
        <v>1</v>
      </c>
      <c r="H457" s="8" t="n">
        <v>1</v>
      </c>
      <c r="I457" s="8" t="s">
        <v>1954</v>
      </c>
      <c r="J457" s="8" t="s">
        <v>1405</v>
      </c>
      <c r="K457" s="8" t="s">
        <v>1954</v>
      </c>
      <c r="L457" s="8" t="s">
        <v>2373</v>
      </c>
      <c r="M457" s="28" t="n">
        <f aca="false">'Disease Prediction Model'!$C$9+'Disease Prediction Model'!$C$10*B457+'Disease Prediction Model'!$C$11*C457+'Disease Prediction Model'!$C$12*D457+'Disease Prediction Model'!$C$13*E457+'Disease Prediction Model'!$C$14*F457+'Disease Prediction Model'!$C$15*G457</f>
        <v>0.523549</v>
      </c>
      <c r="N457" s="8" t="str">
        <f aca="false">IF(M457&gt;=0.5,"Yes","No")</f>
        <v>Yes</v>
      </c>
    </row>
    <row r="458" customFormat="false" ht="15" hidden="false" customHeight="false" outlineLevel="0" collapsed="false">
      <c r="A458" s="8" t="s">
        <v>2406</v>
      </c>
      <c r="B458" s="8" t="n">
        <v>54</v>
      </c>
      <c r="C458" s="8" t="n">
        <v>24.6</v>
      </c>
      <c r="D458" s="8" t="n">
        <v>129</v>
      </c>
      <c r="E458" s="8" t="n">
        <v>89</v>
      </c>
      <c r="F458" s="8" t="n">
        <v>1</v>
      </c>
      <c r="G458" s="8" t="n">
        <v>1</v>
      </c>
      <c r="H458" s="8" t="n">
        <v>0</v>
      </c>
      <c r="I458" s="8" t="s">
        <v>1954</v>
      </c>
      <c r="J458" s="8" t="s">
        <v>1405</v>
      </c>
      <c r="K458" s="8" t="s">
        <v>1948</v>
      </c>
      <c r="L458" s="8" t="s">
        <v>2373</v>
      </c>
      <c r="M458" s="28" t="n">
        <f aca="false">'Disease Prediction Model'!$C$9+'Disease Prediction Model'!$C$10*B458+'Disease Prediction Model'!$C$11*C458+'Disease Prediction Model'!$C$12*D458+'Disease Prediction Model'!$C$13*E458+'Disease Prediction Model'!$C$14*F458+'Disease Prediction Model'!$C$15*G458</f>
        <v>0.270604</v>
      </c>
      <c r="N458" s="8" t="str">
        <f aca="false">IF(M458&gt;=0.5,"Yes","No")</f>
        <v>No</v>
      </c>
    </row>
    <row r="459" customFormat="false" ht="15" hidden="false" customHeight="false" outlineLevel="0" collapsed="false">
      <c r="A459" s="8" t="s">
        <v>2407</v>
      </c>
      <c r="B459" s="8" t="n">
        <v>49</v>
      </c>
      <c r="C459" s="8" t="n">
        <v>29.6</v>
      </c>
      <c r="D459" s="8" t="n">
        <v>138</v>
      </c>
      <c r="E459" s="8" t="n">
        <v>107</v>
      </c>
      <c r="F459" s="8" t="n">
        <v>0</v>
      </c>
      <c r="G459" s="8" t="n">
        <v>1</v>
      </c>
      <c r="H459" s="8" t="n">
        <v>1</v>
      </c>
      <c r="I459" s="8" t="s">
        <v>1948</v>
      </c>
      <c r="J459" s="8" t="s">
        <v>1405</v>
      </c>
      <c r="K459" s="8" t="s">
        <v>1954</v>
      </c>
      <c r="L459" s="8" t="s">
        <v>2373</v>
      </c>
      <c r="M459" s="28" t="n">
        <f aca="false">'Disease Prediction Model'!$C$9+'Disease Prediction Model'!$C$10*B459+'Disease Prediction Model'!$C$11*C459+'Disease Prediction Model'!$C$12*D459+'Disease Prediction Model'!$C$13*E459+'Disease Prediction Model'!$C$14*F459+'Disease Prediction Model'!$C$15*G459</f>
        <v>0.379614</v>
      </c>
      <c r="N459" s="8" t="str">
        <f aca="false">IF(M459&gt;=0.5,"Yes","No")</f>
        <v>No</v>
      </c>
    </row>
    <row r="460" customFormat="false" ht="15" hidden="false" customHeight="false" outlineLevel="0" collapsed="false">
      <c r="A460" s="8" t="s">
        <v>2408</v>
      </c>
      <c r="B460" s="8" t="n">
        <v>25</v>
      </c>
      <c r="C460" s="8" t="n">
        <v>35.6</v>
      </c>
      <c r="D460" s="8" t="n">
        <v>138</v>
      </c>
      <c r="E460" s="8" t="n">
        <v>114</v>
      </c>
      <c r="F460" s="8" t="n">
        <v>0</v>
      </c>
      <c r="G460" s="8" t="n">
        <v>0</v>
      </c>
      <c r="H460" s="8" t="n">
        <v>1</v>
      </c>
      <c r="I460" s="8" t="s">
        <v>1948</v>
      </c>
      <c r="J460" s="8" t="s">
        <v>1959</v>
      </c>
      <c r="K460" s="8" t="s">
        <v>1954</v>
      </c>
      <c r="L460" s="8" t="s">
        <v>2373</v>
      </c>
      <c r="M460" s="28" t="n">
        <f aca="false">'Disease Prediction Model'!$C$9+'Disease Prediction Model'!$C$10*B460+'Disease Prediction Model'!$C$11*C460+'Disease Prediction Model'!$C$12*D460+'Disease Prediction Model'!$C$13*E460+'Disease Prediction Model'!$C$14*F460+'Disease Prediction Model'!$C$15*G460</f>
        <v>0.543554</v>
      </c>
      <c r="N460" s="8" t="str">
        <f aca="false">IF(M460&gt;=0.5,"Yes","No")</f>
        <v>Yes</v>
      </c>
    </row>
    <row r="461" customFormat="false" ht="15" hidden="false" customHeight="false" outlineLevel="0" collapsed="false">
      <c r="A461" s="8" t="s">
        <v>2409</v>
      </c>
      <c r="B461" s="8" t="n">
        <v>47</v>
      </c>
      <c r="C461" s="8" t="n">
        <v>24.2</v>
      </c>
      <c r="D461" s="8" t="n">
        <v>106</v>
      </c>
      <c r="E461" s="8" t="n">
        <v>85</v>
      </c>
      <c r="F461" s="8" t="n">
        <v>0</v>
      </c>
      <c r="G461" s="8" t="n">
        <v>1</v>
      </c>
      <c r="H461" s="8" t="n">
        <v>0</v>
      </c>
      <c r="I461" s="8" t="s">
        <v>1948</v>
      </c>
      <c r="J461" s="8" t="s">
        <v>1405</v>
      </c>
      <c r="K461" s="8" t="s">
        <v>1948</v>
      </c>
      <c r="L461" s="8" t="s">
        <v>2373</v>
      </c>
      <c r="M461" s="28" t="n">
        <f aca="false">'Disease Prediction Model'!$C$9+'Disease Prediction Model'!$C$10*B461+'Disease Prediction Model'!$C$11*C461+'Disease Prediction Model'!$C$12*D461+'Disease Prediction Model'!$C$13*E461+'Disease Prediction Model'!$C$14*F461+'Disease Prediction Model'!$C$15*G461</f>
        <v>-0.00601199999999996</v>
      </c>
      <c r="N461" s="8" t="str">
        <f aca="false">IF(M461&gt;=0.5,"Yes","No")</f>
        <v>No</v>
      </c>
    </row>
    <row r="462" customFormat="false" ht="15" hidden="false" customHeight="false" outlineLevel="0" collapsed="false">
      <c r="A462" s="8" t="s">
        <v>2410</v>
      </c>
      <c r="B462" s="8" t="n">
        <v>27</v>
      </c>
      <c r="C462" s="8" t="n">
        <v>29.6</v>
      </c>
      <c r="D462" s="8" t="n">
        <v>114</v>
      </c>
      <c r="E462" s="8" t="n">
        <v>98</v>
      </c>
      <c r="F462" s="8" t="n">
        <v>0</v>
      </c>
      <c r="G462" s="8" t="n">
        <v>0</v>
      </c>
      <c r="H462" s="8" t="n">
        <v>0</v>
      </c>
      <c r="I462" s="8" t="s">
        <v>1948</v>
      </c>
      <c r="J462" s="8" t="s">
        <v>1959</v>
      </c>
      <c r="K462" s="8" t="s">
        <v>1948</v>
      </c>
      <c r="L462" s="8" t="s">
        <v>2373</v>
      </c>
      <c r="M462" s="28" t="n">
        <f aca="false">'Disease Prediction Model'!$C$9+'Disease Prediction Model'!$C$10*B462+'Disease Prediction Model'!$C$11*C462+'Disease Prediction Model'!$C$12*D462+'Disease Prediction Model'!$C$13*E462+'Disease Prediction Model'!$C$14*F462+'Disease Prediction Model'!$C$15*G462</f>
        <v>0.246974</v>
      </c>
      <c r="N462" s="8" t="str">
        <f aca="false">IF(M462&gt;=0.5,"Yes","No")</f>
        <v>No</v>
      </c>
    </row>
    <row r="463" customFormat="false" ht="15" hidden="false" customHeight="false" outlineLevel="0" collapsed="false">
      <c r="A463" s="8" t="s">
        <v>2411</v>
      </c>
      <c r="B463" s="8" t="n">
        <v>54</v>
      </c>
      <c r="C463" s="8" t="n">
        <v>32.2</v>
      </c>
      <c r="D463" s="8" t="n">
        <v>141</v>
      </c>
      <c r="E463" s="8" t="n">
        <v>97</v>
      </c>
      <c r="F463" s="8" t="n">
        <v>0</v>
      </c>
      <c r="G463" s="8" t="n">
        <v>1</v>
      </c>
      <c r="H463" s="8" t="n">
        <v>1</v>
      </c>
      <c r="I463" s="8" t="s">
        <v>1948</v>
      </c>
      <c r="J463" s="8" t="s">
        <v>1405</v>
      </c>
      <c r="K463" s="8" t="s">
        <v>1954</v>
      </c>
      <c r="L463" s="8" t="s">
        <v>2373</v>
      </c>
      <c r="M463" s="28" t="n">
        <f aca="false">'Disease Prediction Model'!$C$9+'Disease Prediction Model'!$C$10*B463+'Disease Prediction Model'!$C$11*C463+'Disease Prediction Model'!$C$12*D463+'Disease Prediction Model'!$C$13*E463+'Disease Prediction Model'!$C$14*F463+'Disease Prediction Model'!$C$15*G463</f>
        <v>0.341968</v>
      </c>
      <c r="N463" s="8" t="str">
        <f aca="false">IF(M463&gt;=0.5,"Yes","No")</f>
        <v>No</v>
      </c>
    </row>
    <row r="464" customFormat="false" ht="15" hidden="false" customHeight="false" outlineLevel="0" collapsed="false">
      <c r="A464" s="8" t="s">
        <v>2412</v>
      </c>
      <c r="B464" s="8" t="n">
        <v>49</v>
      </c>
      <c r="C464" s="8" t="n">
        <v>25.9</v>
      </c>
      <c r="D464" s="8" t="n">
        <v>109</v>
      </c>
      <c r="E464" s="8" t="n">
        <v>98</v>
      </c>
      <c r="F464" s="8" t="n">
        <v>0</v>
      </c>
      <c r="G464" s="8" t="n">
        <v>1</v>
      </c>
      <c r="H464" s="8" t="n">
        <v>0</v>
      </c>
      <c r="I464" s="8" t="s">
        <v>1948</v>
      </c>
      <c r="J464" s="8" t="s">
        <v>1405</v>
      </c>
      <c r="K464" s="8" t="s">
        <v>1948</v>
      </c>
      <c r="L464" s="8" t="s">
        <v>2373</v>
      </c>
      <c r="M464" s="28" t="n">
        <f aca="false">'Disease Prediction Model'!$C$9+'Disease Prediction Model'!$C$10*B464+'Disease Prediction Model'!$C$11*C464+'Disease Prediction Model'!$C$12*D464+'Disease Prediction Model'!$C$13*E464+'Disease Prediction Model'!$C$14*F464+'Disease Prediction Model'!$C$15*G464</f>
        <v>0.150311</v>
      </c>
      <c r="N464" s="8" t="str">
        <f aca="false">IF(M464&gt;=0.5,"Yes","No")</f>
        <v>No</v>
      </c>
    </row>
    <row r="465" customFormat="false" ht="15" hidden="false" customHeight="false" outlineLevel="0" collapsed="false">
      <c r="A465" s="8" t="s">
        <v>2413</v>
      </c>
      <c r="B465" s="8" t="n">
        <v>58</v>
      </c>
      <c r="C465" s="8" t="n">
        <v>27.8</v>
      </c>
      <c r="D465" s="8" t="n">
        <v>94</v>
      </c>
      <c r="E465" s="8" t="n">
        <v>117</v>
      </c>
      <c r="F465" s="8" t="n">
        <v>1</v>
      </c>
      <c r="G465" s="8" t="n">
        <v>0</v>
      </c>
      <c r="H465" s="8" t="n">
        <v>1</v>
      </c>
      <c r="I465" s="8" t="s">
        <v>1954</v>
      </c>
      <c r="J465" s="8" t="s">
        <v>1959</v>
      </c>
      <c r="K465" s="8" t="s">
        <v>1954</v>
      </c>
      <c r="L465" s="8" t="s">
        <v>2373</v>
      </c>
      <c r="M465" s="28" t="n">
        <f aca="false">'Disease Prediction Model'!$C$9+'Disease Prediction Model'!$C$10*B465+'Disease Prediction Model'!$C$11*C465+'Disease Prediction Model'!$C$12*D465+'Disease Prediction Model'!$C$13*E465+'Disease Prediction Model'!$C$14*F465+'Disease Prediction Model'!$C$15*G465</f>
        <v>0.553572</v>
      </c>
      <c r="N465" s="8" t="str">
        <f aca="false">IF(M465&gt;=0.5,"Yes","No")</f>
        <v>Yes</v>
      </c>
    </row>
    <row r="466" customFormat="false" ht="15" hidden="false" customHeight="false" outlineLevel="0" collapsed="false">
      <c r="A466" s="8" t="s">
        <v>2414</v>
      </c>
      <c r="B466" s="8" t="n">
        <v>34</v>
      </c>
      <c r="C466" s="8" t="n">
        <v>26.3</v>
      </c>
      <c r="D466" s="8" t="n">
        <v>136</v>
      </c>
      <c r="E466" s="8" t="n">
        <v>75</v>
      </c>
      <c r="F466" s="8" t="n">
        <v>1</v>
      </c>
      <c r="G466" s="8" t="n">
        <v>2</v>
      </c>
      <c r="H466" s="8" t="n">
        <v>0</v>
      </c>
      <c r="I466" s="8" t="s">
        <v>1954</v>
      </c>
      <c r="J466" s="8" t="s">
        <v>1951</v>
      </c>
      <c r="K466" s="8" t="s">
        <v>1948</v>
      </c>
      <c r="L466" s="8" t="s">
        <v>2373</v>
      </c>
      <c r="M466" s="28" t="n">
        <f aca="false">'Disease Prediction Model'!$C$9+'Disease Prediction Model'!$C$10*B466+'Disease Prediction Model'!$C$11*C466+'Disease Prediction Model'!$C$12*D466+'Disease Prediction Model'!$C$13*E466+'Disease Prediction Model'!$C$14*F466+'Disease Prediction Model'!$C$15*G466</f>
        <v>0.026127</v>
      </c>
      <c r="N466" s="8" t="str">
        <f aca="false">IF(M466&gt;=0.5,"Yes","No")</f>
        <v>No</v>
      </c>
    </row>
    <row r="467" customFormat="false" ht="15" hidden="false" customHeight="false" outlineLevel="0" collapsed="false">
      <c r="A467" s="8" t="s">
        <v>2415</v>
      </c>
      <c r="B467" s="8" t="n">
        <v>44</v>
      </c>
      <c r="C467" s="8" t="n">
        <v>30.9</v>
      </c>
      <c r="D467" s="8" t="n">
        <v>135</v>
      </c>
      <c r="E467" s="8" t="n">
        <v>90</v>
      </c>
      <c r="F467" s="8" t="n">
        <v>1</v>
      </c>
      <c r="G467" s="8" t="n">
        <v>0</v>
      </c>
      <c r="H467" s="8" t="n">
        <v>0</v>
      </c>
      <c r="I467" s="8" t="s">
        <v>1954</v>
      </c>
      <c r="J467" s="8" t="s">
        <v>1959</v>
      </c>
      <c r="K467" s="8" t="s">
        <v>1948</v>
      </c>
      <c r="L467" s="8" t="s">
        <v>2373</v>
      </c>
      <c r="M467" s="28" t="n">
        <f aca="false">'Disease Prediction Model'!$C$9+'Disease Prediction Model'!$C$10*B467+'Disease Prediction Model'!$C$11*C467+'Disease Prediction Model'!$C$12*D467+'Disease Prediction Model'!$C$13*E467+'Disease Prediction Model'!$C$14*F467+'Disease Prediction Model'!$C$15*G467</f>
        <v>0.444761</v>
      </c>
      <c r="N467" s="8" t="str">
        <f aca="false">IF(M467&gt;=0.5,"Yes","No")</f>
        <v>No</v>
      </c>
    </row>
    <row r="468" customFormat="false" ht="15" hidden="false" customHeight="false" outlineLevel="0" collapsed="false">
      <c r="A468" s="8" t="s">
        <v>2416</v>
      </c>
      <c r="B468" s="8" t="n">
        <v>30</v>
      </c>
      <c r="C468" s="8" t="n">
        <v>28.1</v>
      </c>
      <c r="D468" s="8" t="n">
        <v>132</v>
      </c>
      <c r="E468" s="8" t="n">
        <v>106</v>
      </c>
      <c r="F468" s="8" t="n">
        <v>1</v>
      </c>
      <c r="G468" s="8" t="n">
        <v>0</v>
      </c>
      <c r="H468" s="8" t="n">
        <v>0</v>
      </c>
      <c r="I468" s="8" t="s">
        <v>1954</v>
      </c>
      <c r="J468" s="8" t="s">
        <v>1959</v>
      </c>
      <c r="K468" s="8" t="s">
        <v>1948</v>
      </c>
      <c r="L468" s="8" t="s">
        <v>2373</v>
      </c>
      <c r="M468" s="28" t="n">
        <f aca="false">'Disease Prediction Model'!$C$9+'Disease Prediction Model'!$C$10*B468+'Disease Prediction Model'!$C$11*C468+'Disease Prediction Model'!$C$12*D468+'Disease Prediction Model'!$C$13*E468+'Disease Prediction Model'!$C$14*F468+'Disease Prediction Model'!$C$15*G468</f>
        <v>0.509409</v>
      </c>
      <c r="N468" s="8" t="str">
        <f aca="false">IF(M468&gt;=0.5,"Yes","No")</f>
        <v>Yes</v>
      </c>
    </row>
    <row r="469" customFormat="false" ht="15" hidden="false" customHeight="false" outlineLevel="0" collapsed="false">
      <c r="A469" s="8" t="s">
        <v>2417</v>
      </c>
      <c r="B469" s="8" t="n">
        <v>39</v>
      </c>
      <c r="C469" s="8" t="n">
        <v>30.6</v>
      </c>
      <c r="D469" s="8" t="n">
        <v>112</v>
      </c>
      <c r="E469" s="8" t="n">
        <v>107</v>
      </c>
      <c r="F469" s="8" t="n">
        <v>0</v>
      </c>
      <c r="G469" s="8" t="n">
        <v>0</v>
      </c>
      <c r="H469" s="8" t="n">
        <v>0</v>
      </c>
      <c r="I469" s="8" t="s">
        <v>1948</v>
      </c>
      <c r="J469" s="8" t="s">
        <v>1959</v>
      </c>
      <c r="K469" s="8" t="s">
        <v>1948</v>
      </c>
      <c r="L469" s="8" t="s">
        <v>2373</v>
      </c>
      <c r="M469" s="28" t="n">
        <f aca="false">'Disease Prediction Model'!$C$9+'Disease Prediction Model'!$C$10*B469+'Disease Prediction Model'!$C$11*C469+'Disease Prediction Model'!$C$12*D469+'Disease Prediction Model'!$C$13*E469+'Disease Prediction Model'!$C$14*F469+'Disease Prediction Model'!$C$15*G469</f>
        <v>0.369584</v>
      </c>
      <c r="N469" s="8" t="str">
        <f aca="false">IF(M469&gt;=0.5,"Yes","No")</f>
        <v>No</v>
      </c>
    </row>
    <row r="470" customFormat="false" ht="15" hidden="false" customHeight="false" outlineLevel="0" collapsed="false">
      <c r="A470" s="8" t="s">
        <v>2418</v>
      </c>
      <c r="B470" s="8" t="n">
        <v>58</v>
      </c>
      <c r="C470" s="8" t="n">
        <v>32.9</v>
      </c>
      <c r="D470" s="8" t="n">
        <v>152</v>
      </c>
      <c r="E470" s="8" t="n">
        <v>85</v>
      </c>
      <c r="F470" s="8" t="n">
        <v>1</v>
      </c>
      <c r="G470" s="8" t="n">
        <v>2</v>
      </c>
      <c r="H470" s="8" t="n">
        <v>1</v>
      </c>
      <c r="I470" s="8" t="s">
        <v>1954</v>
      </c>
      <c r="J470" s="8" t="s">
        <v>1951</v>
      </c>
      <c r="K470" s="8" t="s">
        <v>1954</v>
      </c>
      <c r="L470" s="8" t="s">
        <v>2373</v>
      </c>
      <c r="M470" s="28" t="n">
        <f aca="false">'Disease Prediction Model'!$C$9+'Disease Prediction Model'!$C$10*B470+'Disease Prediction Model'!$C$11*C470+'Disease Prediction Model'!$C$12*D470+'Disease Prediction Model'!$C$13*E470+'Disease Prediction Model'!$C$14*F470+'Disease Prediction Model'!$C$15*G470</f>
        <v>0.321261</v>
      </c>
      <c r="N470" s="8" t="str">
        <f aca="false">IF(M470&gt;=0.5,"Yes","No")</f>
        <v>No</v>
      </c>
    </row>
    <row r="471" customFormat="false" ht="15" hidden="false" customHeight="false" outlineLevel="0" collapsed="false">
      <c r="A471" s="8" t="s">
        <v>2419</v>
      </c>
      <c r="B471" s="8" t="n">
        <v>69</v>
      </c>
      <c r="C471" s="8" t="n">
        <v>23.7</v>
      </c>
      <c r="D471" s="8" t="n">
        <v>130</v>
      </c>
      <c r="E471" s="8" t="n">
        <v>70</v>
      </c>
      <c r="F471" s="8" t="n">
        <v>1</v>
      </c>
      <c r="G471" s="8" t="n">
        <v>2</v>
      </c>
      <c r="H471" s="8" t="n">
        <v>0</v>
      </c>
      <c r="I471" s="8" t="s">
        <v>1954</v>
      </c>
      <c r="J471" s="8" t="s">
        <v>1951</v>
      </c>
      <c r="K471" s="8" t="s">
        <v>1948</v>
      </c>
      <c r="L471" s="8" t="s">
        <v>2373</v>
      </c>
      <c r="M471" s="28" t="n">
        <f aca="false">'Disease Prediction Model'!$C$9+'Disease Prediction Model'!$C$10*B471+'Disease Prediction Model'!$C$11*C471+'Disease Prediction Model'!$C$12*D471+'Disease Prediction Model'!$C$13*E471+'Disease Prediction Model'!$C$14*F471+'Disease Prediction Model'!$C$15*G471</f>
        <v>0.0309330000000001</v>
      </c>
      <c r="N471" s="8" t="str">
        <f aca="false">IF(M471&gt;=0.5,"Yes","No")</f>
        <v>No</v>
      </c>
    </row>
    <row r="472" customFormat="false" ht="15" hidden="false" customHeight="false" outlineLevel="0" collapsed="false">
      <c r="A472" s="8" t="s">
        <v>2420</v>
      </c>
      <c r="B472" s="8" t="n">
        <v>61</v>
      </c>
      <c r="C472" s="8" t="n">
        <v>29.3</v>
      </c>
      <c r="D472" s="8" t="n">
        <v>133</v>
      </c>
      <c r="E472" s="8" t="n">
        <v>91</v>
      </c>
      <c r="F472" s="8" t="n">
        <v>1</v>
      </c>
      <c r="G472" s="8" t="n">
        <v>0</v>
      </c>
      <c r="H472" s="8" t="n">
        <v>1</v>
      </c>
      <c r="I472" s="8" t="s">
        <v>1954</v>
      </c>
      <c r="J472" s="8" t="s">
        <v>1959</v>
      </c>
      <c r="K472" s="8" t="s">
        <v>1954</v>
      </c>
      <c r="L472" s="8" t="s">
        <v>2373</v>
      </c>
      <c r="M472" s="28" t="n">
        <f aca="false">'Disease Prediction Model'!$C$9+'Disease Prediction Model'!$C$10*B472+'Disease Prediction Model'!$C$11*C472+'Disease Prediction Model'!$C$12*D472+'Disease Prediction Model'!$C$13*E472+'Disease Prediction Model'!$C$14*F472+'Disease Prediction Model'!$C$15*G472</f>
        <v>0.478277</v>
      </c>
      <c r="N472" s="8" t="str">
        <f aca="false">IF(M472&gt;=0.5,"Yes","No")</f>
        <v>No</v>
      </c>
    </row>
    <row r="473" customFormat="false" ht="15" hidden="false" customHeight="false" outlineLevel="0" collapsed="false">
      <c r="A473" s="8" t="s">
        <v>2421</v>
      </c>
      <c r="B473" s="8" t="n">
        <v>27</v>
      </c>
      <c r="C473" s="8" t="n">
        <v>18.5</v>
      </c>
      <c r="D473" s="8" t="n">
        <v>140</v>
      </c>
      <c r="E473" s="8" t="n">
        <v>87</v>
      </c>
      <c r="F473" s="8" t="n">
        <v>0</v>
      </c>
      <c r="G473" s="8" t="n">
        <v>2</v>
      </c>
      <c r="H473" s="8" t="n">
        <v>0</v>
      </c>
      <c r="I473" s="8" t="s">
        <v>1948</v>
      </c>
      <c r="J473" s="8" t="s">
        <v>1951</v>
      </c>
      <c r="K473" s="8" t="s">
        <v>1948</v>
      </c>
      <c r="L473" s="8" t="s">
        <v>2373</v>
      </c>
      <c r="M473" s="28" t="n">
        <f aca="false">'Disease Prediction Model'!$C$9+'Disease Prediction Model'!$C$10*B473+'Disease Prediction Model'!$C$11*C473+'Disease Prediction Model'!$C$12*D473+'Disease Prediction Model'!$C$13*E473+'Disease Prediction Model'!$C$14*F473+'Disease Prediction Model'!$C$15*G473</f>
        <v>-0.0899550000000001</v>
      </c>
      <c r="N473" s="8" t="str">
        <f aca="false">IF(M473&gt;=0.5,"Yes","No")</f>
        <v>No</v>
      </c>
    </row>
    <row r="474" customFormat="false" ht="15" hidden="false" customHeight="false" outlineLevel="0" collapsed="false">
      <c r="A474" s="8" t="s">
        <v>2422</v>
      </c>
      <c r="B474" s="8" t="n">
        <v>39</v>
      </c>
      <c r="C474" s="8" t="n">
        <v>25.5</v>
      </c>
      <c r="D474" s="8" t="n">
        <v>120</v>
      </c>
      <c r="E474" s="8" t="n">
        <v>78</v>
      </c>
      <c r="F474" s="8" t="n">
        <v>1</v>
      </c>
      <c r="G474" s="8" t="n">
        <v>0</v>
      </c>
      <c r="H474" s="8" t="n">
        <v>1</v>
      </c>
      <c r="I474" s="8" t="s">
        <v>1954</v>
      </c>
      <c r="J474" s="8" t="s">
        <v>1959</v>
      </c>
      <c r="K474" s="8" t="s">
        <v>1954</v>
      </c>
      <c r="L474" s="8" t="s">
        <v>2373</v>
      </c>
      <c r="M474" s="28" t="n">
        <f aca="false">'Disease Prediction Model'!$C$9+'Disease Prediction Model'!$C$10*B474+'Disease Prediction Model'!$C$11*C474+'Disease Prediction Model'!$C$12*D474+'Disease Prediction Model'!$C$13*E474+'Disease Prediction Model'!$C$14*F474+'Disease Prediction Model'!$C$15*G474</f>
        <v>0.203835</v>
      </c>
      <c r="N474" s="8" t="str">
        <f aca="false">IF(M474&gt;=0.5,"Yes","No")</f>
        <v>No</v>
      </c>
    </row>
    <row r="475" customFormat="false" ht="15" hidden="false" customHeight="false" outlineLevel="0" collapsed="false">
      <c r="A475" s="8" t="s">
        <v>2423</v>
      </c>
      <c r="B475" s="8" t="n">
        <v>41</v>
      </c>
      <c r="C475" s="8" t="n">
        <v>29.1</v>
      </c>
      <c r="D475" s="8" t="n">
        <v>117</v>
      </c>
      <c r="E475" s="8" t="n">
        <v>71</v>
      </c>
      <c r="F475" s="8" t="n">
        <v>1</v>
      </c>
      <c r="G475" s="8" t="n">
        <v>1</v>
      </c>
      <c r="H475" s="8" t="n">
        <v>0</v>
      </c>
      <c r="I475" s="8" t="s">
        <v>1954</v>
      </c>
      <c r="J475" s="8" t="s">
        <v>1405</v>
      </c>
      <c r="K475" s="8" t="s">
        <v>1948</v>
      </c>
      <c r="L475" s="8" t="s">
        <v>2373</v>
      </c>
      <c r="M475" s="28" t="n">
        <f aca="false">'Disease Prediction Model'!$C$9+'Disease Prediction Model'!$C$10*B475+'Disease Prediction Model'!$C$11*C475+'Disease Prediction Model'!$C$12*D475+'Disease Prediction Model'!$C$13*E475+'Disease Prediction Model'!$C$14*F475+'Disease Prediction Model'!$C$15*G475</f>
        <v>0.0742590000000001</v>
      </c>
      <c r="N475" s="8" t="str">
        <f aca="false">IF(M475&gt;=0.5,"Yes","No")</f>
        <v>No</v>
      </c>
    </row>
    <row r="476" customFormat="false" ht="15" hidden="false" customHeight="false" outlineLevel="0" collapsed="false">
      <c r="A476" s="8" t="s">
        <v>2424</v>
      </c>
      <c r="B476" s="8" t="n">
        <v>29</v>
      </c>
      <c r="C476" s="8" t="n">
        <v>23.7</v>
      </c>
      <c r="D476" s="8" t="n">
        <v>151</v>
      </c>
      <c r="E476" s="8" t="n">
        <v>115</v>
      </c>
      <c r="F476" s="8" t="n">
        <v>1</v>
      </c>
      <c r="G476" s="8" t="n">
        <v>1</v>
      </c>
      <c r="H476" s="8" t="n">
        <v>1</v>
      </c>
      <c r="I476" s="8" t="s">
        <v>1954</v>
      </c>
      <c r="J476" s="8" t="s">
        <v>1405</v>
      </c>
      <c r="K476" s="8" t="s">
        <v>1954</v>
      </c>
      <c r="L476" s="8" t="s">
        <v>2373</v>
      </c>
      <c r="M476" s="28" t="n">
        <f aca="false">'Disease Prediction Model'!$C$9+'Disease Prediction Model'!$C$10*B476+'Disease Prediction Model'!$C$11*C476+'Disease Prediction Model'!$C$12*D476+'Disease Prediction Model'!$C$13*E476+'Disease Prediction Model'!$C$14*F476+'Disease Prediction Model'!$C$15*G476</f>
        <v>0.506873</v>
      </c>
      <c r="N476" s="8" t="str">
        <f aca="false">IF(M476&gt;=0.5,"Yes","No")</f>
        <v>Yes</v>
      </c>
    </row>
    <row r="477" customFormat="false" ht="15" hidden="false" customHeight="false" outlineLevel="0" collapsed="false">
      <c r="A477" s="8" t="s">
        <v>2425</v>
      </c>
      <c r="B477" s="8" t="n">
        <v>45</v>
      </c>
      <c r="C477" s="8" t="n">
        <v>20.6</v>
      </c>
      <c r="D477" s="8" t="n">
        <v>104</v>
      </c>
      <c r="E477" s="8" t="n">
        <v>86</v>
      </c>
      <c r="F477" s="8" t="n">
        <v>0</v>
      </c>
      <c r="G477" s="8" t="n">
        <v>0</v>
      </c>
      <c r="H477" s="8" t="n">
        <v>0</v>
      </c>
      <c r="I477" s="8" t="s">
        <v>1948</v>
      </c>
      <c r="J477" s="8" t="s">
        <v>1959</v>
      </c>
      <c r="K477" s="8" t="s">
        <v>1948</v>
      </c>
      <c r="L477" s="8" t="s">
        <v>2373</v>
      </c>
      <c r="M477" s="28" t="n">
        <f aca="false">'Disease Prediction Model'!$C$9+'Disease Prediction Model'!$C$10*B477+'Disease Prediction Model'!$C$11*C477+'Disease Prediction Model'!$C$12*D477+'Disease Prediction Model'!$C$13*E477+'Disease Prediction Model'!$C$14*F477+'Disease Prediction Model'!$C$15*G477</f>
        <v>0.0501039999999999</v>
      </c>
      <c r="N477" s="8" t="str">
        <f aca="false">IF(M477&gt;=0.5,"Yes","No")</f>
        <v>No</v>
      </c>
    </row>
    <row r="478" customFormat="false" ht="15" hidden="false" customHeight="false" outlineLevel="0" collapsed="false">
      <c r="A478" s="8" t="s">
        <v>2426</v>
      </c>
      <c r="B478" s="8" t="n">
        <v>34</v>
      </c>
      <c r="C478" s="8" t="n">
        <v>32.2</v>
      </c>
      <c r="D478" s="8" t="n">
        <v>139</v>
      </c>
      <c r="E478" s="8" t="n">
        <v>152</v>
      </c>
      <c r="F478" s="8" t="n">
        <v>1</v>
      </c>
      <c r="G478" s="8" t="n">
        <v>1</v>
      </c>
      <c r="H478" s="8" t="n">
        <v>0</v>
      </c>
      <c r="I478" s="8" t="s">
        <v>1954</v>
      </c>
      <c r="J478" s="8" t="s">
        <v>1405</v>
      </c>
      <c r="K478" s="8" t="s">
        <v>1948</v>
      </c>
      <c r="L478" s="8" t="s">
        <v>2373</v>
      </c>
      <c r="M478" s="28" t="n">
        <f aca="false">'Disease Prediction Model'!$C$9+'Disease Prediction Model'!$C$10*B478+'Disease Prediction Model'!$C$11*C478+'Disease Prediction Model'!$C$12*D478+'Disease Prediction Model'!$C$13*E478+'Disease Prediction Model'!$C$14*F478+'Disease Prediction Model'!$C$15*G478</f>
        <v>0.917948</v>
      </c>
      <c r="N478" s="8" t="str">
        <f aca="false">IF(M478&gt;=0.5,"Yes","No")</f>
        <v>Yes</v>
      </c>
    </row>
    <row r="479" customFormat="false" ht="15" hidden="false" customHeight="false" outlineLevel="0" collapsed="false">
      <c r="A479" s="8" t="s">
        <v>2427</v>
      </c>
      <c r="B479" s="8" t="n">
        <v>54</v>
      </c>
      <c r="C479" s="8" t="n">
        <v>27.8</v>
      </c>
      <c r="D479" s="8" t="n">
        <v>119</v>
      </c>
      <c r="E479" s="8" t="n">
        <v>96</v>
      </c>
      <c r="F479" s="8" t="n">
        <v>1</v>
      </c>
      <c r="G479" s="8" t="n">
        <v>1</v>
      </c>
      <c r="H479" s="8" t="n">
        <v>0</v>
      </c>
      <c r="I479" s="8" t="s">
        <v>1954</v>
      </c>
      <c r="J479" s="8" t="s">
        <v>1405</v>
      </c>
      <c r="K479" s="8" t="s">
        <v>1948</v>
      </c>
      <c r="L479" s="8" t="s">
        <v>2373</v>
      </c>
      <c r="M479" s="28" t="n">
        <f aca="false">'Disease Prediction Model'!$C$9+'Disease Prediction Model'!$C$10*B479+'Disease Prediction Model'!$C$11*C479+'Disease Prediction Model'!$C$12*D479+'Disease Prediction Model'!$C$13*E479+'Disease Prediction Model'!$C$14*F479+'Disease Prediction Model'!$C$15*G479</f>
        <v>0.336072</v>
      </c>
      <c r="N479" s="8" t="str">
        <f aca="false">IF(M479&gt;=0.5,"Yes","No")</f>
        <v>No</v>
      </c>
    </row>
    <row r="480" customFormat="false" ht="15" hidden="false" customHeight="false" outlineLevel="0" collapsed="false">
      <c r="A480" s="8" t="s">
        <v>2428</v>
      </c>
      <c r="B480" s="8" t="n">
        <v>69</v>
      </c>
      <c r="C480" s="8" t="n">
        <v>33.8</v>
      </c>
      <c r="D480" s="8" t="n">
        <v>144</v>
      </c>
      <c r="E480" s="8" t="n">
        <v>87</v>
      </c>
      <c r="F480" s="8" t="n">
        <v>0</v>
      </c>
      <c r="G480" s="8" t="n">
        <v>0</v>
      </c>
      <c r="H480" s="8" t="n">
        <v>0</v>
      </c>
      <c r="I480" s="8" t="s">
        <v>1948</v>
      </c>
      <c r="J480" s="8" t="s">
        <v>1959</v>
      </c>
      <c r="K480" s="8" t="s">
        <v>1948</v>
      </c>
      <c r="L480" s="8" t="s">
        <v>2373</v>
      </c>
      <c r="M480" s="28" t="n">
        <f aca="false">'Disease Prediction Model'!$C$9+'Disease Prediction Model'!$C$10*B480+'Disease Prediction Model'!$C$11*C480+'Disease Prediction Model'!$C$12*D480+'Disease Prediction Model'!$C$13*E480+'Disease Prediction Model'!$C$14*F480+'Disease Prediction Model'!$C$15*G480</f>
        <v>0.422992</v>
      </c>
      <c r="N480" s="8" t="str">
        <f aca="false">IF(M480&gt;=0.5,"Yes","No")</f>
        <v>No</v>
      </c>
    </row>
    <row r="481" customFormat="false" ht="15" hidden="false" customHeight="false" outlineLevel="0" collapsed="false">
      <c r="A481" s="8" t="s">
        <v>2429</v>
      </c>
      <c r="B481" s="8" t="n">
        <v>55</v>
      </c>
      <c r="C481" s="8" t="n">
        <v>24.2</v>
      </c>
      <c r="D481" s="8" t="n">
        <v>97</v>
      </c>
      <c r="E481" s="8" t="n">
        <v>122</v>
      </c>
      <c r="F481" s="8" t="n">
        <v>0</v>
      </c>
      <c r="G481" s="8" t="n">
        <v>0</v>
      </c>
      <c r="H481" s="8" t="n">
        <v>0</v>
      </c>
      <c r="I481" s="8" t="s">
        <v>1948</v>
      </c>
      <c r="J481" s="8" t="s">
        <v>1959</v>
      </c>
      <c r="K481" s="8" t="s">
        <v>1948</v>
      </c>
      <c r="L481" s="8" t="s">
        <v>2373</v>
      </c>
      <c r="M481" s="28" t="n">
        <f aca="false">'Disease Prediction Model'!$C$9+'Disease Prediction Model'!$C$10*B481+'Disease Prediction Model'!$C$11*C481+'Disease Prediction Model'!$C$12*D481+'Disease Prediction Model'!$C$13*E481+'Disease Prediction Model'!$C$14*F481+'Disease Prediction Model'!$C$15*G481</f>
        <v>0.428608</v>
      </c>
      <c r="N481" s="8" t="str">
        <f aca="false">IF(M481&gt;=0.5,"Yes","No")</f>
        <v>No</v>
      </c>
    </row>
    <row r="482" customFormat="false" ht="15" hidden="false" customHeight="false" outlineLevel="0" collapsed="false">
      <c r="A482" s="8" t="s">
        <v>2430</v>
      </c>
      <c r="B482" s="8" t="n">
        <v>53</v>
      </c>
      <c r="C482" s="8" t="n">
        <v>25.8</v>
      </c>
      <c r="D482" s="8" t="n">
        <v>103</v>
      </c>
      <c r="E482" s="8" t="n">
        <v>80</v>
      </c>
      <c r="F482" s="8" t="n">
        <v>0</v>
      </c>
      <c r="G482" s="8" t="n">
        <v>2</v>
      </c>
      <c r="H482" s="8" t="n">
        <v>0</v>
      </c>
      <c r="I482" s="8" t="s">
        <v>1948</v>
      </c>
      <c r="J482" s="8" t="s">
        <v>1951</v>
      </c>
      <c r="K482" s="8" t="s">
        <v>1948</v>
      </c>
      <c r="L482" s="8" t="s">
        <v>2373</v>
      </c>
      <c r="M482" s="28" t="n">
        <f aca="false">'Disease Prediction Model'!$C$9+'Disease Prediction Model'!$C$10*B482+'Disease Prediction Model'!$C$11*C482+'Disease Prediction Model'!$C$12*D482+'Disease Prediction Model'!$C$13*E482+'Disease Prediction Model'!$C$14*F482+'Disease Prediction Model'!$C$15*G482</f>
        <v>-0.128168</v>
      </c>
      <c r="N482" s="8" t="str">
        <f aca="false">IF(M482&gt;=0.5,"Yes","No")</f>
        <v>No</v>
      </c>
    </row>
    <row r="483" customFormat="false" ht="15" hidden="false" customHeight="false" outlineLevel="0" collapsed="false">
      <c r="A483" s="8" t="s">
        <v>2431</v>
      </c>
      <c r="B483" s="8" t="n">
        <v>32</v>
      </c>
      <c r="C483" s="8" t="n">
        <v>30.2</v>
      </c>
      <c r="D483" s="8" t="n">
        <v>126</v>
      </c>
      <c r="E483" s="8" t="n">
        <v>97</v>
      </c>
      <c r="F483" s="8" t="n">
        <v>0</v>
      </c>
      <c r="G483" s="8" t="n">
        <v>1</v>
      </c>
      <c r="H483" s="8" t="n">
        <v>0</v>
      </c>
      <c r="I483" s="8" t="s">
        <v>1948</v>
      </c>
      <c r="J483" s="8" t="s">
        <v>1405</v>
      </c>
      <c r="K483" s="8" t="s">
        <v>1948</v>
      </c>
      <c r="L483" s="8" t="s">
        <v>2373</v>
      </c>
      <c r="M483" s="28" t="n">
        <f aca="false">'Disease Prediction Model'!$C$9+'Disease Prediction Model'!$C$10*B483+'Disease Prediction Model'!$C$11*C483+'Disease Prediction Model'!$C$12*D483+'Disease Prediction Model'!$C$13*E483+'Disease Prediction Model'!$C$14*F483+'Disease Prediction Model'!$C$15*G483</f>
        <v>0.201248</v>
      </c>
      <c r="N483" s="8" t="str">
        <f aca="false">IF(M483&gt;=0.5,"Yes","No")</f>
        <v>No</v>
      </c>
    </row>
    <row r="484" customFormat="false" ht="15" hidden="false" customHeight="false" outlineLevel="0" collapsed="false">
      <c r="A484" s="8" t="s">
        <v>2432</v>
      </c>
      <c r="B484" s="8" t="n">
        <v>41</v>
      </c>
      <c r="C484" s="8" t="n">
        <v>24.6</v>
      </c>
      <c r="D484" s="8" t="n">
        <v>157</v>
      </c>
      <c r="E484" s="8" t="n">
        <v>103</v>
      </c>
      <c r="F484" s="8" t="n">
        <v>0</v>
      </c>
      <c r="G484" s="8" t="n">
        <v>2</v>
      </c>
      <c r="H484" s="8" t="n">
        <v>0</v>
      </c>
      <c r="I484" s="8" t="s">
        <v>1948</v>
      </c>
      <c r="J484" s="8" t="s">
        <v>1951</v>
      </c>
      <c r="K484" s="8" t="s">
        <v>1948</v>
      </c>
      <c r="L484" s="8" t="s">
        <v>2373</v>
      </c>
      <c r="M484" s="28" t="n">
        <f aca="false">'Disease Prediction Model'!$C$9+'Disease Prediction Model'!$C$10*B484+'Disease Prediction Model'!$C$11*C484+'Disease Prediction Model'!$C$12*D484+'Disease Prediction Model'!$C$13*E484+'Disease Prediction Model'!$C$14*F484+'Disease Prediction Model'!$C$15*G484</f>
        <v>0.229424</v>
      </c>
      <c r="N484" s="8" t="str">
        <f aca="false">IF(M484&gt;=0.5,"Yes","No")</f>
        <v>No</v>
      </c>
    </row>
    <row r="485" customFormat="false" ht="15" hidden="false" customHeight="false" outlineLevel="0" collapsed="false">
      <c r="A485" s="8" t="s">
        <v>2433</v>
      </c>
      <c r="B485" s="8" t="n">
        <v>49</v>
      </c>
      <c r="C485" s="8" t="n">
        <v>26.7</v>
      </c>
      <c r="D485" s="8" t="n">
        <v>132</v>
      </c>
      <c r="E485" s="8" t="n">
        <v>109</v>
      </c>
      <c r="F485" s="8" t="n">
        <v>0</v>
      </c>
      <c r="G485" s="8" t="n">
        <v>0</v>
      </c>
      <c r="H485" s="8" t="n">
        <v>0</v>
      </c>
      <c r="I485" s="8" t="s">
        <v>1948</v>
      </c>
      <c r="J485" s="8" t="s">
        <v>1959</v>
      </c>
      <c r="K485" s="8" t="s">
        <v>1948</v>
      </c>
      <c r="L485" s="8" t="s">
        <v>2373</v>
      </c>
      <c r="M485" s="28" t="n">
        <f aca="false">'Disease Prediction Model'!$C$9+'Disease Prediction Model'!$C$10*B485+'Disease Prediction Model'!$C$11*C485+'Disease Prediction Model'!$C$12*D485+'Disease Prediction Model'!$C$13*E485+'Disease Prediction Model'!$C$14*F485+'Disease Prediction Model'!$C$15*G485</f>
        <v>0.444483</v>
      </c>
      <c r="N485" s="8" t="str">
        <f aca="false">IF(M485&gt;=0.5,"Yes","No")</f>
        <v>No</v>
      </c>
    </row>
    <row r="486" customFormat="false" ht="15" hidden="false" customHeight="false" outlineLevel="0" collapsed="false">
      <c r="A486" s="8" t="s">
        <v>2434</v>
      </c>
      <c r="B486" s="8" t="n">
        <v>70</v>
      </c>
      <c r="C486" s="8" t="n">
        <v>30.9</v>
      </c>
      <c r="D486" s="8" t="n">
        <v>108</v>
      </c>
      <c r="E486" s="8" t="n">
        <v>114</v>
      </c>
      <c r="F486" s="8" t="n">
        <v>1</v>
      </c>
      <c r="G486" s="8" t="n">
        <v>2</v>
      </c>
      <c r="H486" s="8" t="n">
        <v>0</v>
      </c>
      <c r="I486" s="8" t="s">
        <v>1954</v>
      </c>
      <c r="J486" s="8" t="s">
        <v>1951</v>
      </c>
      <c r="K486" s="8" t="s">
        <v>1948</v>
      </c>
      <c r="L486" s="8" t="s">
        <v>2373</v>
      </c>
      <c r="M486" s="28" t="n">
        <f aca="false">'Disease Prediction Model'!$C$9+'Disease Prediction Model'!$C$10*B486+'Disease Prediction Model'!$C$11*C486+'Disease Prediction Model'!$C$12*D486+'Disease Prediction Model'!$C$13*E486+'Disease Prediction Model'!$C$14*F486+'Disease Prediction Model'!$C$15*G486</f>
        <v>0.444541</v>
      </c>
      <c r="N486" s="8" t="str">
        <f aca="false">IF(M486&gt;=0.5,"Yes","No")</f>
        <v>No</v>
      </c>
    </row>
    <row r="487" customFormat="false" ht="15" hidden="false" customHeight="false" outlineLevel="0" collapsed="false">
      <c r="A487" s="8" t="s">
        <v>2435</v>
      </c>
      <c r="B487" s="8" t="n">
        <v>50</v>
      </c>
      <c r="C487" s="8" t="n">
        <v>17</v>
      </c>
      <c r="D487" s="8" t="n">
        <v>126</v>
      </c>
      <c r="E487" s="8" t="n">
        <v>83</v>
      </c>
      <c r="F487" s="8" t="n">
        <v>0</v>
      </c>
      <c r="G487" s="8" t="n">
        <v>1</v>
      </c>
      <c r="H487" s="8" t="n">
        <v>0</v>
      </c>
      <c r="I487" s="8" t="s">
        <v>1948</v>
      </c>
      <c r="J487" s="8" t="s">
        <v>1405</v>
      </c>
      <c r="K487" s="8" t="s">
        <v>1948</v>
      </c>
      <c r="L487" s="8" t="s">
        <v>2373</v>
      </c>
      <c r="M487" s="28" t="n">
        <f aca="false">'Disease Prediction Model'!$C$9+'Disease Prediction Model'!$C$10*B487+'Disease Prediction Model'!$C$11*C487+'Disease Prediction Model'!$C$12*D487+'Disease Prediction Model'!$C$13*E487+'Disease Prediction Model'!$C$14*F487+'Disease Prediction Model'!$C$15*G487</f>
        <v>-0.0261800000000003</v>
      </c>
      <c r="N487" s="8" t="str">
        <f aca="false">IF(M487&gt;=0.5,"Yes","No")</f>
        <v>No</v>
      </c>
    </row>
    <row r="488" customFormat="false" ht="15" hidden="false" customHeight="false" outlineLevel="0" collapsed="false">
      <c r="A488" s="8" t="s">
        <v>2436</v>
      </c>
      <c r="B488" s="8" t="n">
        <v>45</v>
      </c>
      <c r="C488" s="8" t="n">
        <v>24.6</v>
      </c>
      <c r="D488" s="8" t="n">
        <v>125</v>
      </c>
      <c r="E488" s="8" t="n">
        <v>100</v>
      </c>
      <c r="F488" s="8" t="n">
        <v>0</v>
      </c>
      <c r="G488" s="8" t="n">
        <v>1</v>
      </c>
      <c r="H488" s="8" t="n">
        <v>0</v>
      </c>
      <c r="I488" s="8" t="s">
        <v>1948</v>
      </c>
      <c r="J488" s="8" t="s">
        <v>1405</v>
      </c>
      <c r="K488" s="8" t="s">
        <v>1948</v>
      </c>
      <c r="L488" s="8" t="s">
        <v>2373</v>
      </c>
      <c r="M488" s="28" t="n">
        <f aca="false">'Disease Prediction Model'!$C$9+'Disease Prediction Model'!$C$10*B488+'Disease Prediction Model'!$C$11*C488+'Disease Prediction Model'!$C$12*D488+'Disease Prediction Model'!$C$13*E488+'Disease Prediction Model'!$C$14*F488+'Disease Prediction Model'!$C$15*G488</f>
        <v>0.199624</v>
      </c>
      <c r="N488" s="8" t="str">
        <f aca="false">IF(M488&gt;=0.5,"Yes","No")</f>
        <v>No</v>
      </c>
    </row>
    <row r="489" customFormat="false" ht="15" hidden="false" customHeight="false" outlineLevel="0" collapsed="false">
      <c r="A489" s="8" t="s">
        <v>2437</v>
      </c>
      <c r="B489" s="8" t="n">
        <v>49</v>
      </c>
      <c r="C489" s="8" t="n">
        <v>28.7</v>
      </c>
      <c r="D489" s="8" t="n">
        <v>111</v>
      </c>
      <c r="E489" s="8" t="n">
        <v>83</v>
      </c>
      <c r="F489" s="8" t="n">
        <v>0</v>
      </c>
      <c r="G489" s="8" t="n">
        <v>1</v>
      </c>
      <c r="H489" s="8" t="n">
        <v>0</v>
      </c>
      <c r="I489" s="8" t="s">
        <v>1948</v>
      </c>
      <c r="J489" s="8" t="s">
        <v>1405</v>
      </c>
      <c r="K489" s="8" t="s">
        <v>1948</v>
      </c>
      <c r="L489" s="8" t="s">
        <v>2373</v>
      </c>
      <c r="M489" s="28" t="n">
        <f aca="false">'Disease Prediction Model'!$C$9+'Disease Prediction Model'!$C$10*B489+'Disease Prediction Model'!$C$11*C489+'Disease Prediction Model'!$C$12*D489+'Disease Prediction Model'!$C$13*E489+'Disease Prediction Model'!$C$14*F489+'Disease Prediction Model'!$C$15*G489</f>
        <v>0.0504629999999999</v>
      </c>
      <c r="N489" s="8" t="str">
        <f aca="false">IF(M489&gt;=0.5,"Yes","No")</f>
        <v>No</v>
      </c>
    </row>
    <row r="490" customFormat="false" ht="15" hidden="false" customHeight="false" outlineLevel="0" collapsed="false">
      <c r="A490" s="8" t="s">
        <v>2438</v>
      </c>
      <c r="B490" s="8" t="n">
        <v>52</v>
      </c>
      <c r="C490" s="8" t="n">
        <v>32.3</v>
      </c>
      <c r="D490" s="8" t="n">
        <v>122</v>
      </c>
      <c r="E490" s="8" t="n">
        <v>89</v>
      </c>
      <c r="F490" s="8" t="n">
        <v>0</v>
      </c>
      <c r="G490" s="8" t="n">
        <v>0</v>
      </c>
      <c r="H490" s="8" t="n">
        <v>1</v>
      </c>
      <c r="I490" s="8" t="s">
        <v>1948</v>
      </c>
      <c r="J490" s="8" t="s">
        <v>1959</v>
      </c>
      <c r="K490" s="8" t="s">
        <v>1954</v>
      </c>
      <c r="L490" s="8" t="s">
        <v>2373</v>
      </c>
      <c r="M490" s="28" t="n">
        <f aca="false">'Disease Prediction Model'!$C$9+'Disease Prediction Model'!$C$10*B490+'Disease Prediction Model'!$C$11*C490+'Disease Prediction Model'!$C$12*D490+'Disease Prediction Model'!$C$13*E490+'Disease Prediction Model'!$C$14*F490+'Disease Prediction Model'!$C$15*G490</f>
        <v>0.296027</v>
      </c>
      <c r="N490" s="8" t="str">
        <f aca="false">IF(M490&gt;=0.5,"Yes","No")</f>
        <v>No</v>
      </c>
    </row>
    <row r="491" customFormat="false" ht="15" hidden="false" customHeight="false" outlineLevel="0" collapsed="false">
      <c r="A491" s="8" t="s">
        <v>2439</v>
      </c>
      <c r="B491" s="8" t="n">
        <v>81</v>
      </c>
      <c r="C491" s="8" t="n">
        <v>20.1</v>
      </c>
      <c r="D491" s="8" t="n">
        <v>114</v>
      </c>
      <c r="E491" s="8" t="n">
        <v>72</v>
      </c>
      <c r="F491" s="8" t="n">
        <v>0</v>
      </c>
      <c r="G491" s="8" t="n">
        <v>2</v>
      </c>
      <c r="H491" s="8" t="n">
        <v>0</v>
      </c>
      <c r="I491" s="8" t="s">
        <v>1948</v>
      </c>
      <c r="J491" s="8" t="s">
        <v>1951</v>
      </c>
      <c r="K491" s="8" t="s">
        <v>1948</v>
      </c>
      <c r="L491" s="8" t="s">
        <v>2373</v>
      </c>
      <c r="M491" s="28" t="n">
        <f aca="false">'Disease Prediction Model'!$C$9+'Disease Prediction Model'!$C$10*B491+'Disease Prediction Model'!$C$11*C491+'Disease Prediction Model'!$C$12*D491+'Disease Prediction Model'!$C$13*E491+'Disease Prediction Model'!$C$14*F491+'Disease Prediction Model'!$C$15*G491</f>
        <v>-0.146031</v>
      </c>
      <c r="N491" s="8" t="str">
        <f aca="false">IF(M491&gt;=0.5,"Yes","No")</f>
        <v>No</v>
      </c>
    </row>
    <row r="492" customFormat="false" ht="15" hidden="false" customHeight="false" outlineLevel="0" collapsed="false">
      <c r="A492" s="8" t="s">
        <v>2440</v>
      </c>
      <c r="B492" s="8" t="n">
        <v>55</v>
      </c>
      <c r="C492" s="8" t="n">
        <v>24.3</v>
      </c>
      <c r="D492" s="8" t="n">
        <v>143</v>
      </c>
      <c r="E492" s="8" t="n">
        <v>129</v>
      </c>
      <c r="F492" s="8" t="n">
        <v>1</v>
      </c>
      <c r="G492" s="8" t="n">
        <v>0</v>
      </c>
      <c r="H492" s="8" t="n">
        <v>1</v>
      </c>
      <c r="I492" s="8" t="s">
        <v>1954</v>
      </c>
      <c r="J492" s="8" t="s">
        <v>1959</v>
      </c>
      <c r="K492" s="8" t="s">
        <v>1954</v>
      </c>
      <c r="L492" s="8" t="s">
        <v>2373</v>
      </c>
      <c r="M492" s="28" t="n">
        <f aca="false">'Disease Prediction Model'!$C$9+'Disease Prediction Model'!$C$10*B492+'Disease Prediction Model'!$C$11*C492+'Disease Prediction Model'!$C$12*D492+'Disease Prediction Model'!$C$13*E492+'Disease Prediction Model'!$C$14*F492+'Disease Prediction Model'!$C$15*G492</f>
        <v>0.791487</v>
      </c>
      <c r="N492" s="8" t="str">
        <f aca="false">IF(M492&gt;=0.5,"Yes","No")</f>
        <v>Yes</v>
      </c>
    </row>
    <row r="493" customFormat="false" ht="15" hidden="false" customHeight="false" outlineLevel="0" collapsed="false">
      <c r="A493" s="8" t="s">
        <v>2441</v>
      </c>
      <c r="B493" s="8" t="n">
        <v>56</v>
      </c>
      <c r="C493" s="8" t="n">
        <v>33.4</v>
      </c>
      <c r="D493" s="8" t="n">
        <v>147</v>
      </c>
      <c r="E493" s="8" t="n">
        <v>106</v>
      </c>
      <c r="F493" s="8" t="n">
        <v>1</v>
      </c>
      <c r="G493" s="8" t="n">
        <v>1</v>
      </c>
      <c r="H493" s="8" t="n">
        <v>1</v>
      </c>
      <c r="I493" s="8" t="s">
        <v>1954</v>
      </c>
      <c r="J493" s="8" t="s">
        <v>1405</v>
      </c>
      <c r="K493" s="8" t="s">
        <v>1954</v>
      </c>
      <c r="L493" s="8" t="s">
        <v>2373</v>
      </c>
      <c r="M493" s="28" t="n">
        <f aca="false">'Disease Prediction Model'!$C$9+'Disease Prediction Model'!$C$10*B493+'Disease Prediction Model'!$C$11*C493+'Disease Prediction Model'!$C$12*D493+'Disease Prediction Model'!$C$13*E493+'Disease Prediction Model'!$C$14*F493+'Disease Prediction Model'!$C$15*G493</f>
        <v>0.598536</v>
      </c>
      <c r="N493" s="8" t="str">
        <f aca="false">IF(M493&gt;=0.5,"Yes","No")</f>
        <v>Yes</v>
      </c>
    </row>
    <row r="494" customFormat="false" ht="15" hidden="false" customHeight="false" outlineLevel="0" collapsed="false">
      <c r="A494" s="8" t="s">
        <v>2442</v>
      </c>
      <c r="B494" s="8" t="n">
        <v>59</v>
      </c>
      <c r="C494" s="8" t="n">
        <v>32.7</v>
      </c>
      <c r="D494" s="8" t="n">
        <v>130</v>
      </c>
      <c r="E494" s="8" t="n">
        <v>86</v>
      </c>
      <c r="F494" s="8" t="n">
        <v>0</v>
      </c>
      <c r="G494" s="8" t="n">
        <v>0</v>
      </c>
      <c r="H494" s="8" t="n">
        <v>0</v>
      </c>
      <c r="I494" s="8" t="s">
        <v>1948</v>
      </c>
      <c r="J494" s="8" t="s">
        <v>1959</v>
      </c>
      <c r="K494" s="8" t="s">
        <v>1948</v>
      </c>
      <c r="L494" s="8" t="s">
        <v>2373</v>
      </c>
      <c r="M494" s="28" t="n">
        <f aca="false">'Disease Prediction Model'!$C$9+'Disease Prediction Model'!$C$10*B494+'Disease Prediction Model'!$C$11*C494+'Disease Prediction Model'!$C$12*D494+'Disease Prediction Model'!$C$13*E494+'Disease Prediction Model'!$C$14*F494+'Disease Prediction Model'!$C$15*G494</f>
        <v>0.321883</v>
      </c>
      <c r="N494" s="8" t="str">
        <f aca="false">IF(M494&gt;=0.5,"Yes","No")</f>
        <v>No</v>
      </c>
    </row>
    <row r="495" customFormat="false" ht="15" hidden="false" customHeight="false" outlineLevel="0" collapsed="false">
      <c r="A495" s="8" t="s">
        <v>2443</v>
      </c>
      <c r="B495" s="8" t="n">
        <v>74</v>
      </c>
      <c r="C495" s="8" t="n">
        <v>32.2</v>
      </c>
      <c r="D495" s="8" t="n">
        <v>97</v>
      </c>
      <c r="E495" s="8" t="n">
        <v>80</v>
      </c>
      <c r="F495" s="8" t="n">
        <v>0</v>
      </c>
      <c r="G495" s="8" t="n">
        <v>0</v>
      </c>
      <c r="H495" s="8" t="n">
        <v>0</v>
      </c>
      <c r="I495" s="8" t="s">
        <v>1948</v>
      </c>
      <c r="J495" s="8" t="s">
        <v>1959</v>
      </c>
      <c r="K495" s="8" t="s">
        <v>1948</v>
      </c>
      <c r="L495" s="8" t="s">
        <v>2373</v>
      </c>
      <c r="M495" s="28" t="n">
        <f aca="false">'Disease Prediction Model'!$C$9+'Disease Prediction Model'!$C$10*B495+'Disease Prediction Model'!$C$11*C495+'Disease Prediction Model'!$C$12*D495+'Disease Prediction Model'!$C$13*E495+'Disease Prediction Model'!$C$14*F495+'Disease Prediction Model'!$C$15*G495</f>
        <v>0.186288</v>
      </c>
      <c r="N495" s="8" t="str">
        <f aca="false">IF(M495&gt;=0.5,"Yes","No")</f>
        <v>No</v>
      </c>
    </row>
    <row r="496" customFormat="false" ht="15" hidden="false" customHeight="false" outlineLevel="0" collapsed="false">
      <c r="A496" s="8" t="s">
        <v>2444</v>
      </c>
      <c r="B496" s="8" t="n">
        <v>62</v>
      </c>
      <c r="C496" s="8" t="n">
        <v>33.6</v>
      </c>
      <c r="D496" s="8" t="n">
        <v>129</v>
      </c>
      <c r="E496" s="8" t="n">
        <v>116</v>
      </c>
      <c r="F496" s="8" t="n">
        <v>0</v>
      </c>
      <c r="G496" s="8" t="n">
        <v>2</v>
      </c>
      <c r="H496" s="8" t="n">
        <v>1</v>
      </c>
      <c r="I496" s="8" t="s">
        <v>1948</v>
      </c>
      <c r="J496" s="8" t="s">
        <v>1951</v>
      </c>
      <c r="K496" s="8" t="s">
        <v>1954</v>
      </c>
      <c r="L496" s="8" t="s">
        <v>2373</v>
      </c>
      <c r="M496" s="28" t="n">
        <f aca="false">'Disease Prediction Model'!$C$9+'Disease Prediction Model'!$C$10*B496+'Disease Prediction Model'!$C$11*C496+'Disease Prediction Model'!$C$12*D496+'Disease Prediction Model'!$C$13*E496+'Disease Prediction Model'!$C$14*F496+'Disease Prediction Model'!$C$15*G496</f>
        <v>0.413394</v>
      </c>
      <c r="N496" s="8" t="str">
        <f aca="false">IF(M496&gt;=0.5,"Yes","No")</f>
        <v>No</v>
      </c>
    </row>
    <row r="497" customFormat="false" ht="15" hidden="false" customHeight="false" outlineLevel="0" collapsed="false">
      <c r="A497" s="8" t="s">
        <v>2445</v>
      </c>
      <c r="B497" s="8" t="n">
        <v>45</v>
      </c>
      <c r="C497" s="8" t="n">
        <v>27</v>
      </c>
      <c r="D497" s="8" t="n">
        <v>137</v>
      </c>
      <c r="E497" s="8" t="n">
        <v>94</v>
      </c>
      <c r="F497" s="8" t="n">
        <v>1</v>
      </c>
      <c r="G497" s="8" t="n">
        <v>0</v>
      </c>
      <c r="H497" s="8" t="n">
        <v>0</v>
      </c>
      <c r="I497" s="8" t="s">
        <v>1954</v>
      </c>
      <c r="J497" s="8" t="s">
        <v>1959</v>
      </c>
      <c r="K497" s="8" t="s">
        <v>1948</v>
      </c>
      <c r="L497" s="8" t="s">
        <v>2373</v>
      </c>
      <c r="M497" s="28" t="n">
        <f aca="false">'Disease Prediction Model'!$C$9+'Disease Prediction Model'!$C$10*B497+'Disease Prediction Model'!$C$11*C497+'Disease Prediction Model'!$C$12*D497+'Disease Prediction Model'!$C$13*E497+'Disease Prediction Model'!$C$14*F497+'Disease Prediction Model'!$C$15*G497</f>
        <v>0.44746</v>
      </c>
      <c r="N497" s="8" t="str">
        <f aca="false">IF(M497&gt;=0.5,"Yes","No")</f>
        <v>No</v>
      </c>
    </row>
    <row r="498" customFormat="false" ht="15" hidden="false" customHeight="false" outlineLevel="0" collapsed="false">
      <c r="A498" s="8" t="s">
        <v>2446</v>
      </c>
      <c r="B498" s="8" t="n">
        <v>47</v>
      </c>
      <c r="C498" s="8" t="n">
        <v>27.1</v>
      </c>
      <c r="D498" s="8" t="n">
        <v>141</v>
      </c>
      <c r="E498" s="8" t="n">
        <v>92</v>
      </c>
      <c r="F498" s="8" t="n">
        <v>1</v>
      </c>
      <c r="G498" s="8" t="n">
        <v>2</v>
      </c>
      <c r="H498" s="8" t="n">
        <v>0</v>
      </c>
      <c r="I498" s="8" t="s">
        <v>1954</v>
      </c>
      <c r="J498" s="8" t="s">
        <v>1951</v>
      </c>
      <c r="K498" s="8" t="s">
        <v>1948</v>
      </c>
      <c r="L498" s="8" t="s">
        <v>2373</v>
      </c>
      <c r="M498" s="28" t="n">
        <f aca="false">'Disease Prediction Model'!$C$9+'Disease Prediction Model'!$C$10*B498+'Disease Prediction Model'!$C$11*C498+'Disease Prediction Model'!$C$12*D498+'Disease Prediction Model'!$C$13*E498+'Disease Prediction Model'!$C$14*F498+'Disease Prediction Model'!$C$15*G498</f>
        <v>0.248519</v>
      </c>
      <c r="N498" s="8" t="str">
        <f aca="false">IF(M498&gt;=0.5,"Yes","No")</f>
        <v>No</v>
      </c>
    </row>
    <row r="499" customFormat="false" ht="15" hidden="false" customHeight="false" outlineLevel="0" collapsed="false">
      <c r="A499" s="8" t="s">
        <v>2447</v>
      </c>
      <c r="B499" s="8" t="n">
        <v>49</v>
      </c>
      <c r="C499" s="8" t="n">
        <v>35.1</v>
      </c>
      <c r="D499" s="8" t="n">
        <v>115</v>
      </c>
      <c r="E499" s="8" t="n">
        <v>70</v>
      </c>
      <c r="F499" s="8" t="n">
        <v>1</v>
      </c>
      <c r="G499" s="8" t="n">
        <v>0</v>
      </c>
      <c r="H499" s="8" t="n">
        <v>0</v>
      </c>
      <c r="I499" s="8" t="s">
        <v>1954</v>
      </c>
      <c r="J499" s="8" t="s">
        <v>1959</v>
      </c>
      <c r="K499" s="8" t="s">
        <v>1948</v>
      </c>
      <c r="L499" s="8" t="s">
        <v>2373</v>
      </c>
      <c r="M499" s="28" t="n">
        <f aca="false">'Disease Prediction Model'!$C$9+'Disease Prediction Model'!$C$10*B499+'Disease Prediction Model'!$C$11*C499+'Disease Prediction Model'!$C$12*D499+'Disease Prediction Model'!$C$13*E499+'Disease Prediction Model'!$C$14*F499+'Disease Prediction Model'!$C$15*G499</f>
        <v>0.250399</v>
      </c>
      <c r="N499" s="8" t="str">
        <f aca="false">IF(M499&gt;=0.5,"Yes","No")</f>
        <v>No</v>
      </c>
    </row>
    <row r="500" customFormat="false" ht="15" hidden="false" customHeight="false" outlineLevel="0" collapsed="false">
      <c r="A500" s="8" t="s">
        <v>2448</v>
      </c>
      <c r="B500" s="8" t="n">
        <v>65</v>
      </c>
      <c r="C500" s="8" t="n">
        <v>38.3</v>
      </c>
      <c r="D500" s="8" t="n">
        <v>114</v>
      </c>
      <c r="E500" s="8" t="n">
        <v>92</v>
      </c>
      <c r="F500" s="8" t="n">
        <v>1</v>
      </c>
      <c r="G500" s="8" t="n">
        <v>1</v>
      </c>
      <c r="H500" s="8" t="n">
        <v>1</v>
      </c>
      <c r="I500" s="8" t="s">
        <v>1954</v>
      </c>
      <c r="J500" s="8" t="s">
        <v>1405</v>
      </c>
      <c r="K500" s="8" t="s">
        <v>1954</v>
      </c>
      <c r="L500" s="8" t="s">
        <v>2373</v>
      </c>
      <c r="M500" s="28" t="n">
        <f aca="false">'Disease Prediction Model'!$C$9+'Disease Prediction Model'!$C$10*B500+'Disease Prediction Model'!$C$11*C500+'Disease Prediction Model'!$C$12*D500+'Disease Prediction Model'!$C$13*E500+'Disease Prediction Model'!$C$14*F500+'Disease Prediction Model'!$C$15*G500</f>
        <v>0.432847</v>
      </c>
      <c r="N500" s="8" t="str">
        <f aca="false">IF(M500&gt;=0.5,"Yes","No")</f>
        <v>No</v>
      </c>
    </row>
    <row r="501" customFormat="false" ht="15" hidden="false" customHeight="false" outlineLevel="0" collapsed="false">
      <c r="A501" s="8" t="s">
        <v>2449</v>
      </c>
      <c r="B501" s="8" t="n">
        <v>45</v>
      </c>
      <c r="C501" s="8" t="n">
        <v>25</v>
      </c>
      <c r="D501" s="8" t="n">
        <v>135</v>
      </c>
      <c r="E501" s="8" t="n">
        <v>123</v>
      </c>
      <c r="F501" s="8" t="n">
        <v>0</v>
      </c>
      <c r="G501" s="8" t="n">
        <v>1</v>
      </c>
      <c r="H501" s="8" t="n">
        <v>0</v>
      </c>
      <c r="I501" s="8" t="s">
        <v>1948</v>
      </c>
      <c r="J501" s="8" t="s">
        <v>1405</v>
      </c>
      <c r="K501" s="8" t="s">
        <v>1948</v>
      </c>
      <c r="L501" s="8" t="s">
        <v>2373</v>
      </c>
      <c r="M501" s="28" t="n">
        <f aca="false">'Disease Prediction Model'!$C$9+'Disease Prediction Model'!$C$10*B501+'Disease Prediction Model'!$C$11*C501+'Disease Prediction Model'!$C$12*D501+'Disease Prediction Model'!$C$13*E501+'Disease Prediction Model'!$C$14*F501+'Disease Prediction Model'!$C$15*G501</f>
        <v>0.45296</v>
      </c>
      <c r="N501" s="8" t="str">
        <f aca="false">IF(M501&gt;=0.5,"Yes","No")</f>
        <v>No</v>
      </c>
    </row>
    <row r="502" customFormat="false" ht="15" hidden="false" customHeight="false" outlineLevel="0" collapsed="false">
      <c r="A502" s="8" t="s">
        <v>2450</v>
      </c>
      <c r="B502" s="8" t="n">
        <v>51</v>
      </c>
      <c r="C502" s="8" t="n">
        <v>25.7</v>
      </c>
      <c r="D502" s="8" t="n">
        <v>132</v>
      </c>
      <c r="E502" s="8" t="n">
        <v>70</v>
      </c>
      <c r="F502" s="8" t="n">
        <v>0</v>
      </c>
      <c r="G502" s="8" t="n">
        <v>0</v>
      </c>
      <c r="H502" s="8" t="n">
        <v>0</v>
      </c>
      <c r="I502" s="8" t="s">
        <v>1948</v>
      </c>
      <c r="J502" s="8" t="s">
        <v>1959</v>
      </c>
      <c r="K502" s="8" t="s">
        <v>1948</v>
      </c>
      <c r="L502" s="8" t="s">
        <v>2373</v>
      </c>
      <c r="M502" s="28" t="n">
        <f aca="false">'Disease Prediction Model'!$C$9+'Disease Prediction Model'!$C$10*B502+'Disease Prediction Model'!$C$11*C502+'Disease Prediction Model'!$C$12*D502+'Disease Prediction Model'!$C$13*E502+'Disease Prediction Model'!$C$14*F502+'Disease Prediction Model'!$C$15*G502</f>
        <v>0.0777929999999999</v>
      </c>
      <c r="N502" s="8" t="str">
        <f aca="false">IF(M502&gt;=0.5,"Yes","No")</f>
        <v>No</v>
      </c>
    </row>
    <row r="503" customFormat="false" ht="15" hidden="false" customHeight="false" outlineLevel="0" collapsed="false">
      <c r="A503" s="8" t="s">
        <v>2451</v>
      </c>
      <c r="B503" s="8" t="n">
        <v>54</v>
      </c>
      <c r="C503" s="8" t="n">
        <v>27</v>
      </c>
      <c r="D503" s="8" t="n">
        <v>111</v>
      </c>
      <c r="E503" s="8" t="n">
        <v>100</v>
      </c>
      <c r="F503" s="8" t="n">
        <v>1</v>
      </c>
      <c r="G503" s="8" t="n">
        <v>0</v>
      </c>
      <c r="H503" s="8" t="n">
        <v>1</v>
      </c>
      <c r="I503" s="8" t="s">
        <v>1954</v>
      </c>
      <c r="J503" s="8" t="s">
        <v>1959</v>
      </c>
      <c r="K503" s="8" t="s">
        <v>1954</v>
      </c>
      <c r="L503" s="8" t="s">
        <v>2373</v>
      </c>
      <c r="M503" s="28" t="n">
        <f aca="false">'Disease Prediction Model'!$C$9+'Disease Prediction Model'!$C$10*B503+'Disease Prediction Model'!$C$11*C503+'Disease Prediction Model'!$C$12*D503+'Disease Prediction Model'!$C$13*E503+'Disease Prediction Model'!$C$14*F503+'Disease Prediction Model'!$C$15*G503</f>
        <v>0.43622</v>
      </c>
      <c r="N503" s="8" t="str">
        <f aca="false">IF(M503&gt;=0.5,"Yes","No")</f>
        <v>No</v>
      </c>
    </row>
    <row r="504" customFormat="false" ht="15" hidden="false" customHeight="false" outlineLevel="0" collapsed="false">
      <c r="A504" s="8" t="s">
        <v>2452</v>
      </c>
      <c r="B504" s="8" t="n">
        <v>34</v>
      </c>
      <c r="C504" s="8" t="n">
        <v>30.8</v>
      </c>
      <c r="D504" s="8" t="n">
        <v>114</v>
      </c>
      <c r="E504" s="8" t="n">
        <v>70</v>
      </c>
      <c r="F504" s="8" t="n">
        <v>1</v>
      </c>
      <c r="G504" s="8" t="n">
        <v>1</v>
      </c>
      <c r="H504" s="8" t="n">
        <v>0</v>
      </c>
      <c r="I504" s="8" t="s">
        <v>1954</v>
      </c>
      <c r="J504" s="8" t="s">
        <v>1405</v>
      </c>
      <c r="K504" s="8" t="s">
        <v>1948</v>
      </c>
      <c r="L504" s="8" t="s">
        <v>2373</v>
      </c>
      <c r="M504" s="28" t="n">
        <f aca="false">'Disease Prediction Model'!$C$9+'Disease Prediction Model'!$C$10*B504+'Disease Prediction Model'!$C$11*C504+'Disease Prediction Model'!$C$12*D504+'Disease Prediction Model'!$C$13*E504+'Disease Prediction Model'!$C$14*F504+'Disease Prediction Model'!$C$15*G504</f>
        <v>0.0531820000000001</v>
      </c>
      <c r="N504" s="8" t="str">
        <f aca="false">IF(M504&gt;=0.5,"Yes","No")</f>
        <v>No</v>
      </c>
    </row>
    <row r="505" customFormat="false" ht="15" hidden="false" customHeight="false" outlineLevel="0" collapsed="false">
      <c r="A505" s="8" t="s">
        <v>2453</v>
      </c>
      <c r="B505" s="8" t="n">
        <v>42</v>
      </c>
      <c r="C505" s="8" t="n">
        <v>19.4</v>
      </c>
      <c r="D505" s="8" t="n">
        <v>127</v>
      </c>
      <c r="E505" s="8" t="n">
        <v>107</v>
      </c>
      <c r="F505" s="8" t="n">
        <v>1</v>
      </c>
      <c r="G505" s="8" t="n">
        <v>1</v>
      </c>
      <c r="H505" s="8" t="n">
        <v>0</v>
      </c>
      <c r="I505" s="8" t="s">
        <v>1954</v>
      </c>
      <c r="J505" s="8" t="s">
        <v>1405</v>
      </c>
      <c r="K505" s="8" t="s">
        <v>1948</v>
      </c>
      <c r="L505" s="8" t="s">
        <v>2373</v>
      </c>
      <c r="M505" s="28" t="n">
        <f aca="false">'Disease Prediction Model'!$C$9+'Disease Prediction Model'!$C$10*B505+'Disease Prediction Model'!$C$11*C505+'Disease Prediction Model'!$C$12*D505+'Disease Prediction Model'!$C$13*E505+'Disease Prediction Model'!$C$14*F505+'Disease Prediction Model'!$C$15*G505</f>
        <v>0.335856</v>
      </c>
      <c r="N505" s="8" t="str">
        <f aca="false">IF(M505&gt;=0.5,"Yes","No")</f>
        <v>No</v>
      </c>
    </row>
    <row r="506" customFormat="false" ht="15" hidden="false" customHeight="false" outlineLevel="0" collapsed="false">
      <c r="A506" s="8" t="s">
        <v>2454</v>
      </c>
      <c r="B506" s="8" t="n">
        <v>51</v>
      </c>
      <c r="C506" s="8" t="n">
        <v>30.9</v>
      </c>
      <c r="D506" s="8" t="n">
        <v>153</v>
      </c>
      <c r="E506" s="8" t="n">
        <v>102</v>
      </c>
      <c r="F506" s="8" t="n">
        <v>1</v>
      </c>
      <c r="G506" s="8" t="n">
        <v>0</v>
      </c>
      <c r="H506" s="8" t="n">
        <v>1</v>
      </c>
      <c r="I506" s="8" t="s">
        <v>1954</v>
      </c>
      <c r="J506" s="8" t="s">
        <v>1959</v>
      </c>
      <c r="K506" s="8" t="s">
        <v>1954</v>
      </c>
      <c r="L506" s="8" t="s">
        <v>2373</v>
      </c>
      <c r="M506" s="28" t="n">
        <f aca="false">'Disease Prediction Model'!$C$9+'Disease Prediction Model'!$C$10*B506+'Disease Prediction Model'!$C$11*C506+'Disease Prediction Model'!$C$12*D506+'Disease Prediction Model'!$C$13*E506+'Disease Prediction Model'!$C$14*F506+'Disease Prediction Model'!$C$15*G506</f>
        <v>0.640761</v>
      </c>
      <c r="N506" s="8" t="str">
        <f aca="false">IF(M506&gt;=0.5,"Yes","No")</f>
        <v>Yes</v>
      </c>
    </row>
    <row r="507" customFormat="false" ht="15" hidden="false" customHeight="false" outlineLevel="0" collapsed="false">
      <c r="A507" s="8" t="s">
        <v>2455</v>
      </c>
      <c r="B507" s="8" t="n">
        <v>46</v>
      </c>
      <c r="C507" s="8" t="n">
        <v>24.2</v>
      </c>
      <c r="D507" s="8" t="n">
        <v>100</v>
      </c>
      <c r="E507" s="8" t="n">
        <v>89</v>
      </c>
      <c r="F507" s="8" t="n">
        <v>0</v>
      </c>
      <c r="G507" s="8" t="n">
        <v>2</v>
      </c>
      <c r="H507" s="8" t="n">
        <v>0</v>
      </c>
      <c r="I507" s="8" t="s">
        <v>1948</v>
      </c>
      <c r="J507" s="8" t="s">
        <v>1951</v>
      </c>
      <c r="K507" s="8" t="s">
        <v>1948</v>
      </c>
      <c r="L507" s="8" t="s">
        <v>2373</v>
      </c>
      <c r="M507" s="28" t="n">
        <f aca="false">'Disease Prediction Model'!$C$9+'Disease Prediction Model'!$C$10*B507+'Disease Prediction Model'!$C$11*C507+'Disease Prediction Model'!$C$12*D507+'Disease Prediction Model'!$C$13*E507+'Disease Prediction Model'!$C$14*F507+'Disease Prediction Model'!$C$15*G507</f>
        <v>-0.0942320000000001</v>
      </c>
      <c r="N507" s="8" t="str">
        <f aca="false">IF(M507&gt;=0.5,"Yes","No")</f>
        <v>No</v>
      </c>
    </row>
    <row r="508" customFormat="false" ht="15" hidden="false" customHeight="false" outlineLevel="0" collapsed="false">
      <c r="A508" s="8" t="s">
        <v>2456</v>
      </c>
      <c r="B508" s="8" t="n">
        <v>80</v>
      </c>
      <c r="C508" s="8" t="n">
        <v>32.9</v>
      </c>
      <c r="D508" s="8" t="n">
        <v>125</v>
      </c>
      <c r="E508" s="8" t="n">
        <v>150</v>
      </c>
      <c r="F508" s="8" t="n">
        <v>0</v>
      </c>
      <c r="G508" s="8" t="n">
        <v>1</v>
      </c>
      <c r="H508" s="8" t="n">
        <v>1</v>
      </c>
      <c r="I508" s="8" t="s">
        <v>1948</v>
      </c>
      <c r="J508" s="8" t="s">
        <v>1405</v>
      </c>
      <c r="K508" s="8" t="s">
        <v>1954</v>
      </c>
      <c r="L508" s="8" t="s">
        <v>2373</v>
      </c>
      <c r="M508" s="28" t="n">
        <f aca="false">'Disease Prediction Model'!$C$9+'Disease Prediction Model'!$C$10*B508+'Disease Prediction Model'!$C$11*C508+'Disease Prediction Model'!$C$12*D508+'Disease Prediction Model'!$C$13*E508+'Disease Prediction Model'!$C$14*F508+'Disease Prediction Model'!$C$15*G508</f>
        <v>0.859361</v>
      </c>
      <c r="N508" s="8" t="str">
        <f aca="false">IF(M508&gt;=0.5,"Yes","No")</f>
        <v>Yes</v>
      </c>
    </row>
    <row r="509" customFormat="false" ht="15" hidden="false" customHeight="false" outlineLevel="0" collapsed="false">
      <c r="A509" s="8" t="s">
        <v>2457</v>
      </c>
      <c r="B509" s="8" t="n">
        <v>22</v>
      </c>
      <c r="C509" s="8" t="n">
        <v>29</v>
      </c>
      <c r="D509" s="8" t="n">
        <v>128</v>
      </c>
      <c r="E509" s="8" t="n">
        <v>85</v>
      </c>
      <c r="F509" s="8" t="n">
        <v>0</v>
      </c>
      <c r="G509" s="8" t="n">
        <v>0</v>
      </c>
      <c r="H509" s="8" t="n">
        <v>0</v>
      </c>
      <c r="I509" s="8" t="s">
        <v>1948</v>
      </c>
      <c r="J509" s="8" t="s">
        <v>1959</v>
      </c>
      <c r="K509" s="8" t="s">
        <v>1948</v>
      </c>
      <c r="L509" s="8" t="s">
        <v>2373</v>
      </c>
      <c r="M509" s="28" t="n">
        <f aca="false">'Disease Prediction Model'!$C$9+'Disease Prediction Model'!$C$10*B509+'Disease Prediction Model'!$C$11*C509+'Disease Prediction Model'!$C$12*D509+'Disease Prediction Model'!$C$13*E509+'Disease Prediction Model'!$C$14*F509+'Disease Prediction Model'!$C$15*G509</f>
        <v>0.15528</v>
      </c>
      <c r="N509" s="8" t="str">
        <f aca="false">IF(M509&gt;=0.5,"Yes","No")</f>
        <v>No</v>
      </c>
    </row>
    <row r="510" customFormat="false" ht="15" hidden="false" customHeight="false" outlineLevel="0" collapsed="false">
      <c r="A510" s="8" t="s">
        <v>2458</v>
      </c>
      <c r="B510" s="8" t="n">
        <v>60</v>
      </c>
      <c r="C510" s="8" t="n">
        <v>29.5</v>
      </c>
      <c r="D510" s="8" t="n">
        <v>124</v>
      </c>
      <c r="E510" s="8" t="n">
        <v>101</v>
      </c>
      <c r="F510" s="8" t="n">
        <v>0</v>
      </c>
      <c r="G510" s="8" t="n">
        <v>0</v>
      </c>
      <c r="H510" s="8" t="n">
        <v>1</v>
      </c>
      <c r="I510" s="8" t="s">
        <v>1948</v>
      </c>
      <c r="J510" s="8" t="s">
        <v>1959</v>
      </c>
      <c r="K510" s="8" t="s">
        <v>1954</v>
      </c>
      <c r="L510" s="8" t="s">
        <v>2373</v>
      </c>
      <c r="M510" s="28" t="n">
        <f aca="false">'Disease Prediction Model'!$C$9+'Disease Prediction Model'!$C$10*B510+'Disease Prediction Model'!$C$11*C510+'Disease Prediction Model'!$C$12*D510+'Disease Prediction Model'!$C$13*E510+'Disease Prediction Model'!$C$14*F510+'Disease Prediction Model'!$C$15*G510</f>
        <v>0.405775</v>
      </c>
      <c r="N510" s="8" t="str">
        <f aca="false">IF(M510&gt;=0.5,"Yes","No")</f>
        <v>No</v>
      </c>
    </row>
    <row r="511" customFormat="false" ht="15" hidden="false" customHeight="false" outlineLevel="0" collapsed="false">
      <c r="A511" s="8" t="s">
        <v>2459</v>
      </c>
      <c r="B511" s="8" t="n">
        <v>55</v>
      </c>
      <c r="C511" s="8" t="n">
        <v>33.7</v>
      </c>
      <c r="D511" s="8" t="n">
        <v>114</v>
      </c>
      <c r="E511" s="8" t="n">
        <v>122</v>
      </c>
      <c r="F511" s="8" t="n">
        <v>0</v>
      </c>
      <c r="G511" s="8" t="n">
        <v>0</v>
      </c>
      <c r="H511" s="8" t="n">
        <v>1</v>
      </c>
      <c r="I511" s="8" t="s">
        <v>1948</v>
      </c>
      <c r="J511" s="8" t="s">
        <v>1959</v>
      </c>
      <c r="K511" s="8" t="s">
        <v>1954</v>
      </c>
      <c r="L511" s="8" t="s">
        <v>2373</v>
      </c>
      <c r="M511" s="28" t="n">
        <f aca="false">'Disease Prediction Model'!$C$9+'Disease Prediction Model'!$C$10*B511+'Disease Prediction Model'!$C$11*C511+'Disease Prediction Model'!$C$12*D511+'Disease Prediction Model'!$C$13*E511+'Disease Prediction Model'!$C$14*F511+'Disease Prediction Model'!$C$15*G511</f>
        <v>0.597673</v>
      </c>
      <c r="N511" s="8" t="str">
        <f aca="false">IF(M511&gt;=0.5,"Yes","No")</f>
        <v>Yes</v>
      </c>
    </row>
    <row r="512" customFormat="false" ht="15" hidden="false" customHeight="false" outlineLevel="0" collapsed="false">
      <c r="A512" s="8" t="s">
        <v>2460</v>
      </c>
      <c r="B512" s="8" t="n">
        <v>50</v>
      </c>
      <c r="C512" s="8" t="n">
        <v>24.7</v>
      </c>
      <c r="D512" s="8" t="n">
        <v>119</v>
      </c>
      <c r="E512" s="8" t="n">
        <v>89</v>
      </c>
      <c r="F512" s="8" t="n">
        <v>1</v>
      </c>
      <c r="G512" s="8" t="n">
        <v>1</v>
      </c>
      <c r="H512" s="8" t="n">
        <v>0</v>
      </c>
      <c r="I512" s="8" t="s">
        <v>1954</v>
      </c>
      <c r="J512" s="8" t="s">
        <v>1405</v>
      </c>
      <c r="K512" s="8" t="s">
        <v>1948</v>
      </c>
      <c r="L512" s="8" t="s">
        <v>2373</v>
      </c>
      <c r="M512" s="28" t="n">
        <f aca="false">'Disease Prediction Model'!$C$9+'Disease Prediction Model'!$C$10*B512+'Disease Prediction Model'!$C$11*C512+'Disease Prediction Model'!$C$12*D512+'Disease Prediction Model'!$C$13*E512+'Disease Prediction Model'!$C$14*F512+'Disease Prediction Model'!$C$15*G512</f>
        <v>0.224263</v>
      </c>
      <c r="N512" s="8" t="str">
        <f aca="false">IF(M512&gt;=0.5,"Yes","No")</f>
        <v>No</v>
      </c>
    </row>
    <row r="513" customFormat="false" ht="15" hidden="false" customHeight="false" outlineLevel="0" collapsed="false">
      <c r="A513" s="8" t="s">
        <v>2461</v>
      </c>
      <c r="B513" s="8" t="n">
        <v>62</v>
      </c>
      <c r="C513" s="8" t="n">
        <v>23.8</v>
      </c>
      <c r="D513" s="8" t="n">
        <v>126</v>
      </c>
      <c r="E513" s="8" t="n">
        <v>116</v>
      </c>
      <c r="F513" s="8" t="n">
        <v>0</v>
      </c>
      <c r="G513" s="8" t="n">
        <v>0</v>
      </c>
      <c r="H513" s="8" t="n">
        <v>1</v>
      </c>
      <c r="I513" s="8" t="s">
        <v>1948</v>
      </c>
      <c r="J513" s="8" t="s">
        <v>1959</v>
      </c>
      <c r="K513" s="8" t="s">
        <v>1954</v>
      </c>
      <c r="L513" s="8" t="s">
        <v>2373</v>
      </c>
      <c r="M513" s="28" t="n">
        <f aca="false">'Disease Prediction Model'!$C$9+'Disease Prediction Model'!$C$10*B513+'Disease Prediction Model'!$C$11*C513+'Disease Prediction Model'!$C$12*D513+'Disease Prediction Model'!$C$13*E513+'Disease Prediction Model'!$C$14*F513+'Disease Prediction Model'!$C$15*G513</f>
        <v>0.492752</v>
      </c>
      <c r="N513" s="8" t="str">
        <f aca="false">IF(M513&gt;=0.5,"Yes","No")</f>
        <v>No</v>
      </c>
    </row>
    <row r="514" customFormat="false" ht="15" hidden="false" customHeight="false" outlineLevel="0" collapsed="false">
      <c r="A514" s="8" t="s">
        <v>2462</v>
      </c>
      <c r="B514" s="8" t="n">
        <v>62</v>
      </c>
      <c r="C514" s="8" t="n">
        <v>28.1</v>
      </c>
      <c r="D514" s="8" t="n">
        <v>108</v>
      </c>
      <c r="E514" s="8" t="n">
        <v>102</v>
      </c>
      <c r="F514" s="8" t="n">
        <v>0</v>
      </c>
      <c r="G514" s="8" t="n">
        <v>1</v>
      </c>
      <c r="H514" s="8" t="n">
        <v>0</v>
      </c>
      <c r="I514" s="8" t="s">
        <v>1948</v>
      </c>
      <c r="J514" s="8" t="s">
        <v>1405</v>
      </c>
      <c r="K514" s="8" t="s">
        <v>1948</v>
      </c>
      <c r="L514" s="8" t="s">
        <v>2373</v>
      </c>
      <c r="M514" s="28" t="n">
        <f aca="false">'Disease Prediction Model'!$C$9+'Disease Prediction Model'!$C$10*B514+'Disease Prediction Model'!$C$11*C514+'Disease Prediction Model'!$C$12*D514+'Disease Prediction Model'!$C$13*E514+'Disease Prediction Model'!$C$14*F514+'Disease Prediction Model'!$C$15*G514</f>
        <v>0.246789</v>
      </c>
      <c r="N514" s="8" t="str">
        <f aca="false">IF(M514&gt;=0.5,"Yes","No")</f>
        <v>No</v>
      </c>
    </row>
    <row r="515" customFormat="false" ht="15" hidden="false" customHeight="false" outlineLevel="0" collapsed="false">
      <c r="A515" s="8" t="s">
        <v>2463</v>
      </c>
      <c r="B515" s="8" t="n">
        <v>47</v>
      </c>
      <c r="C515" s="8" t="n">
        <v>22.6</v>
      </c>
      <c r="D515" s="8" t="n">
        <v>114</v>
      </c>
      <c r="E515" s="8" t="n">
        <v>95</v>
      </c>
      <c r="F515" s="8" t="n">
        <v>1</v>
      </c>
      <c r="G515" s="8" t="n">
        <v>0</v>
      </c>
      <c r="H515" s="8" t="n">
        <v>0</v>
      </c>
      <c r="I515" s="8" t="s">
        <v>1954</v>
      </c>
      <c r="J515" s="8" t="s">
        <v>1959</v>
      </c>
      <c r="K515" s="8" t="s">
        <v>1948</v>
      </c>
      <c r="L515" s="8" t="s">
        <v>2373</v>
      </c>
      <c r="M515" s="28" t="n">
        <f aca="false">'Disease Prediction Model'!$C$9+'Disease Prediction Model'!$C$10*B515+'Disease Prediction Model'!$C$11*C515+'Disease Prediction Model'!$C$12*D515+'Disease Prediction Model'!$C$13*E515+'Disease Prediction Model'!$C$14*F515+'Disease Prediction Model'!$C$15*G515</f>
        <v>0.330104</v>
      </c>
      <c r="N515" s="8" t="str">
        <f aca="false">IF(M515&gt;=0.5,"Yes","No")</f>
        <v>No</v>
      </c>
    </row>
    <row r="516" customFormat="false" ht="15" hidden="false" customHeight="false" outlineLevel="0" collapsed="false">
      <c r="A516" s="8" t="s">
        <v>2464</v>
      </c>
      <c r="B516" s="8" t="n">
        <v>68</v>
      </c>
      <c r="C516" s="8" t="n">
        <v>31.8</v>
      </c>
      <c r="D516" s="8" t="n">
        <v>149</v>
      </c>
      <c r="E516" s="8" t="n">
        <v>126</v>
      </c>
      <c r="F516" s="8" t="n">
        <v>0</v>
      </c>
      <c r="G516" s="8" t="n">
        <v>1</v>
      </c>
      <c r="H516" s="8" t="n">
        <v>0</v>
      </c>
      <c r="I516" s="8" t="s">
        <v>1948</v>
      </c>
      <c r="J516" s="8" t="s">
        <v>1405</v>
      </c>
      <c r="K516" s="8" t="s">
        <v>1948</v>
      </c>
      <c r="L516" s="8" t="s">
        <v>2373</v>
      </c>
      <c r="M516" s="28" t="n">
        <f aca="false">'Disease Prediction Model'!$C$9+'Disease Prediction Model'!$C$10*B516+'Disease Prediction Model'!$C$11*C516+'Disease Prediction Model'!$C$12*D516+'Disease Prediction Model'!$C$13*E516+'Disease Prediction Model'!$C$14*F516+'Disease Prediction Model'!$C$15*G516</f>
        <v>0.675472</v>
      </c>
      <c r="N516" s="8" t="str">
        <f aca="false">IF(M516&gt;=0.5,"Yes","No")</f>
        <v>Yes</v>
      </c>
    </row>
    <row r="517" customFormat="false" ht="15" hidden="false" customHeight="false" outlineLevel="0" collapsed="false">
      <c r="A517" s="8" t="s">
        <v>2465</v>
      </c>
      <c r="B517" s="8" t="n">
        <v>62</v>
      </c>
      <c r="C517" s="8" t="n">
        <v>18.8</v>
      </c>
      <c r="D517" s="8" t="n">
        <v>127</v>
      </c>
      <c r="E517" s="8" t="n">
        <v>107</v>
      </c>
      <c r="F517" s="8" t="n">
        <v>0</v>
      </c>
      <c r="G517" s="8" t="n">
        <v>1</v>
      </c>
      <c r="H517" s="8" t="n">
        <v>0</v>
      </c>
      <c r="I517" s="8" t="s">
        <v>1948</v>
      </c>
      <c r="J517" s="8" t="s">
        <v>1405</v>
      </c>
      <c r="K517" s="8" t="s">
        <v>1948</v>
      </c>
      <c r="L517" s="8" t="s">
        <v>2373</v>
      </c>
      <c r="M517" s="28" t="n">
        <f aca="false">'Disease Prediction Model'!$C$9+'Disease Prediction Model'!$C$10*B517+'Disease Prediction Model'!$C$11*C517+'Disease Prediction Model'!$C$12*D517+'Disease Prediction Model'!$C$13*E517+'Disease Prediction Model'!$C$14*F517+'Disease Prediction Model'!$C$15*G517</f>
        <v>0.255182</v>
      </c>
      <c r="N517" s="8" t="str">
        <f aca="false">IF(M517&gt;=0.5,"Yes","No")</f>
        <v>No</v>
      </c>
    </row>
    <row r="518" customFormat="false" ht="15" hidden="false" customHeight="false" outlineLevel="0" collapsed="false">
      <c r="A518" s="8" t="s">
        <v>2466</v>
      </c>
      <c r="B518" s="8" t="n">
        <v>51</v>
      </c>
      <c r="C518" s="8" t="n">
        <v>25.4</v>
      </c>
      <c r="D518" s="8" t="n">
        <v>111</v>
      </c>
      <c r="E518" s="8" t="n">
        <v>113</v>
      </c>
      <c r="F518" s="8" t="n">
        <v>1</v>
      </c>
      <c r="G518" s="8" t="n">
        <v>2</v>
      </c>
      <c r="H518" s="8" t="n">
        <v>0</v>
      </c>
      <c r="I518" s="8" t="s">
        <v>1954</v>
      </c>
      <c r="J518" s="8" t="s">
        <v>1951</v>
      </c>
      <c r="K518" s="8" t="s">
        <v>1948</v>
      </c>
      <c r="L518" s="8" t="s">
        <v>2373</v>
      </c>
      <c r="M518" s="28" t="n">
        <f aca="false">'Disease Prediction Model'!$C$9+'Disease Prediction Model'!$C$10*B518+'Disease Prediction Model'!$C$11*C518+'Disease Prediction Model'!$C$12*D518+'Disease Prediction Model'!$C$13*E518+'Disease Prediction Model'!$C$14*F518+'Disease Prediction Model'!$C$15*G518</f>
        <v>0.327896</v>
      </c>
      <c r="N518" s="8" t="str">
        <f aca="false">IF(M518&gt;=0.5,"Yes","No")</f>
        <v>No</v>
      </c>
    </row>
    <row r="519" customFormat="false" ht="15" hidden="false" customHeight="false" outlineLevel="0" collapsed="false">
      <c r="A519" s="8" t="s">
        <v>2467</v>
      </c>
      <c r="B519" s="8" t="n">
        <v>60</v>
      </c>
      <c r="C519" s="8" t="n">
        <v>24.5</v>
      </c>
      <c r="D519" s="8" t="n">
        <v>115</v>
      </c>
      <c r="E519" s="8" t="n">
        <v>87</v>
      </c>
      <c r="F519" s="8" t="n">
        <v>0</v>
      </c>
      <c r="G519" s="8" t="n">
        <v>2</v>
      </c>
      <c r="H519" s="8" t="n">
        <v>1</v>
      </c>
      <c r="I519" s="8" t="s">
        <v>1948</v>
      </c>
      <c r="J519" s="8" t="s">
        <v>1951</v>
      </c>
      <c r="K519" s="8" t="s">
        <v>1954</v>
      </c>
      <c r="L519" s="8" t="s">
        <v>2373</v>
      </c>
      <c r="M519" s="28" t="n">
        <f aca="false">'Disease Prediction Model'!$C$9+'Disease Prediction Model'!$C$10*B519+'Disease Prediction Model'!$C$11*C519+'Disease Prediction Model'!$C$12*D519+'Disease Prediction Model'!$C$13*E519+'Disease Prediction Model'!$C$14*F519+'Disease Prediction Model'!$C$15*G519</f>
        <v>-0.0147550000000001</v>
      </c>
      <c r="N519" s="8" t="str">
        <f aca="false">IF(M519&gt;=0.5,"Yes","No")</f>
        <v>No</v>
      </c>
    </row>
    <row r="520" customFormat="false" ht="15" hidden="false" customHeight="false" outlineLevel="0" collapsed="false">
      <c r="A520" s="8" t="s">
        <v>2468</v>
      </c>
      <c r="B520" s="8" t="n">
        <v>62</v>
      </c>
      <c r="C520" s="8" t="n">
        <v>31.5</v>
      </c>
      <c r="D520" s="8" t="n">
        <v>110</v>
      </c>
      <c r="E520" s="8" t="n">
        <v>72</v>
      </c>
      <c r="F520" s="8" t="n">
        <v>0</v>
      </c>
      <c r="G520" s="8" t="n">
        <v>1</v>
      </c>
      <c r="H520" s="8" t="n">
        <v>1</v>
      </c>
      <c r="I520" s="8" t="s">
        <v>1948</v>
      </c>
      <c r="J520" s="8" t="s">
        <v>1405</v>
      </c>
      <c r="K520" s="8" t="s">
        <v>1954</v>
      </c>
      <c r="L520" s="8" t="s">
        <v>2373</v>
      </c>
      <c r="M520" s="28" t="n">
        <f aca="false">'Disease Prediction Model'!$C$9+'Disease Prediction Model'!$C$10*B520+'Disease Prediction Model'!$C$11*C520+'Disease Prediction Model'!$C$12*D520+'Disease Prediction Model'!$C$13*E520+'Disease Prediction Model'!$C$14*F520+'Disease Prediction Model'!$C$15*G520</f>
        <v>0.0148749999999999</v>
      </c>
      <c r="N520" s="8" t="str">
        <f aca="false">IF(M520&gt;=0.5,"Yes","No")</f>
        <v>No</v>
      </c>
    </row>
    <row r="521" customFormat="false" ht="15" hidden="false" customHeight="false" outlineLevel="0" collapsed="false">
      <c r="A521" s="8" t="s">
        <v>2469</v>
      </c>
      <c r="B521" s="8" t="n">
        <v>63</v>
      </c>
      <c r="C521" s="8" t="n">
        <v>26.9</v>
      </c>
      <c r="D521" s="8" t="n">
        <v>126</v>
      </c>
      <c r="E521" s="8" t="n">
        <v>103</v>
      </c>
      <c r="F521" s="8" t="n">
        <v>1</v>
      </c>
      <c r="G521" s="8" t="n">
        <v>2</v>
      </c>
      <c r="H521" s="8" t="n">
        <v>0</v>
      </c>
      <c r="I521" s="8" t="s">
        <v>1954</v>
      </c>
      <c r="J521" s="8" t="s">
        <v>1951</v>
      </c>
      <c r="K521" s="8" t="s">
        <v>1948</v>
      </c>
      <c r="L521" s="8" t="s">
        <v>2373</v>
      </c>
      <c r="M521" s="28" t="n">
        <f aca="false">'Disease Prediction Model'!$C$9+'Disease Prediction Model'!$C$10*B521+'Disease Prediction Model'!$C$11*C521+'Disease Prediction Model'!$C$12*D521+'Disease Prediction Model'!$C$13*E521+'Disease Prediction Model'!$C$14*F521+'Disease Prediction Model'!$C$15*G521</f>
        <v>0.341121</v>
      </c>
      <c r="N521" s="8" t="str">
        <f aca="false">IF(M521&gt;=0.5,"Yes","No")</f>
        <v>No</v>
      </c>
    </row>
    <row r="522" customFormat="false" ht="15" hidden="false" customHeight="false" outlineLevel="0" collapsed="false">
      <c r="A522" s="8" t="s">
        <v>2470</v>
      </c>
      <c r="B522" s="8" t="n">
        <v>71</v>
      </c>
      <c r="C522" s="8" t="n">
        <v>26</v>
      </c>
      <c r="D522" s="8" t="n">
        <v>136</v>
      </c>
      <c r="E522" s="8" t="n">
        <v>122</v>
      </c>
      <c r="F522" s="8" t="n">
        <v>0</v>
      </c>
      <c r="G522" s="8" t="n">
        <v>1</v>
      </c>
      <c r="H522" s="8" t="n">
        <v>0</v>
      </c>
      <c r="I522" s="8" t="s">
        <v>1948</v>
      </c>
      <c r="J522" s="8" t="s">
        <v>1405</v>
      </c>
      <c r="K522" s="8" t="s">
        <v>1948</v>
      </c>
      <c r="L522" s="8" t="s">
        <v>2373</v>
      </c>
      <c r="M522" s="28" t="n">
        <f aca="false">'Disease Prediction Model'!$C$9+'Disease Prediction Model'!$C$10*B522+'Disease Prediction Model'!$C$11*C522+'Disease Prediction Model'!$C$12*D522+'Disease Prediction Model'!$C$13*E522+'Disease Prediction Model'!$C$14*F522+'Disease Prediction Model'!$C$15*G522</f>
        <v>0.53459</v>
      </c>
      <c r="N522" s="8" t="str">
        <f aca="false">IF(M522&gt;=0.5,"Yes","No")</f>
        <v>Yes</v>
      </c>
    </row>
    <row r="523" customFormat="false" ht="15" hidden="false" customHeight="false" outlineLevel="0" collapsed="false">
      <c r="A523" s="8" t="s">
        <v>2471</v>
      </c>
      <c r="B523" s="8" t="n">
        <v>72</v>
      </c>
      <c r="C523" s="8" t="n">
        <v>22.5</v>
      </c>
      <c r="D523" s="8" t="n">
        <v>135</v>
      </c>
      <c r="E523" s="8" t="n">
        <v>100</v>
      </c>
      <c r="F523" s="8" t="n">
        <v>1</v>
      </c>
      <c r="G523" s="8" t="n">
        <v>2</v>
      </c>
      <c r="H523" s="8" t="n">
        <v>1</v>
      </c>
      <c r="I523" s="8" t="s">
        <v>1954</v>
      </c>
      <c r="J523" s="8" t="s">
        <v>1951</v>
      </c>
      <c r="K523" s="8" t="s">
        <v>1954</v>
      </c>
      <c r="L523" s="8" t="s">
        <v>2373</v>
      </c>
      <c r="M523" s="28" t="n">
        <f aca="false">'Disease Prediction Model'!$C$9+'Disease Prediction Model'!$C$10*B523+'Disease Prediction Model'!$C$11*C523+'Disease Prediction Model'!$C$12*D523+'Disease Prediction Model'!$C$13*E523+'Disease Prediction Model'!$C$14*F523+'Disease Prediction Model'!$C$15*G523</f>
        <v>0.321725</v>
      </c>
      <c r="N523" s="8" t="str">
        <f aca="false">IF(M523&gt;=0.5,"Yes","No")</f>
        <v>No</v>
      </c>
    </row>
    <row r="524" customFormat="false" ht="15" hidden="false" customHeight="false" outlineLevel="0" collapsed="false">
      <c r="A524" s="8" t="s">
        <v>2472</v>
      </c>
      <c r="B524" s="8" t="n">
        <v>27</v>
      </c>
      <c r="C524" s="8" t="n">
        <v>34.5</v>
      </c>
      <c r="D524" s="8" t="n">
        <v>118</v>
      </c>
      <c r="E524" s="8" t="n">
        <v>108</v>
      </c>
      <c r="F524" s="8" t="n">
        <v>1</v>
      </c>
      <c r="G524" s="8" t="n">
        <v>1</v>
      </c>
      <c r="H524" s="8" t="n">
        <v>0</v>
      </c>
      <c r="I524" s="8" t="s">
        <v>1954</v>
      </c>
      <c r="J524" s="8" t="s">
        <v>1405</v>
      </c>
      <c r="K524" s="8" t="s">
        <v>1948</v>
      </c>
      <c r="L524" s="8" t="s">
        <v>2373</v>
      </c>
      <c r="M524" s="28" t="n">
        <f aca="false">'Disease Prediction Model'!$C$9+'Disease Prediction Model'!$C$10*B524+'Disease Prediction Model'!$C$11*C524+'Disease Prediction Model'!$C$12*D524+'Disease Prediction Model'!$C$13*E524+'Disease Prediction Model'!$C$14*F524+'Disease Prediction Model'!$C$15*G524</f>
        <v>0.441085</v>
      </c>
      <c r="N524" s="8" t="str">
        <f aca="false">IF(M524&gt;=0.5,"Yes","No")</f>
        <v>No</v>
      </c>
    </row>
    <row r="525" customFormat="false" ht="15" hidden="false" customHeight="false" outlineLevel="0" collapsed="false">
      <c r="A525" s="8" t="s">
        <v>2473</v>
      </c>
      <c r="B525" s="8" t="n">
        <v>44</v>
      </c>
      <c r="C525" s="8" t="n">
        <v>20.7</v>
      </c>
      <c r="D525" s="8" t="n">
        <v>115</v>
      </c>
      <c r="E525" s="8" t="n">
        <v>128</v>
      </c>
      <c r="F525" s="8" t="n">
        <v>0</v>
      </c>
      <c r="G525" s="8" t="n">
        <v>1</v>
      </c>
      <c r="H525" s="8" t="n">
        <v>0</v>
      </c>
      <c r="I525" s="8" t="s">
        <v>1948</v>
      </c>
      <c r="J525" s="8" t="s">
        <v>1405</v>
      </c>
      <c r="K525" s="8" t="s">
        <v>1948</v>
      </c>
      <c r="L525" s="8" t="s">
        <v>2373</v>
      </c>
      <c r="M525" s="28" t="n">
        <f aca="false">'Disease Prediction Model'!$C$9+'Disease Prediction Model'!$C$10*B525+'Disease Prediction Model'!$C$11*C525+'Disease Prediction Model'!$C$12*D525+'Disease Prediction Model'!$C$13*E525+'Disease Prediction Model'!$C$14*F525+'Disease Prediction Model'!$C$15*G525</f>
        <v>0.375763</v>
      </c>
      <c r="N525" s="8" t="str">
        <f aca="false">IF(M525&gt;=0.5,"Yes","No")</f>
        <v>No</v>
      </c>
    </row>
    <row r="526" customFormat="false" ht="15" hidden="false" customHeight="false" outlineLevel="0" collapsed="false">
      <c r="A526" s="8" t="s">
        <v>2474</v>
      </c>
      <c r="B526" s="8" t="n">
        <v>60</v>
      </c>
      <c r="C526" s="8" t="n">
        <v>33.7</v>
      </c>
      <c r="D526" s="8" t="n">
        <v>123</v>
      </c>
      <c r="E526" s="8" t="n">
        <v>70</v>
      </c>
      <c r="F526" s="8" t="n">
        <v>0</v>
      </c>
      <c r="G526" s="8" t="n">
        <v>1</v>
      </c>
      <c r="H526" s="8" t="n">
        <v>0</v>
      </c>
      <c r="I526" s="8" t="s">
        <v>1948</v>
      </c>
      <c r="J526" s="8" t="s">
        <v>1405</v>
      </c>
      <c r="K526" s="8" t="s">
        <v>1948</v>
      </c>
      <c r="L526" s="8" t="s">
        <v>2373</v>
      </c>
      <c r="M526" s="28" t="n">
        <f aca="false">'Disease Prediction Model'!$C$9+'Disease Prediction Model'!$C$10*B526+'Disease Prediction Model'!$C$11*C526+'Disease Prediction Model'!$C$12*D526+'Disease Prediction Model'!$C$13*E526+'Disease Prediction Model'!$C$14*F526+'Disease Prediction Model'!$C$15*G526</f>
        <v>0.0621129999999999</v>
      </c>
      <c r="N526" s="8" t="str">
        <f aca="false">IF(M526&gt;=0.5,"Yes","No")</f>
        <v>No</v>
      </c>
    </row>
    <row r="527" customFormat="false" ht="15" hidden="false" customHeight="false" outlineLevel="0" collapsed="false">
      <c r="A527" s="8" t="s">
        <v>2475</v>
      </c>
      <c r="B527" s="8" t="n">
        <v>46</v>
      </c>
      <c r="C527" s="8" t="n">
        <v>24.7</v>
      </c>
      <c r="D527" s="8" t="n">
        <v>95</v>
      </c>
      <c r="E527" s="8" t="n">
        <v>94</v>
      </c>
      <c r="F527" s="8" t="n">
        <v>0</v>
      </c>
      <c r="G527" s="8" t="n">
        <v>1</v>
      </c>
      <c r="H527" s="8" t="n">
        <v>0</v>
      </c>
      <c r="I527" s="8" t="s">
        <v>1948</v>
      </c>
      <c r="J527" s="8" t="s">
        <v>1405</v>
      </c>
      <c r="K527" s="8" t="s">
        <v>1948</v>
      </c>
      <c r="L527" s="8" t="s">
        <v>2373</v>
      </c>
      <c r="M527" s="28" t="n">
        <f aca="false">'Disease Prediction Model'!$C$9+'Disease Prediction Model'!$C$10*B527+'Disease Prediction Model'!$C$11*C527+'Disease Prediction Model'!$C$12*D527+'Disease Prediction Model'!$C$13*E527+'Disease Prediction Model'!$C$14*F527+'Disease Prediction Model'!$C$15*G527</f>
        <v>0.0407229999999999</v>
      </c>
      <c r="N527" s="8" t="str">
        <f aca="false">IF(M527&gt;=0.5,"Yes","No")</f>
        <v>No</v>
      </c>
    </row>
    <row r="528" customFormat="false" ht="15" hidden="false" customHeight="false" outlineLevel="0" collapsed="false">
      <c r="A528" s="8" t="s">
        <v>2476</v>
      </c>
      <c r="B528" s="8" t="n">
        <v>25</v>
      </c>
      <c r="C528" s="8" t="n">
        <v>24.5</v>
      </c>
      <c r="D528" s="8" t="n">
        <v>138</v>
      </c>
      <c r="E528" s="8" t="n">
        <v>98</v>
      </c>
      <c r="F528" s="8" t="n">
        <v>1</v>
      </c>
      <c r="G528" s="8" t="n">
        <v>1</v>
      </c>
      <c r="H528" s="8" t="n">
        <v>0</v>
      </c>
      <c r="I528" s="8" t="s">
        <v>1954</v>
      </c>
      <c r="J528" s="8" t="s">
        <v>1405</v>
      </c>
      <c r="K528" s="8" t="s">
        <v>1948</v>
      </c>
      <c r="L528" s="8" t="s">
        <v>2373</v>
      </c>
      <c r="M528" s="28" t="n">
        <f aca="false">'Disease Prediction Model'!$C$9+'Disease Prediction Model'!$C$10*B528+'Disease Prediction Model'!$C$11*C528+'Disease Prediction Model'!$C$12*D528+'Disease Prediction Model'!$C$13*E528+'Disease Prediction Model'!$C$14*F528+'Disease Prediction Model'!$C$15*G528</f>
        <v>0.300345</v>
      </c>
      <c r="N528" s="8" t="str">
        <f aca="false">IF(M528&gt;=0.5,"Yes","No")</f>
        <v>No</v>
      </c>
    </row>
    <row r="529" customFormat="false" ht="15" hidden="false" customHeight="false" outlineLevel="0" collapsed="false">
      <c r="A529" s="8" t="s">
        <v>2477</v>
      </c>
      <c r="B529" s="8" t="n">
        <v>51</v>
      </c>
      <c r="C529" s="8" t="n">
        <v>27.2</v>
      </c>
      <c r="D529" s="8" t="n">
        <v>156</v>
      </c>
      <c r="E529" s="8" t="n">
        <v>109</v>
      </c>
      <c r="F529" s="8" t="n">
        <v>0</v>
      </c>
      <c r="G529" s="8" t="n">
        <v>2</v>
      </c>
      <c r="H529" s="8" t="n">
        <v>0</v>
      </c>
      <c r="I529" s="8" t="s">
        <v>1948</v>
      </c>
      <c r="J529" s="8" t="s">
        <v>1951</v>
      </c>
      <c r="K529" s="8" t="s">
        <v>1948</v>
      </c>
      <c r="L529" s="8" t="s">
        <v>2373</v>
      </c>
      <c r="M529" s="28" t="n">
        <f aca="false">'Disease Prediction Model'!$C$9+'Disease Prediction Model'!$C$10*B529+'Disease Prediction Model'!$C$11*C529+'Disease Prediction Model'!$C$12*D529+'Disease Prediction Model'!$C$13*E529+'Disease Prediction Model'!$C$14*F529+'Disease Prediction Model'!$C$15*G529</f>
        <v>0.340218</v>
      </c>
      <c r="N529" s="8" t="str">
        <f aca="false">IF(M529&gt;=0.5,"Yes","No")</f>
        <v>No</v>
      </c>
    </row>
    <row r="530" customFormat="false" ht="15" hidden="false" customHeight="false" outlineLevel="0" collapsed="false">
      <c r="A530" s="8" t="s">
        <v>2478</v>
      </c>
      <c r="B530" s="8" t="n">
        <v>63</v>
      </c>
      <c r="C530" s="8" t="n">
        <v>25.7</v>
      </c>
      <c r="D530" s="8" t="n">
        <v>134</v>
      </c>
      <c r="E530" s="8" t="n">
        <v>70</v>
      </c>
      <c r="F530" s="8" t="n">
        <v>0</v>
      </c>
      <c r="G530" s="8" t="n">
        <v>0</v>
      </c>
      <c r="H530" s="8" t="n">
        <v>1</v>
      </c>
      <c r="I530" s="8" t="s">
        <v>1948</v>
      </c>
      <c r="J530" s="8" t="s">
        <v>1959</v>
      </c>
      <c r="K530" s="8" t="s">
        <v>1954</v>
      </c>
      <c r="L530" s="8" t="s">
        <v>2373</v>
      </c>
      <c r="M530" s="28" t="n">
        <f aca="false">'Disease Prediction Model'!$C$9+'Disease Prediction Model'!$C$10*B530+'Disease Prediction Model'!$C$11*C530+'Disease Prediction Model'!$C$12*D530+'Disease Prediction Model'!$C$13*E530+'Disease Prediction Model'!$C$14*F530+'Disease Prediction Model'!$C$15*G530</f>
        <v>0.119993</v>
      </c>
      <c r="N530" s="8" t="str">
        <f aca="false">IF(M530&gt;=0.5,"Yes","No")</f>
        <v>No</v>
      </c>
    </row>
    <row r="531" customFormat="false" ht="15" hidden="false" customHeight="false" outlineLevel="0" collapsed="false">
      <c r="A531" s="8" t="s">
        <v>2479</v>
      </c>
      <c r="B531" s="8" t="n">
        <v>65</v>
      </c>
      <c r="C531" s="8" t="n">
        <v>24.4</v>
      </c>
      <c r="D531" s="8" t="n">
        <v>114</v>
      </c>
      <c r="E531" s="8" t="n">
        <v>107</v>
      </c>
      <c r="F531" s="8" t="n">
        <v>0</v>
      </c>
      <c r="G531" s="8" t="n">
        <v>1</v>
      </c>
      <c r="H531" s="8" t="n">
        <v>1</v>
      </c>
      <c r="I531" s="8" t="s">
        <v>1948</v>
      </c>
      <c r="J531" s="8" t="s">
        <v>1405</v>
      </c>
      <c r="K531" s="8" t="s">
        <v>1954</v>
      </c>
      <c r="L531" s="8" t="s">
        <v>2373</v>
      </c>
      <c r="M531" s="28" t="n">
        <f aca="false">'Disease Prediction Model'!$C$9+'Disease Prediction Model'!$C$10*B531+'Disease Prediction Model'!$C$11*C531+'Disease Prediction Model'!$C$12*D531+'Disease Prediction Model'!$C$13*E531+'Disease Prediction Model'!$C$14*F531+'Disease Prediction Model'!$C$15*G531</f>
        <v>0.281186</v>
      </c>
      <c r="N531" s="8" t="str">
        <f aca="false">IF(M531&gt;=0.5,"Yes","No")</f>
        <v>No</v>
      </c>
    </row>
    <row r="532" customFormat="false" ht="15" hidden="false" customHeight="false" outlineLevel="0" collapsed="false">
      <c r="A532" s="8" t="s">
        <v>2480</v>
      </c>
      <c r="B532" s="8" t="n">
        <v>66</v>
      </c>
      <c r="C532" s="8" t="n">
        <v>25.6</v>
      </c>
      <c r="D532" s="8" t="n">
        <v>115</v>
      </c>
      <c r="E532" s="8" t="n">
        <v>106</v>
      </c>
      <c r="F532" s="8" t="n">
        <v>0</v>
      </c>
      <c r="G532" s="8" t="n">
        <v>0</v>
      </c>
      <c r="H532" s="8" t="n">
        <v>0</v>
      </c>
      <c r="I532" s="8" t="s">
        <v>1948</v>
      </c>
      <c r="J532" s="8" t="s">
        <v>1959</v>
      </c>
      <c r="K532" s="8" t="s">
        <v>1948</v>
      </c>
      <c r="L532" s="8" t="s">
        <v>2373</v>
      </c>
      <c r="M532" s="28" t="n">
        <f aca="false">'Disease Prediction Model'!$C$9+'Disease Prediction Model'!$C$10*B532+'Disease Prediction Model'!$C$11*C532+'Disease Prediction Model'!$C$12*D532+'Disease Prediction Model'!$C$13*E532+'Disease Prediction Model'!$C$14*F532+'Disease Prediction Model'!$C$15*G532</f>
        <v>0.392954</v>
      </c>
      <c r="N532" s="8" t="str">
        <f aca="false">IF(M532&gt;=0.5,"Yes","No")</f>
        <v>No</v>
      </c>
    </row>
    <row r="533" customFormat="false" ht="15" hidden="false" customHeight="false" outlineLevel="0" collapsed="false">
      <c r="A533" s="8" t="s">
        <v>2481</v>
      </c>
      <c r="B533" s="8" t="n">
        <v>39</v>
      </c>
      <c r="C533" s="8" t="n">
        <v>40.3</v>
      </c>
      <c r="D533" s="8" t="n">
        <v>149</v>
      </c>
      <c r="E533" s="8" t="n">
        <v>112</v>
      </c>
      <c r="F533" s="8" t="n">
        <v>0</v>
      </c>
      <c r="G533" s="8" t="n">
        <v>2</v>
      </c>
      <c r="H533" s="8" t="n">
        <v>1</v>
      </c>
      <c r="I533" s="8" t="s">
        <v>1948</v>
      </c>
      <c r="J533" s="8" t="s">
        <v>1951</v>
      </c>
      <c r="K533" s="8" t="s">
        <v>1954</v>
      </c>
      <c r="L533" s="8" t="s">
        <v>2373</v>
      </c>
      <c r="M533" s="28" t="n">
        <f aca="false">'Disease Prediction Model'!$C$9+'Disease Prediction Model'!$C$10*B533+'Disease Prediction Model'!$C$11*C533+'Disease Prediction Model'!$C$12*D533+'Disease Prediction Model'!$C$13*E533+'Disease Prediction Model'!$C$14*F533+'Disease Prediction Model'!$C$15*G533</f>
        <v>0.457107</v>
      </c>
      <c r="N533" s="8" t="str">
        <f aca="false">IF(M533&gt;=0.5,"Yes","No")</f>
        <v>No</v>
      </c>
    </row>
    <row r="534" customFormat="false" ht="15" hidden="false" customHeight="false" outlineLevel="0" collapsed="false">
      <c r="A534" s="8" t="s">
        <v>2482</v>
      </c>
      <c r="B534" s="8" t="n">
        <v>80</v>
      </c>
      <c r="C534" s="8" t="n">
        <v>28.6</v>
      </c>
      <c r="D534" s="8" t="n">
        <v>102</v>
      </c>
      <c r="E534" s="8" t="n">
        <v>103</v>
      </c>
      <c r="F534" s="8" t="n">
        <v>0</v>
      </c>
      <c r="G534" s="8" t="n">
        <v>1</v>
      </c>
      <c r="H534" s="8" t="n">
        <v>1</v>
      </c>
      <c r="I534" s="8" t="s">
        <v>1948</v>
      </c>
      <c r="J534" s="8" t="s">
        <v>1405</v>
      </c>
      <c r="K534" s="8" t="s">
        <v>1954</v>
      </c>
      <c r="L534" s="8" t="s">
        <v>2373</v>
      </c>
      <c r="M534" s="28" t="n">
        <f aca="false">'Disease Prediction Model'!$C$9+'Disease Prediction Model'!$C$10*B534+'Disease Prediction Model'!$C$11*C534+'Disease Prediction Model'!$C$12*D534+'Disease Prediction Model'!$C$13*E534+'Disease Prediction Model'!$C$14*F534+'Disease Prediction Model'!$C$15*G534</f>
        <v>0.292824</v>
      </c>
      <c r="N534" s="8" t="str">
        <f aca="false">IF(M534&gt;=0.5,"Yes","No")</f>
        <v>No</v>
      </c>
    </row>
    <row r="535" customFormat="false" ht="15" hidden="false" customHeight="false" outlineLevel="0" collapsed="false">
      <c r="A535" s="8" t="s">
        <v>2483</v>
      </c>
      <c r="B535" s="8" t="n">
        <v>30</v>
      </c>
      <c r="C535" s="8" t="n">
        <v>32.8</v>
      </c>
      <c r="D535" s="8" t="n">
        <v>144</v>
      </c>
      <c r="E535" s="8" t="n">
        <v>113</v>
      </c>
      <c r="F535" s="8" t="n">
        <v>0</v>
      </c>
      <c r="G535" s="8" t="n">
        <v>0</v>
      </c>
      <c r="H535" s="8" t="n">
        <v>0</v>
      </c>
      <c r="I535" s="8" t="s">
        <v>1948</v>
      </c>
      <c r="J535" s="8" t="s">
        <v>1959</v>
      </c>
      <c r="K535" s="8" t="s">
        <v>1948</v>
      </c>
      <c r="L535" s="8" t="s">
        <v>2373</v>
      </c>
      <c r="M535" s="28" t="n">
        <f aca="false">'Disease Prediction Model'!$C$9+'Disease Prediction Model'!$C$10*B535+'Disease Prediction Model'!$C$11*C535+'Disease Prediction Model'!$C$12*D535+'Disease Prediction Model'!$C$13*E535+'Disease Prediction Model'!$C$14*F535+'Disease Prediction Model'!$C$15*G535</f>
        <v>0.538482</v>
      </c>
      <c r="N535" s="8" t="str">
        <f aca="false">IF(M535&gt;=0.5,"Yes","No")</f>
        <v>Yes</v>
      </c>
    </row>
    <row r="536" customFormat="false" ht="15" hidden="false" customHeight="false" outlineLevel="0" collapsed="false">
      <c r="A536" s="8" t="s">
        <v>2484</v>
      </c>
      <c r="B536" s="8" t="n">
        <v>42</v>
      </c>
      <c r="C536" s="8" t="n">
        <v>31.9</v>
      </c>
      <c r="D536" s="8" t="n">
        <v>145</v>
      </c>
      <c r="E536" s="8" t="n">
        <v>94</v>
      </c>
      <c r="F536" s="8" t="n">
        <v>0</v>
      </c>
      <c r="G536" s="8" t="n">
        <v>1</v>
      </c>
      <c r="H536" s="8" t="n">
        <v>1</v>
      </c>
      <c r="I536" s="8" t="s">
        <v>1948</v>
      </c>
      <c r="J536" s="8" t="s">
        <v>1405</v>
      </c>
      <c r="K536" s="8" t="s">
        <v>1954</v>
      </c>
      <c r="L536" s="8" t="s">
        <v>2373</v>
      </c>
      <c r="M536" s="28" t="n">
        <f aca="false">'Disease Prediction Model'!$C$9+'Disease Prediction Model'!$C$10*B536+'Disease Prediction Model'!$C$11*C536+'Disease Prediction Model'!$C$12*D536+'Disease Prediction Model'!$C$13*E536+'Disease Prediction Model'!$C$14*F536+'Disease Prediction Model'!$C$15*G536</f>
        <v>0.290051</v>
      </c>
      <c r="N536" s="8" t="str">
        <f aca="false">IF(M536&gt;=0.5,"Yes","No")</f>
        <v>No</v>
      </c>
    </row>
    <row r="537" customFormat="false" ht="15" hidden="false" customHeight="false" outlineLevel="0" collapsed="false">
      <c r="A537" s="8" t="s">
        <v>2485</v>
      </c>
      <c r="B537" s="8" t="n">
        <v>32</v>
      </c>
      <c r="C537" s="8" t="n">
        <v>28.5</v>
      </c>
      <c r="D537" s="8" t="n">
        <v>129</v>
      </c>
      <c r="E537" s="8" t="n">
        <v>116</v>
      </c>
      <c r="F537" s="8" t="n">
        <v>1</v>
      </c>
      <c r="G537" s="8" t="n">
        <v>2</v>
      </c>
      <c r="H537" s="8" t="n">
        <v>0</v>
      </c>
      <c r="I537" s="8" t="s">
        <v>1954</v>
      </c>
      <c r="J537" s="8" t="s">
        <v>1951</v>
      </c>
      <c r="K537" s="8" t="s">
        <v>1948</v>
      </c>
      <c r="L537" s="8" t="s">
        <v>2373</v>
      </c>
      <c r="M537" s="28" t="n">
        <f aca="false">'Disease Prediction Model'!$C$9+'Disease Prediction Model'!$C$10*B537+'Disease Prediction Model'!$C$11*C537+'Disease Prediction Model'!$C$12*D537+'Disease Prediction Model'!$C$13*E537+'Disease Prediction Model'!$C$14*F537+'Disease Prediction Model'!$C$15*G537</f>
        <v>0.399945</v>
      </c>
      <c r="N537" s="8" t="str">
        <f aca="false">IF(M537&gt;=0.5,"Yes","No")</f>
        <v>No</v>
      </c>
    </row>
    <row r="538" customFormat="false" ht="15" hidden="false" customHeight="false" outlineLevel="0" collapsed="false">
      <c r="A538" s="8" t="s">
        <v>2486</v>
      </c>
      <c r="B538" s="8" t="n">
        <v>43</v>
      </c>
      <c r="C538" s="8" t="n">
        <v>31.6</v>
      </c>
      <c r="D538" s="8" t="n">
        <v>155</v>
      </c>
      <c r="E538" s="8" t="n">
        <v>120</v>
      </c>
      <c r="F538" s="8" t="n">
        <v>1</v>
      </c>
      <c r="G538" s="8" t="n">
        <v>1</v>
      </c>
      <c r="H538" s="8" t="n">
        <v>1</v>
      </c>
      <c r="I538" s="8" t="s">
        <v>1954</v>
      </c>
      <c r="J538" s="8" t="s">
        <v>1405</v>
      </c>
      <c r="K538" s="8" t="s">
        <v>1954</v>
      </c>
      <c r="L538" s="8" t="s">
        <v>2373</v>
      </c>
      <c r="M538" s="28" t="n">
        <f aca="false">'Disease Prediction Model'!$C$9+'Disease Prediction Model'!$C$10*B538+'Disease Prediction Model'!$C$11*C538+'Disease Prediction Model'!$C$12*D538+'Disease Prediction Model'!$C$13*E538+'Disease Prediction Model'!$C$14*F538+'Disease Prediction Model'!$C$15*G538</f>
        <v>0.698354</v>
      </c>
      <c r="N538" s="8" t="str">
        <f aca="false">IF(M538&gt;=0.5,"Yes","No")</f>
        <v>Yes</v>
      </c>
    </row>
    <row r="539" customFormat="false" ht="15" hidden="false" customHeight="false" outlineLevel="0" collapsed="false">
      <c r="A539" s="8" t="s">
        <v>2487</v>
      </c>
      <c r="B539" s="8" t="n">
        <v>72</v>
      </c>
      <c r="C539" s="8" t="n">
        <v>24.1</v>
      </c>
      <c r="D539" s="8" t="n">
        <v>121</v>
      </c>
      <c r="E539" s="8" t="n">
        <v>114</v>
      </c>
      <c r="F539" s="8" t="n">
        <v>1</v>
      </c>
      <c r="G539" s="8" t="n">
        <v>1</v>
      </c>
      <c r="H539" s="8" t="n">
        <v>1</v>
      </c>
      <c r="I539" s="8" t="s">
        <v>1954</v>
      </c>
      <c r="J539" s="8" t="s">
        <v>1405</v>
      </c>
      <c r="K539" s="8" t="s">
        <v>1954</v>
      </c>
      <c r="L539" s="8" t="s">
        <v>2373</v>
      </c>
      <c r="M539" s="28" t="n">
        <f aca="false">'Disease Prediction Model'!$C$9+'Disease Prediction Model'!$C$10*B539+'Disease Prediction Model'!$C$11*C539+'Disease Prediction Model'!$C$12*D539+'Disease Prediction Model'!$C$13*E539+'Disease Prediction Model'!$C$14*F539+'Disease Prediction Model'!$C$15*G539</f>
        <v>0.520329</v>
      </c>
      <c r="N539" s="8" t="str">
        <f aca="false">IF(M539&gt;=0.5,"Yes","No")</f>
        <v>Yes</v>
      </c>
    </row>
    <row r="540" customFormat="false" ht="15" hidden="false" customHeight="false" outlineLevel="0" collapsed="false">
      <c r="A540" s="8" t="s">
        <v>2488</v>
      </c>
      <c r="B540" s="8" t="n">
        <v>59</v>
      </c>
      <c r="C540" s="8" t="n">
        <v>27.4</v>
      </c>
      <c r="D540" s="8" t="n">
        <v>133</v>
      </c>
      <c r="E540" s="8" t="n">
        <v>85</v>
      </c>
      <c r="F540" s="8" t="n">
        <v>0</v>
      </c>
      <c r="G540" s="8" t="n">
        <v>0</v>
      </c>
      <c r="H540" s="8" t="n">
        <v>0</v>
      </c>
      <c r="I540" s="8" t="s">
        <v>1948</v>
      </c>
      <c r="J540" s="8" t="s">
        <v>1959</v>
      </c>
      <c r="K540" s="8" t="s">
        <v>1948</v>
      </c>
      <c r="L540" s="8" t="s">
        <v>2373</v>
      </c>
      <c r="M540" s="28" t="n">
        <f aca="false">'Disease Prediction Model'!$C$9+'Disease Prediction Model'!$C$10*B540+'Disease Prediction Model'!$C$11*C540+'Disease Prediction Model'!$C$12*D540+'Disease Prediction Model'!$C$13*E540+'Disease Prediction Model'!$C$14*F540+'Disease Prediction Model'!$C$15*G540</f>
        <v>0.262996</v>
      </c>
      <c r="N540" s="8" t="str">
        <f aca="false">IF(M540&gt;=0.5,"Yes","No")</f>
        <v>No</v>
      </c>
    </row>
    <row r="541" customFormat="false" ht="15" hidden="false" customHeight="false" outlineLevel="0" collapsed="false">
      <c r="A541" s="8" t="s">
        <v>2489</v>
      </c>
      <c r="B541" s="8" t="n">
        <v>62</v>
      </c>
      <c r="C541" s="8" t="n">
        <v>18.9</v>
      </c>
      <c r="D541" s="8" t="n">
        <v>128</v>
      </c>
      <c r="E541" s="8" t="n">
        <v>120</v>
      </c>
      <c r="F541" s="8" t="n">
        <v>1</v>
      </c>
      <c r="G541" s="8" t="n">
        <v>1</v>
      </c>
      <c r="H541" s="8" t="n">
        <v>1</v>
      </c>
      <c r="I541" s="8" t="s">
        <v>1954</v>
      </c>
      <c r="J541" s="8" t="s">
        <v>1405</v>
      </c>
      <c r="K541" s="8" t="s">
        <v>1954</v>
      </c>
      <c r="L541" s="8" t="s">
        <v>2373</v>
      </c>
      <c r="M541" s="28" t="n">
        <f aca="false">'Disease Prediction Model'!$C$9+'Disease Prediction Model'!$C$10*B541+'Disease Prediction Model'!$C$11*C541+'Disease Prediction Model'!$C$12*D541+'Disease Prediction Model'!$C$13*E541+'Disease Prediction Model'!$C$14*F541+'Disease Prediction Model'!$C$15*G541</f>
        <v>0.512521</v>
      </c>
      <c r="N541" s="8" t="str">
        <f aca="false">IF(M541&gt;=0.5,"Yes","No")</f>
        <v>Yes</v>
      </c>
    </row>
    <row r="542" customFormat="false" ht="15" hidden="false" customHeight="false" outlineLevel="0" collapsed="false">
      <c r="A542" s="8" t="s">
        <v>2490</v>
      </c>
      <c r="B542" s="8" t="n">
        <v>46</v>
      </c>
      <c r="C542" s="8" t="n">
        <v>26.9</v>
      </c>
      <c r="D542" s="8" t="n">
        <v>122</v>
      </c>
      <c r="E542" s="8" t="n">
        <v>70</v>
      </c>
      <c r="F542" s="8" t="n">
        <v>1</v>
      </c>
      <c r="G542" s="8" t="n">
        <v>1</v>
      </c>
      <c r="H542" s="8" t="n">
        <v>0</v>
      </c>
      <c r="I542" s="8" t="s">
        <v>1954</v>
      </c>
      <c r="J542" s="8" t="s">
        <v>1405</v>
      </c>
      <c r="K542" s="8" t="s">
        <v>1948</v>
      </c>
      <c r="L542" s="8" t="s">
        <v>2373</v>
      </c>
      <c r="M542" s="28" t="n">
        <f aca="false">'Disease Prediction Model'!$C$9+'Disease Prediction Model'!$C$10*B542+'Disease Prediction Model'!$C$11*C542+'Disease Prediction Model'!$C$12*D542+'Disease Prediction Model'!$C$13*E542+'Disease Prediction Model'!$C$14*F542+'Disease Prediction Model'!$C$15*G542</f>
        <v>0.072441</v>
      </c>
      <c r="N542" s="8" t="str">
        <f aca="false">IF(M542&gt;=0.5,"Yes","No")</f>
        <v>No</v>
      </c>
    </row>
    <row r="543" customFormat="false" ht="15" hidden="false" customHeight="false" outlineLevel="0" collapsed="false">
      <c r="A543" s="8" t="s">
        <v>2491</v>
      </c>
      <c r="B543" s="8" t="n">
        <v>58</v>
      </c>
      <c r="C543" s="8" t="n">
        <v>25.6</v>
      </c>
      <c r="D543" s="8" t="n">
        <v>136</v>
      </c>
      <c r="E543" s="8" t="n">
        <v>116</v>
      </c>
      <c r="F543" s="8" t="n">
        <v>1</v>
      </c>
      <c r="G543" s="8" t="n">
        <v>1</v>
      </c>
      <c r="H543" s="8" t="n">
        <v>1</v>
      </c>
      <c r="I543" s="8" t="s">
        <v>1954</v>
      </c>
      <c r="J543" s="8" t="s">
        <v>1405</v>
      </c>
      <c r="K543" s="8" t="s">
        <v>1954</v>
      </c>
      <c r="L543" s="8" t="s">
        <v>2373</v>
      </c>
      <c r="M543" s="28" t="n">
        <f aca="false">'Disease Prediction Model'!$C$9+'Disease Prediction Model'!$C$10*B543+'Disease Prediction Model'!$C$11*C543+'Disease Prediction Model'!$C$12*D543+'Disease Prediction Model'!$C$13*E543+'Disease Prediction Model'!$C$14*F543+'Disease Prediction Model'!$C$15*G543</f>
        <v>0.568754</v>
      </c>
      <c r="N543" s="8" t="str">
        <f aca="false">IF(M543&gt;=0.5,"Yes","No")</f>
        <v>Yes</v>
      </c>
    </row>
    <row r="544" customFormat="false" ht="15" hidden="false" customHeight="false" outlineLevel="0" collapsed="false">
      <c r="A544" s="8" t="s">
        <v>2492</v>
      </c>
      <c r="B544" s="8" t="n">
        <v>47</v>
      </c>
      <c r="C544" s="8" t="n">
        <v>33.8</v>
      </c>
      <c r="D544" s="8" t="n">
        <v>116</v>
      </c>
      <c r="E544" s="8" t="n">
        <v>76</v>
      </c>
      <c r="F544" s="8" t="n">
        <v>0</v>
      </c>
      <c r="G544" s="8" t="n">
        <v>2</v>
      </c>
      <c r="H544" s="8" t="n">
        <v>0</v>
      </c>
      <c r="I544" s="8" t="s">
        <v>1948</v>
      </c>
      <c r="J544" s="8" t="s">
        <v>1951</v>
      </c>
      <c r="K544" s="8" t="s">
        <v>1948</v>
      </c>
      <c r="L544" s="8" t="s">
        <v>2373</v>
      </c>
      <c r="M544" s="28" t="n">
        <f aca="false">'Disease Prediction Model'!$C$9+'Disease Prediction Model'!$C$10*B544+'Disease Prediction Model'!$C$11*C544+'Disease Prediction Model'!$C$12*D544+'Disease Prediction Model'!$C$13*E544+'Disease Prediction Model'!$C$14*F544+'Disease Prediction Model'!$C$15*G544</f>
        <v>-0.0450680000000001</v>
      </c>
      <c r="N544" s="8" t="str">
        <f aca="false">IF(M544&gt;=0.5,"Yes","No")</f>
        <v>No</v>
      </c>
    </row>
    <row r="545" customFormat="false" ht="15" hidden="false" customHeight="false" outlineLevel="0" collapsed="false">
      <c r="A545" s="8" t="s">
        <v>2493</v>
      </c>
      <c r="B545" s="8" t="n">
        <v>55</v>
      </c>
      <c r="C545" s="8" t="n">
        <v>21.3</v>
      </c>
      <c r="D545" s="8" t="n">
        <v>114</v>
      </c>
      <c r="E545" s="8" t="n">
        <v>98</v>
      </c>
      <c r="F545" s="8" t="n">
        <v>0</v>
      </c>
      <c r="G545" s="8" t="n">
        <v>0</v>
      </c>
      <c r="H545" s="8" t="n">
        <v>0</v>
      </c>
      <c r="I545" s="8" t="s">
        <v>1948</v>
      </c>
      <c r="J545" s="8" t="s">
        <v>1959</v>
      </c>
      <c r="K545" s="8" t="s">
        <v>1948</v>
      </c>
      <c r="L545" s="8" t="s">
        <v>2373</v>
      </c>
      <c r="M545" s="28" t="n">
        <f aca="false">'Disease Prediction Model'!$C$9+'Disease Prediction Model'!$C$10*B545+'Disease Prediction Model'!$C$11*C545+'Disease Prediction Model'!$C$12*D545+'Disease Prediction Model'!$C$13*E545+'Disease Prediction Model'!$C$14*F545+'Disease Prediction Model'!$C$15*G545</f>
        <v>0.234197</v>
      </c>
      <c r="N545" s="8" t="str">
        <f aca="false">IF(M545&gt;=0.5,"Yes","No")</f>
        <v>No</v>
      </c>
    </row>
    <row r="546" customFormat="false" ht="15" hidden="false" customHeight="false" outlineLevel="0" collapsed="false">
      <c r="A546" s="8" t="s">
        <v>2494</v>
      </c>
      <c r="B546" s="8" t="n">
        <v>52</v>
      </c>
      <c r="C546" s="8" t="n">
        <v>21.4</v>
      </c>
      <c r="D546" s="8" t="n">
        <v>105</v>
      </c>
      <c r="E546" s="8" t="n">
        <v>112</v>
      </c>
      <c r="F546" s="8" t="n">
        <v>1</v>
      </c>
      <c r="G546" s="8" t="n">
        <v>0</v>
      </c>
      <c r="H546" s="8" t="n">
        <v>1</v>
      </c>
      <c r="I546" s="8" t="s">
        <v>1954</v>
      </c>
      <c r="J546" s="8" t="s">
        <v>1959</v>
      </c>
      <c r="K546" s="8" t="s">
        <v>1954</v>
      </c>
      <c r="L546" s="8" t="s">
        <v>2373</v>
      </c>
      <c r="M546" s="28" t="n">
        <f aca="false">'Disease Prediction Model'!$C$9+'Disease Prediction Model'!$C$10*B546+'Disease Prediction Model'!$C$11*C546+'Disease Prediction Model'!$C$12*D546+'Disease Prediction Model'!$C$13*E546+'Disease Prediction Model'!$C$14*F546+'Disease Prediction Model'!$C$15*G546</f>
        <v>0.456236</v>
      </c>
      <c r="N546" s="8" t="str">
        <f aca="false">IF(M546&gt;=0.5,"Yes","No")</f>
        <v>No</v>
      </c>
    </row>
    <row r="547" customFormat="false" ht="15" hidden="false" customHeight="false" outlineLevel="0" collapsed="false">
      <c r="A547" s="8" t="s">
        <v>2495</v>
      </c>
      <c r="B547" s="8" t="n">
        <v>46</v>
      </c>
      <c r="C547" s="8" t="n">
        <v>33.4</v>
      </c>
      <c r="D547" s="8" t="n">
        <v>139</v>
      </c>
      <c r="E547" s="8" t="n">
        <v>99</v>
      </c>
      <c r="F547" s="8" t="n">
        <v>0</v>
      </c>
      <c r="G547" s="8" t="n">
        <v>1</v>
      </c>
      <c r="H547" s="8" t="n">
        <v>1</v>
      </c>
      <c r="I547" s="8" t="s">
        <v>1948</v>
      </c>
      <c r="J547" s="8" t="s">
        <v>1405</v>
      </c>
      <c r="K547" s="8" t="s">
        <v>1954</v>
      </c>
      <c r="L547" s="8" t="s">
        <v>2373</v>
      </c>
      <c r="M547" s="28" t="n">
        <f aca="false">'Disease Prediction Model'!$C$9+'Disease Prediction Model'!$C$10*B547+'Disease Prediction Model'!$C$11*C547+'Disease Prediction Model'!$C$12*D547+'Disease Prediction Model'!$C$13*E547+'Disease Prediction Model'!$C$14*F547+'Disease Prediction Model'!$C$15*G547</f>
        <v>0.343636</v>
      </c>
      <c r="N547" s="8" t="str">
        <f aca="false">IF(M547&gt;=0.5,"Yes","No")</f>
        <v>No</v>
      </c>
    </row>
    <row r="548" customFormat="false" ht="15" hidden="false" customHeight="false" outlineLevel="0" collapsed="false">
      <c r="A548" s="8" t="s">
        <v>2496</v>
      </c>
      <c r="B548" s="8" t="n">
        <v>44</v>
      </c>
      <c r="C548" s="8" t="n">
        <v>20.7</v>
      </c>
      <c r="D548" s="8" t="n">
        <v>117</v>
      </c>
      <c r="E548" s="8" t="n">
        <v>130</v>
      </c>
      <c r="F548" s="8" t="n">
        <v>1</v>
      </c>
      <c r="G548" s="8" t="n">
        <v>1</v>
      </c>
      <c r="H548" s="8" t="n">
        <v>1</v>
      </c>
      <c r="I548" s="8" t="s">
        <v>1954</v>
      </c>
      <c r="J548" s="8" t="s">
        <v>1405</v>
      </c>
      <c r="K548" s="8" t="s">
        <v>1954</v>
      </c>
      <c r="L548" s="8" t="s">
        <v>2373</v>
      </c>
      <c r="M548" s="28" t="n">
        <f aca="false">'Disease Prediction Model'!$C$9+'Disease Prediction Model'!$C$10*B548+'Disease Prediction Model'!$C$11*C548+'Disease Prediction Model'!$C$12*D548+'Disease Prediction Model'!$C$13*E548+'Disease Prediction Model'!$C$14*F548+'Disease Prediction Model'!$C$15*G548</f>
        <v>0.533683</v>
      </c>
      <c r="N548" s="8" t="str">
        <f aca="false">IF(M548&gt;=0.5,"Yes","No")</f>
        <v>Yes</v>
      </c>
    </row>
    <row r="549" customFormat="false" ht="15" hidden="false" customHeight="false" outlineLevel="0" collapsed="false">
      <c r="A549" s="8" t="s">
        <v>2497</v>
      </c>
      <c r="B549" s="8" t="n">
        <v>40</v>
      </c>
      <c r="C549" s="8" t="n">
        <v>23</v>
      </c>
      <c r="D549" s="8" t="n">
        <v>143</v>
      </c>
      <c r="E549" s="8" t="n">
        <v>101</v>
      </c>
      <c r="F549" s="8" t="n">
        <v>0</v>
      </c>
      <c r="G549" s="8" t="n">
        <v>2</v>
      </c>
      <c r="H549" s="8" t="n">
        <v>0</v>
      </c>
      <c r="I549" s="8" t="s">
        <v>1948</v>
      </c>
      <c r="J549" s="8" t="s">
        <v>1951</v>
      </c>
      <c r="K549" s="8" t="s">
        <v>1948</v>
      </c>
      <c r="L549" s="8" t="s">
        <v>2373</v>
      </c>
      <c r="M549" s="28" t="n">
        <f aca="false">'Disease Prediction Model'!$C$9+'Disease Prediction Model'!$C$10*B549+'Disease Prediction Model'!$C$11*C549+'Disease Prediction Model'!$C$12*D549+'Disease Prediction Model'!$C$13*E549+'Disease Prediction Model'!$C$14*F549+'Disease Prediction Model'!$C$15*G549</f>
        <v>0.13964</v>
      </c>
      <c r="N549" s="8" t="str">
        <f aca="false">IF(M549&gt;=0.5,"Yes","No")</f>
        <v>No</v>
      </c>
    </row>
    <row r="550" customFormat="false" ht="15" hidden="false" customHeight="false" outlineLevel="0" collapsed="false">
      <c r="A550" s="8" t="s">
        <v>2498</v>
      </c>
      <c r="B550" s="8" t="n">
        <v>42</v>
      </c>
      <c r="C550" s="8" t="n">
        <v>26</v>
      </c>
      <c r="D550" s="8" t="n">
        <v>112</v>
      </c>
      <c r="E550" s="8" t="n">
        <v>70</v>
      </c>
      <c r="F550" s="8" t="n">
        <v>0</v>
      </c>
      <c r="G550" s="8" t="n">
        <v>0</v>
      </c>
      <c r="H550" s="8" t="n">
        <v>0</v>
      </c>
      <c r="I550" s="8" t="s">
        <v>1948</v>
      </c>
      <c r="J550" s="8" t="s">
        <v>1959</v>
      </c>
      <c r="K550" s="8" t="s">
        <v>1948</v>
      </c>
      <c r="L550" s="8" t="s">
        <v>2373</v>
      </c>
      <c r="M550" s="28" t="n">
        <f aca="false">'Disease Prediction Model'!$C$9+'Disease Prediction Model'!$C$10*B550+'Disease Prediction Model'!$C$11*C550+'Disease Prediction Model'!$C$12*D550+'Disease Prediction Model'!$C$13*E550+'Disease Prediction Model'!$C$14*F550+'Disease Prediction Model'!$C$15*G550</f>
        <v>-0.01667</v>
      </c>
      <c r="N550" s="8" t="str">
        <f aca="false">IF(M550&gt;=0.5,"Yes","No")</f>
        <v>No</v>
      </c>
    </row>
    <row r="551" customFormat="false" ht="15" hidden="false" customHeight="false" outlineLevel="0" collapsed="false">
      <c r="A551" s="8" t="s">
        <v>2499</v>
      </c>
      <c r="B551" s="8" t="n">
        <v>51</v>
      </c>
      <c r="C551" s="8" t="n">
        <v>35.8</v>
      </c>
      <c r="D551" s="8" t="n">
        <v>98</v>
      </c>
      <c r="E551" s="8" t="n">
        <v>138</v>
      </c>
      <c r="F551" s="8" t="n">
        <v>0</v>
      </c>
      <c r="G551" s="8" t="n">
        <v>0</v>
      </c>
      <c r="H551" s="8" t="n">
        <v>1</v>
      </c>
      <c r="I551" s="8" t="s">
        <v>1948</v>
      </c>
      <c r="J551" s="8" t="s">
        <v>1959</v>
      </c>
      <c r="K551" s="8" t="s">
        <v>1954</v>
      </c>
      <c r="L551" s="8" t="s">
        <v>2373</v>
      </c>
      <c r="M551" s="28" t="n">
        <f aca="false">'Disease Prediction Model'!$C$9+'Disease Prediction Model'!$C$10*B551+'Disease Prediction Model'!$C$11*C551+'Disease Prediction Model'!$C$12*D551+'Disease Prediction Model'!$C$13*E551+'Disease Prediction Model'!$C$14*F551+'Disease Prediction Model'!$C$15*G551</f>
        <v>0.700792</v>
      </c>
      <c r="N551" s="8" t="str">
        <f aca="false">IF(M551&gt;=0.5,"Yes","No")</f>
        <v>Yes</v>
      </c>
    </row>
    <row r="552" customFormat="false" ht="15" hidden="false" customHeight="false" outlineLevel="0" collapsed="false">
      <c r="A552" s="8" t="s">
        <v>2500</v>
      </c>
      <c r="B552" s="8" t="n">
        <v>56</v>
      </c>
      <c r="C552" s="8" t="n">
        <v>19</v>
      </c>
      <c r="D552" s="8" t="n">
        <v>122</v>
      </c>
      <c r="E552" s="8" t="n">
        <v>98</v>
      </c>
      <c r="F552" s="8" t="n">
        <v>0</v>
      </c>
      <c r="G552" s="8" t="n">
        <v>1</v>
      </c>
      <c r="H552" s="8" t="n">
        <v>0</v>
      </c>
      <c r="I552" s="8" t="s">
        <v>1948</v>
      </c>
      <c r="J552" s="8" t="s">
        <v>1405</v>
      </c>
      <c r="K552" s="8" t="s">
        <v>1948</v>
      </c>
      <c r="L552" s="8" t="s">
        <v>2373</v>
      </c>
      <c r="M552" s="28" t="n">
        <f aca="false">'Disease Prediction Model'!$C$9+'Disease Prediction Model'!$C$10*B552+'Disease Prediction Model'!$C$11*C552+'Disease Prediction Model'!$C$12*D552+'Disease Prediction Model'!$C$13*E552+'Disease Prediction Model'!$C$14*F552+'Disease Prediction Model'!$C$15*G552</f>
        <v>0.1387</v>
      </c>
      <c r="N552" s="8" t="str">
        <f aca="false">IF(M552&gt;=0.5,"Yes","No")</f>
        <v>No</v>
      </c>
    </row>
    <row r="553" customFormat="false" ht="15" hidden="false" customHeight="false" outlineLevel="0" collapsed="false">
      <c r="A553" s="8" t="s">
        <v>2501</v>
      </c>
      <c r="B553" s="8" t="n">
        <v>23</v>
      </c>
      <c r="C553" s="8" t="n">
        <v>19.6</v>
      </c>
      <c r="D553" s="8" t="n">
        <v>142</v>
      </c>
      <c r="E553" s="8" t="n">
        <v>73</v>
      </c>
      <c r="F553" s="8" t="n">
        <v>0</v>
      </c>
      <c r="G553" s="8" t="n">
        <v>0</v>
      </c>
      <c r="H553" s="8" t="n">
        <v>0</v>
      </c>
      <c r="I553" s="8" t="s">
        <v>1948</v>
      </c>
      <c r="J553" s="8" t="s">
        <v>1959</v>
      </c>
      <c r="K553" s="8" t="s">
        <v>1948</v>
      </c>
      <c r="L553" s="8" t="s">
        <v>2373</v>
      </c>
      <c r="M553" s="28" t="n">
        <f aca="false">'Disease Prediction Model'!$C$9+'Disease Prediction Model'!$C$10*B553+'Disease Prediction Model'!$C$11*C553+'Disease Prediction Model'!$C$12*D553+'Disease Prediction Model'!$C$13*E553+'Disease Prediction Model'!$C$14*F553+'Disease Prediction Model'!$C$15*G553</f>
        <v>-0.00986600000000026</v>
      </c>
      <c r="N553" s="8" t="str">
        <f aca="false">IF(M553&gt;=0.5,"Yes","No")</f>
        <v>No</v>
      </c>
    </row>
    <row r="554" customFormat="false" ht="15" hidden="false" customHeight="false" outlineLevel="0" collapsed="false">
      <c r="A554" s="8" t="s">
        <v>2502</v>
      </c>
      <c r="B554" s="8" t="n">
        <v>70</v>
      </c>
      <c r="C554" s="8" t="n">
        <v>28.5</v>
      </c>
      <c r="D554" s="8" t="n">
        <v>111</v>
      </c>
      <c r="E554" s="8" t="n">
        <v>98</v>
      </c>
      <c r="F554" s="8" t="n">
        <v>0</v>
      </c>
      <c r="G554" s="8" t="n">
        <v>0</v>
      </c>
      <c r="H554" s="8" t="n">
        <v>0</v>
      </c>
      <c r="I554" s="8" t="s">
        <v>1948</v>
      </c>
      <c r="J554" s="8" t="s">
        <v>1959</v>
      </c>
      <c r="K554" s="8" t="s">
        <v>1948</v>
      </c>
      <c r="L554" s="8" t="s">
        <v>2373</v>
      </c>
      <c r="M554" s="28" t="n">
        <f aca="false">'Disease Prediction Model'!$C$9+'Disease Prediction Model'!$C$10*B554+'Disease Prediction Model'!$C$11*C554+'Disease Prediction Model'!$C$12*D554+'Disease Prediction Model'!$C$13*E554+'Disease Prediction Model'!$C$14*F554+'Disease Prediction Model'!$C$15*G554</f>
        <v>0.349265</v>
      </c>
      <c r="N554" s="8" t="str">
        <f aca="false">IF(M554&gt;=0.5,"Yes","No")</f>
        <v>No</v>
      </c>
    </row>
    <row r="555" customFormat="false" ht="15" hidden="false" customHeight="false" outlineLevel="0" collapsed="false">
      <c r="A555" s="8" t="s">
        <v>2503</v>
      </c>
      <c r="B555" s="8" t="n">
        <v>40</v>
      </c>
      <c r="C555" s="8" t="n">
        <v>32</v>
      </c>
      <c r="D555" s="8" t="n">
        <v>123</v>
      </c>
      <c r="E555" s="8" t="n">
        <v>70</v>
      </c>
      <c r="F555" s="8" t="n">
        <v>0</v>
      </c>
      <c r="G555" s="8" t="n">
        <v>2</v>
      </c>
      <c r="H555" s="8" t="n">
        <v>0</v>
      </c>
      <c r="I555" s="8" t="s">
        <v>1948</v>
      </c>
      <c r="J555" s="8" t="s">
        <v>1951</v>
      </c>
      <c r="K555" s="8" t="s">
        <v>1948</v>
      </c>
      <c r="L555" s="8" t="s">
        <v>2373</v>
      </c>
      <c r="M555" s="28" t="n">
        <f aca="false">'Disease Prediction Model'!$C$9+'Disease Prediction Model'!$C$10*B555+'Disease Prediction Model'!$C$11*C555+'Disease Prediction Model'!$C$12*D555+'Disease Prediction Model'!$C$13*E555+'Disease Prediction Model'!$C$14*F555+'Disease Prediction Model'!$C$15*G555</f>
        <v>-0.11651</v>
      </c>
      <c r="N555" s="8" t="str">
        <f aca="false">IF(M555&gt;=0.5,"Yes","No")</f>
        <v>No</v>
      </c>
    </row>
    <row r="556" customFormat="false" ht="15" hidden="false" customHeight="false" outlineLevel="0" collapsed="false">
      <c r="A556" s="8" t="s">
        <v>2504</v>
      </c>
      <c r="B556" s="8" t="n">
        <v>60</v>
      </c>
      <c r="C556" s="8" t="n">
        <v>33.6</v>
      </c>
      <c r="D556" s="8" t="n">
        <v>140</v>
      </c>
      <c r="E556" s="8" t="n">
        <v>123</v>
      </c>
      <c r="F556" s="8" t="n">
        <v>0</v>
      </c>
      <c r="G556" s="8" t="n">
        <v>0</v>
      </c>
      <c r="H556" s="8" t="n">
        <v>1</v>
      </c>
      <c r="I556" s="8" t="s">
        <v>1948</v>
      </c>
      <c r="J556" s="8" t="s">
        <v>1959</v>
      </c>
      <c r="K556" s="8" t="s">
        <v>1954</v>
      </c>
      <c r="L556" s="8" t="s">
        <v>2373</v>
      </c>
      <c r="M556" s="28" t="n">
        <f aca="false">'Disease Prediction Model'!$C$9+'Disease Prediction Model'!$C$10*B556+'Disease Prediction Model'!$C$11*C556+'Disease Prediction Model'!$C$12*D556+'Disease Prediction Model'!$C$13*E556+'Disease Prediction Model'!$C$14*F556+'Disease Prediction Model'!$C$15*G556</f>
        <v>0.713474</v>
      </c>
      <c r="N556" s="8" t="str">
        <f aca="false">IF(M556&gt;=0.5,"Yes","No")</f>
        <v>Yes</v>
      </c>
    </row>
    <row r="557" customFormat="false" ht="15" hidden="false" customHeight="false" outlineLevel="0" collapsed="false">
      <c r="A557" s="8" t="s">
        <v>2505</v>
      </c>
      <c r="B557" s="8" t="n">
        <v>34</v>
      </c>
      <c r="C557" s="8" t="n">
        <v>28.3</v>
      </c>
      <c r="D557" s="8" t="n">
        <v>105</v>
      </c>
      <c r="E557" s="8" t="n">
        <v>134</v>
      </c>
      <c r="F557" s="8" t="n">
        <v>0</v>
      </c>
      <c r="G557" s="8" t="n">
        <v>2</v>
      </c>
      <c r="H557" s="8" t="n">
        <v>0</v>
      </c>
      <c r="I557" s="8" t="s">
        <v>1948</v>
      </c>
      <c r="J557" s="8" t="s">
        <v>1951</v>
      </c>
      <c r="K557" s="8" t="s">
        <v>1948</v>
      </c>
      <c r="L557" s="8" t="s">
        <v>2373</v>
      </c>
      <c r="M557" s="28" t="n">
        <f aca="false">'Disease Prediction Model'!$C$9+'Disease Prediction Model'!$C$10*B557+'Disease Prediction Model'!$C$11*C557+'Disease Prediction Model'!$C$12*D557+'Disease Prediction Model'!$C$13*E557+'Disease Prediction Model'!$C$14*F557+'Disease Prediction Model'!$C$15*G557</f>
        <v>0.352027</v>
      </c>
      <c r="N557" s="8" t="str">
        <f aca="false">IF(M557&gt;=0.5,"Yes","No")</f>
        <v>No</v>
      </c>
    </row>
    <row r="558" customFormat="false" ht="15" hidden="false" customHeight="false" outlineLevel="0" collapsed="false">
      <c r="A558" s="8" t="s">
        <v>2506</v>
      </c>
      <c r="B558" s="8" t="n">
        <v>53</v>
      </c>
      <c r="C558" s="8" t="n">
        <v>22.3</v>
      </c>
      <c r="D558" s="8" t="n">
        <v>145</v>
      </c>
      <c r="E558" s="8" t="n">
        <v>93</v>
      </c>
      <c r="F558" s="8" t="n">
        <v>1</v>
      </c>
      <c r="G558" s="8" t="n">
        <v>2</v>
      </c>
      <c r="H558" s="8" t="n">
        <v>0</v>
      </c>
      <c r="I558" s="8" t="s">
        <v>1954</v>
      </c>
      <c r="J558" s="8" t="s">
        <v>1951</v>
      </c>
      <c r="K558" s="8" t="s">
        <v>1948</v>
      </c>
      <c r="L558" s="8" t="s">
        <v>2373</v>
      </c>
      <c r="M558" s="28" t="n">
        <f aca="false">'Disease Prediction Model'!$C$9+'Disease Prediction Model'!$C$10*B558+'Disease Prediction Model'!$C$11*C558+'Disease Prediction Model'!$C$12*D558+'Disease Prediction Model'!$C$13*E558+'Disease Prediction Model'!$C$14*F558+'Disease Prediction Model'!$C$15*G558</f>
        <v>0.234947</v>
      </c>
      <c r="N558" s="8" t="str">
        <f aca="false">IF(M558&gt;=0.5,"Yes","No")</f>
        <v>No</v>
      </c>
    </row>
    <row r="559" customFormat="false" ht="15" hidden="false" customHeight="false" outlineLevel="0" collapsed="false">
      <c r="A559" s="8" t="s">
        <v>2507</v>
      </c>
      <c r="B559" s="8" t="n">
        <v>56</v>
      </c>
      <c r="C559" s="8" t="n">
        <v>39.6</v>
      </c>
      <c r="D559" s="8" t="n">
        <v>111</v>
      </c>
      <c r="E559" s="8" t="n">
        <v>99</v>
      </c>
      <c r="F559" s="8" t="n">
        <v>0</v>
      </c>
      <c r="G559" s="8" t="n">
        <v>1</v>
      </c>
      <c r="H559" s="8" t="n">
        <v>1</v>
      </c>
      <c r="I559" s="8" t="s">
        <v>1948</v>
      </c>
      <c r="J559" s="8" t="s">
        <v>1405</v>
      </c>
      <c r="K559" s="8" t="s">
        <v>1954</v>
      </c>
      <c r="L559" s="8" t="s">
        <v>2373</v>
      </c>
      <c r="M559" s="28" t="n">
        <f aca="false">'Disease Prediction Model'!$C$9+'Disease Prediction Model'!$C$10*B559+'Disease Prediction Model'!$C$11*C559+'Disease Prediction Model'!$C$12*D559+'Disease Prediction Model'!$C$13*E559+'Disease Prediction Model'!$C$14*F559+'Disease Prediction Model'!$C$15*G559</f>
        <v>0.343214</v>
      </c>
      <c r="N559" s="8" t="str">
        <f aca="false">IF(M559&gt;=0.5,"Yes","No")</f>
        <v>No</v>
      </c>
    </row>
    <row r="560" customFormat="false" ht="15" hidden="false" customHeight="false" outlineLevel="0" collapsed="false">
      <c r="A560" s="8" t="s">
        <v>2508</v>
      </c>
      <c r="B560" s="8" t="n">
        <v>36</v>
      </c>
      <c r="C560" s="8" t="n">
        <v>32.8</v>
      </c>
      <c r="D560" s="8" t="n">
        <v>122</v>
      </c>
      <c r="E560" s="8" t="n">
        <v>122</v>
      </c>
      <c r="F560" s="8" t="n">
        <v>1</v>
      </c>
      <c r="G560" s="8" t="n">
        <v>0</v>
      </c>
      <c r="H560" s="8" t="n">
        <v>1</v>
      </c>
      <c r="I560" s="8" t="s">
        <v>1954</v>
      </c>
      <c r="J560" s="8" t="s">
        <v>1959</v>
      </c>
      <c r="K560" s="8" t="s">
        <v>1954</v>
      </c>
      <c r="L560" s="8" t="s">
        <v>2373</v>
      </c>
      <c r="M560" s="28" t="n">
        <f aca="false">'Disease Prediction Model'!$C$9+'Disease Prediction Model'!$C$10*B560+'Disease Prediction Model'!$C$11*C560+'Disease Prediction Model'!$C$12*D560+'Disease Prediction Model'!$C$13*E560+'Disease Prediction Model'!$C$14*F560+'Disease Prediction Model'!$C$15*G560</f>
        <v>0.692822</v>
      </c>
      <c r="N560" s="8" t="str">
        <f aca="false">IF(M560&gt;=0.5,"Yes","No")</f>
        <v>Yes</v>
      </c>
    </row>
    <row r="561" customFormat="false" ht="15" hidden="false" customHeight="false" outlineLevel="0" collapsed="false">
      <c r="A561" s="8" t="s">
        <v>2509</v>
      </c>
      <c r="B561" s="8" t="n">
        <v>49</v>
      </c>
      <c r="C561" s="8" t="n">
        <v>31.8</v>
      </c>
      <c r="D561" s="8" t="n">
        <v>118</v>
      </c>
      <c r="E561" s="8" t="n">
        <v>99</v>
      </c>
      <c r="F561" s="8" t="n">
        <v>0</v>
      </c>
      <c r="G561" s="8" t="n">
        <v>0</v>
      </c>
      <c r="H561" s="8" t="n">
        <v>0</v>
      </c>
      <c r="I561" s="8" t="s">
        <v>1948</v>
      </c>
      <c r="J561" s="8" t="s">
        <v>1959</v>
      </c>
      <c r="K561" s="8" t="s">
        <v>1948</v>
      </c>
      <c r="L561" s="8" t="s">
        <v>2373</v>
      </c>
      <c r="M561" s="28" t="n">
        <f aca="false">'Disease Prediction Model'!$C$9+'Disease Prediction Model'!$C$10*B561+'Disease Prediction Model'!$C$11*C561+'Disease Prediction Model'!$C$12*D561+'Disease Prediction Model'!$C$13*E561+'Disease Prediction Model'!$C$14*F561+'Disease Prediction Model'!$C$15*G561</f>
        <v>0.359852</v>
      </c>
      <c r="N561" s="8" t="str">
        <f aca="false">IF(M561&gt;=0.5,"Yes","No")</f>
        <v>No</v>
      </c>
    </row>
    <row r="562" customFormat="false" ht="15" hidden="false" customHeight="false" outlineLevel="0" collapsed="false">
      <c r="A562" s="8" t="s">
        <v>2510</v>
      </c>
      <c r="B562" s="8" t="n">
        <v>48</v>
      </c>
      <c r="C562" s="8" t="n">
        <v>18</v>
      </c>
      <c r="D562" s="8" t="n">
        <v>126</v>
      </c>
      <c r="E562" s="8" t="n">
        <v>93</v>
      </c>
      <c r="F562" s="8" t="n">
        <v>0</v>
      </c>
      <c r="G562" s="8" t="n">
        <v>2</v>
      </c>
      <c r="H562" s="8" t="n">
        <v>0</v>
      </c>
      <c r="I562" s="8" t="s">
        <v>1948</v>
      </c>
      <c r="J562" s="8" t="s">
        <v>1951</v>
      </c>
      <c r="K562" s="8" t="s">
        <v>1948</v>
      </c>
      <c r="L562" s="8" t="s">
        <v>2373</v>
      </c>
      <c r="M562" s="28" t="n">
        <f aca="false">'Disease Prediction Model'!$C$9+'Disease Prediction Model'!$C$10*B562+'Disease Prediction Model'!$C$11*C562+'Disease Prediction Model'!$C$12*D562+'Disease Prediction Model'!$C$13*E562+'Disease Prediction Model'!$C$14*F562+'Disease Prediction Model'!$C$15*G562</f>
        <v>-0.0288900000000001</v>
      </c>
      <c r="N562" s="8" t="str">
        <f aca="false">IF(M562&gt;=0.5,"Yes","No")</f>
        <v>No</v>
      </c>
    </row>
    <row r="563" customFormat="false" ht="15" hidden="false" customHeight="false" outlineLevel="0" collapsed="false">
      <c r="A563" s="8" t="s">
        <v>2511</v>
      </c>
      <c r="B563" s="8" t="n">
        <v>45</v>
      </c>
      <c r="C563" s="8" t="n">
        <v>27.8</v>
      </c>
      <c r="D563" s="8" t="n">
        <v>132</v>
      </c>
      <c r="E563" s="8" t="n">
        <v>70</v>
      </c>
      <c r="F563" s="8" t="n">
        <v>0</v>
      </c>
      <c r="G563" s="8" t="n">
        <v>2</v>
      </c>
      <c r="H563" s="8" t="n">
        <v>0</v>
      </c>
      <c r="I563" s="8" t="s">
        <v>1948</v>
      </c>
      <c r="J563" s="8" t="s">
        <v>1951</v>
      </c>
      <c r="K563" s="8" t="s">
        <v>1948</v>
      </c>
      <c r="L563" s="8" t="s">
        <v>2373</v>
      </c>
      <c r="M563" s="28" t="n">
        <f aca="false">'Disease Prediction Model'!$C$9+'Disease Prediction Model'!$C$10*B563+'Disease Prediction Model'!$C$11*C563+'Disease Prediction Model'!$C$12*D563+'Disease Prediction Model'!$C$13*E563+'Disease Prediction Model'!$C$14*F563+'Disease Prediction Model'!$C$15*G563</f>
        <v>-0.117528</v>
      </c>
      <c r="N563" s="8" t="str">
        <f aca="false">IF(M563&gt;=0.5,"Yes","No")</f>
        <v>No</v>
      </c>
    </row>
    <row r="564" customFormat="false" ht="15" hidden="false" customHeight="false" outlineLevel="0" collapsed="false">
      <c r="A564" s="8" t="s">
        <v>2512</v>
      </c>
      <c r="B564" s="8" t="n">
        <v>67</v>
      </c>
      <c r="C564" s="8" t="n">
        <v>36.8</v>
      </c>
      <c r="D564" s="8" t="n">
        <v>113</v>
      </c>
      <c r="E564" s="8" t="n">
        <v>70</v>
      </c>
      <c r="F564" s="8" t="n">
        <v>0</v>
      </c>
      <c r="G564" s="8" t="n">
        <v>0</v>
      </c>
      <c r="H564" s="8" t="n">
        <v>0</v>
      </c>
      <c r="I564" s="8" t="s">
        <v>1948</v>
      </c>
      <c r="J564" s="8" t="s">
        <v>1959</v>
      </c>
      <c r="K564" s="8" t="s">
        <v>1948</v>
      </c>
      <c r="L564" s="8" t="s">
        <v>2373</v>
      </c>
      <c r="M564" s="28" t="n">
        <f aca="false">'Disease Prediction Model'!$C$9+'Disease Prediction Model'!$C$10*B564+'Disease Prediction Model'!$C$11*C564+'Disease Prediction Model'!$C$12*D564+'Disease Prediction Model'!$C$13*E564+'Disease Prediction Model'!$C$14*F564+'Disease Prediction Model'!$C$15*G564</f>
        <v>0.182922</v>
      </c>
      <c r="N564" s="8" t="str">
        <f aca="false">IF(M564&gt;=0.5,"Yes","No")</f>
        <v>No</v>
      </c>
    </row>
    <row r="565" customFormat="false" ht="15" hidden="false" customHeight="false" outlineLevel="0" collapsed="false">
      <c r="A565" s="8" t="s">
        <v>2513</v>
      </c>
      <c r="B565" s="8" t="n">
        <v>33</v>
      </c>
      <c r="C565" s="8" t="n">
        <v>32.1</v>
      </c>
      <c r="D565" s="8" t="n">
        <v>126</v>
      </c>
      <c r="E565" s="8" t="n">
        <v>82</v>
      </c>
      <c r="F565" s="8" t="n">
        <v>1</v>
      </c>
      <c r="G565" s="8" t="n">
        <v>0</v>
      </c>
      <c r="H565" s="8" t="n">
        <v>0</v>
      </c>
      <c r="I565" s="8" t="s">
        <v>1954</v>
      </c>
      <c r="J565" s="8" t="s">
        <v>1959</v>
      </c>
      <c r="K565" s="8" t="s">
        <v>1948</v>
      </c>
      <c r="L565" s="8" t="s">
        <v>2373</v>
      </c>
      <c r="M565" s="28" t="n">
        <f aca="false">'Disease Prediction Model'!$C$9+'Disease Prediction Model'!$C$10*B565+'Disease Prediction Model'!$C$11*C565+'Disease Prediction Model'!$C$12*D565+'Disease Prediction Model'!$C$13*E565+'Disease Prediction Model'!$C$14*F565+'Disease Prediction Model'!$C$15*G565</f>
        <v>0.320009</v>
      </c>
      <c r="N565" s="8" t="str">
        <f aca="false">IF(M565&gt;=0.5,"Yes","No")</f>
        <v>No</v>
      </c>
    </row>
    <row r="566" customFormat="false" ht="15" hidden="false" customHeight="false" outlineLevel="0" collapsed="false">
      <c r="A566" s="8" t="s">
        <v>2514</v>
      </c>
      <c r="B566" s="8" t="n">
        <v>50</v>
      </c>
      <c r="C566" s="8" t="n">
        <v>25.1</v>
      </c>
      <c r="D566" s="8" t="n">
        <v>116</v>
      </c>
      <c r="E566" s="8" t="n">
        <v>98</v>
      </c>
      <c r="F566" s="8" t="n">
        <v>0</v>
      </c>
      <c r="G566" s="8" t="n">
        <v>1</v>
      </c>
      <c r="H566" s="8" t="n">
        <v>0</v>
      </c>
      <c r="I566" s="8" t="s">
        <v>1948</v>
      </c>
      <c r="J566" s="8" t="s">
        <v>1405</v>
      </c>
      <c r="K566" s="8" t="s">
        <v>1948</v>
      </c>
      <c r="L566" s="8" t="s">
        <v>2373</v>
      </c>
      <c r="M566" s="28" t="n">
        <f aca="false">'Disease Prediction Model'!$C$9+'Disease Prediction Model'!$C$10*B566+'Disease Prediction Model'!$C$11*C566+'Disease Prediction Model'!$C$12*D566+'Disease Prediction Model'!$C$13*E566+'Disease Prediction Model'!$C$14*F566+'Disease Prediction Model'!$C$15*G566</f>
        <v>0.169179</v>
      </c>
      <c r="N566" s="8" t="str">
        <f aca="false">IF(M566&gt;=0.5,"Yes","No")</f>
        <v>No</v>
      </c>
    </row>
    <row r="567" customFormat="false" ht="15" hidden="false" customHeight="false" outlineLevel="0" collapsed="false">
      <c r="A567" s="8" t="s">
        <v>2515</v>
      </c>
      <c r="B567" s="8" t="n">
        <v>50</v>
      </c>
      <c r="C567" s="8" t="n">
        <v>30.1</v>
      </c>
      <c r="D567" s="8" t="n">
        <v>123</v>
      </c>
      <c r="E567" s="8" t="n">
        <v>89</v>
      </c>
      <c r="F567" s="8" t="n">
        <v>0</v>
      </c>
      <c r="G567" s="8" t="n">
        <v>2</v>
      </c>
      <c r="H567" s="8" t="n">
        <v>0</v>
      </c>
      <c r="I567" s="8" t="s">
        <v>1948</v>
      </c>
      <c r="J567" s="8" t="s">
        <v>1951</v>
      </c>
      <c r="K567" s="8" t="s">
        <v>1948</v>
      </c>
      <c r="L567" s="8" t="s">
        <v>2373</v>
      </c>
      <c r="M567" s="28" t="n">
        <f aca="false">'Disease Prediction Model'!$C$9+'Disease Prediction Model'!$C$10*B567+'Disease Prediction Model'!$C$11*C567+'Disease Prediction Model'!$C$12*D567+'Disease Prediction Model'!$C$13*E567+'Disease Prediction Model'!$C$14*F567+'Disease Prediction Model'!$C$15*G567</f>
        <v>0.0669889999999999</v>
      </c>
      <c r="N567" s="8" t="str">
        <f aca="false">IF(M567&gt;=0.5,"Yes","No")</f>
        <v>No</v>
      </c>
    </row>
    <row r="568" customFormat="false" ht="15" hidden="false" customHeight="false" outlineLevel="0" collapsed="false">
      <c r="A568" s="8" t="s">
        <v>2516</v>
      </c>
      <c r="B568" s="8" t="n">
        <v>45</v>
      </c>
      <c r="C568" s="8" t="n">
        <v>29.4</v>
      </c>
      <c r="D568" s="8" t="n">
        <v>146</v>
      </c>
      <c r="E568" s="8" t="n">
        <v>112</v>
      </c>
      <c r="F568" s="8" t="n">
        <v>0</v>
      </c>
      <c r="G568" s="8" t="n">
        <v>1</v>
      </c>
      <c r="H568" s="8" t="n">
        <v>1</v>
      </c>
      <c r="I568" s="8" t="s">
        <v>1948</v>
      </c>
      <c r="J568" s="8" t="s">
        <v>1405</v>
      </c>
      <c r="K568" s="8" t="s">
        <v>1954</v>
      </c>
      <c r="L568" s="8" t="s">
        <v>2373</v>
      </c>
      <c r="M568" s="28" t="n">
        <f aca="false">'Disease Prediction Model'!$C$9+'Disease Prediction Model'!$C$10*B568+'Disease Prediction Model'!$C$11*C568+'Disease Prediction Model'!$C$12*D568+'Disease Prediction Model'!$C$13*E568+'Disease Prediction Model'!$C$14*F568+'Disease Prediction Model'!$C$15*G568</f>
        <v>0.440596</v>
      </c>
      <c r="N568" s="8" t="str">
        <f aca="false">IF(M568&gt;=0.5,"Yes","No")</f>
        <v>No</v>
      </c>
    </row>
    <row r="569" customFormat="false" ht="15" hidden="false" customHeight="false" outlineLevel="0" collapsed="false">
      <c r="A569" s="8" t="s">
        <v>2517</v>
      </c>
      <c r="B569" s="8" t="n">
        <v>37</v>
      </c>
      <c r="C569" s="8" t="n">
        <v>27.6</v>
      </c>
      <c r="D569" s="8" t="n">
        <v>99</v>
      </c>
      <c r="E569" s="8" t="n">
        <v>126</v>
      </c>
      <c r="F569" s="8" t="n">
        <v>1</v>
      </c>
      <c r="G569" s="8" t="n">
        <v>2</v>
      </c>
      <c r="H569" s="8" t="n">
        <v>0</v>
      </c>
      <c r="I569" s="8" t="s">
        <v>1954</v>
      </c>
      <c r="J569" s="8" t="s">
        <v>1951</v>
      </c>
      <c r="K569" s="8" t="s">
        <v>1948</v>
      </c>
      <c r="L569" s="8" t="s">
        <v>2373</v>
      </c>
      <c r="M569" s="28" t="n">
        <f aca="false">'Disease Prediction Model'!$C$9+'Disease Prediction Model'!$C$10*B569+'Disease Prediction Model'!$C$11*C569+'Disease Prediction Model'!$C$12*D569+'Disease Prediction Model'!$C$13*E569+'Disease Prediction Model'!$C$14*F569+'Disease Prediction Model'!$C$15*G569</f>
        <v>0.389494</v>
      </c>
      <c r="N569" s="8" t="str">
        <f aca="false">IF(M569&gt;=0.5,"Yes","No")</f>
        <v>No</v>
      </c>
    </row>
    <row r="570" customFormat="false" ht="15" hidden="false" customHeight="false" outlineLevel="0" collapsed="false">
      <c r="A570" s="8" t="s">
        <v>2518</v>
      </c>
      <c r="B570" s="8" t="n">
        <v>36</v>
      </c>
      <c r="C570" s="8" t="n">
        <v>27.3</v>
      </c>
      <c r="D570" s="8" t="n">
        <v>102</v>
      </c>
      <c r="E570" s="8" t="n">
        <v>101</v>
      </c>
      <c r="F570" s="8" t="n">
        <v>0</v>
      </c>
      <c r="G570" s="8" t="n">
        <v>2</v>
      </c>
      <c r="H570" s="8" t="n">
        <v>0</v>
      </c>
      <c r="I570" s="8" t="s">
        <v>1948</v>
      </c>
      <c r="J570" s="8" t="s">
        <v>1951</v>
      </c>
      <c r="K570" s="8" t="s">
        <v>1948</v>
      </c>
      <c r="L570" s="8" t="s">
        <v>2373</v>
      </c>
      <c r="M570" s="28" t="n">
        <f aca="false">'Disease Prediction Model'!$C$9+'Disease Prediction Model'!$C$10*B570+'Disease Prediction Model'!$C$11*C570+'Disease Prediction Model'!$C$12*D570+'Disease Prediction Model'!$C$13*E570+'Disease Prediction Model'!$C$14*F570+'Disease Prediction Model'!$C$15*G570</f>
        <v>0.0301569999999998</v>
      </c>
      <c r="N570" s="8" t="str">
        <f aca="false">IF(M570&gt;=0.5,"Yes","No")</f>
        <v>No</v>
      </c>
    </row>
    <row r="571" customFormat="false" ht="15" hidden="false" customHeight="false" outlineLevel="0" collapsed="false">
      <c r="A571" s="8" t="s">
        <v>2519</v>
      </c>
      <c r="B571" s="8" t="n">
        <v>56</v>
      </c>
      <c r="C571" s="8" t="n">
        <v>22</v>
      </c>
      <c r="D571" s="8" t="n">
        <v>145</v>
      </c>
      <c r="E571" s="8" t="n">
        <v>107</v>
      </c>
      <c r="F571" s="8" t="n">
        <v>1</v>
      </c>
      <c r="G571" s="8" t="n">
        <v>0</v>
      </c>
      <c r="H571" s="8" t="n">
        <v>1</v>
      </c>
      <c r="I571" s="8" t="s">
        <v>1954</v>
      </c>
      <c r="J571" s="8" t="s">
        <v>1959</v>
      </c>
      <c r="K571" s="8" t="s">
        <v>1954</v>
      </c>
      <c r="L571" s="8" t="s">
        <v>2373</v>
      </c>
      <c r="M571" s="28" t="n">
        <f aca="false">'Disease Prediction Model'!$C$9+'Disease Prediction Model'!$C$10*B571+'Disease Prediction Model'!$C$11*C571+'Disease Prediction Model'!$C$12*D571+'Disease Prediction Model'!$C$13*E571+'Disease Prediction Model'!$C$14*F571+'Disease Prediction Model'!$C$15*G571</f>
        <v>0.57165</v>
      </c>
      <c r="N571" s="8" t="str">
        <f aca="false">IF(M571&gt;=0.5,"Yes","No")</f>
        <v>Yes</v>
      </c>
    </row>
    <row r="572" customFormat="false" ht="15" hidden="false" customHeight="false" outlineLevel="0" collapsed="false">
      <c r="A572" s="8" t="s">
        <v>2520</v>
      </c>
      <c r="B572" s="8" t="n">
        <v>53</v>
      </c>
      <c r="C572" s="8" t="n">
        <v>24.7</v>
      </c>
      <c r="D572" s="8" t="n">
        <v>140</v>
      </c>
      <c r="E572" s="8" t="n">
        <v>77</v>
      </c>
      <c r="F572" s="8" t="n">
        <v>0</v>
      </c>
      <c r="G572" s="8" t="n">
        <v>0</v>
      </c>
      <c r="H572" s="8" t="n">
        <v>0</v>
      </c>
      <c r="I572" s="8" t="s">
        <v>1948</v>
      </c>
      <c r="J572" s="8" t="s">
        <v>1959</v>
      </c>
      <c r="K572" s="8" t="s">
        <v>1948</v>
      </c>
      <c r="L572" s="8" t="s">
        <v>2373</v>
      </c>
      <c r="M572" s="28" t="n">
        <f aca="false">'Disease Prediction Model'!$C$9+'Disease Prediction Model'!$C$10*B572+'Disease Prediction Model'!$C$11*C572+'Disease Prediction Model'!$C$12*D572+'Disease Prediction Model'!$C$13*E572+'Disease Prediction Model'!$C$14*F572+'Disease Prediction Model'!$C$15*G572</f>
        <v>0.165703</v>
      </c>
      <c r="N572" s="8" t="str">
        <f aca="false">IF(M572&gt;=0.5,"Yes","No")</f>
        <v>No</v>
      </c>
    </row>
    <row r="573" customFormat="false" ht="15" hidden="false" customHeight="false" outlineLevel="0" collapsed="false">
      <c r="A573" s="8" t="s">
        <v>2521</v>
      </c>
      <c r="B573" s="8" t="n">
        <v>50</v>
      </c>
      <c r="C573" s="8" t="n">
        <v>22.3</v>
      </c>
      <c r="D573" s="8" t="n">
        <v>103</v>
      </c>
      <c r="E573" s="8" t="n">
        <v>106</v>
      </c>
      <c r="F573" s="8" t="n">
        <v>1</v>
      </c>
      <c r="G573" s="8" t="n">
        <v>0</v>
      </c>
      <c r="H573" s="8" t="n">
        <v>1</v>
      </c>
      <c r="I573" s="8" t="s">
        <v>1954</v>
      </c>
      <c r="J573" s="8" t="s">
        <v>1959</v>
      </c>
      <c r="K573" s="8" t="s">
        <v>1954</v>
      </c>
      <c r="L573" s="8" t="s">
        <v>2373</v>
      </c>
      <c r="M573" s="28" t="n">
        <f aca="false">'Disease Prediction Model'!$C$9+'Disease Prediction Model'!$C$10*B573+'Disease Prediction Model'!$C$11*C573+'Disease Prediction Model'!$C$12*D573+'Disease Prediction Model'!$C$13*E573+'Disease Prediction Model'!$C$14*F573+'Disease Prediction Model'!$C$15*G573</f>
        <v>0.397927</v>
      </c>
      <c r="N573" s="8" t="str">
        <f aca="false">IF(M573&gt;=0.5,"Yes","No")</f>
        <v>No</v>
      </c>
    </row>
    <row r="574" customFormat="false" ht="15" hidden="false" customHeight="false" outlineLevel="0" collapsed="false">
      <c r="A574" s="8" t="s">
        <v>2522</v>
      </c>
      <c r="B574" s="8" t="n">
        <v>57</v>
      </c>
      <c r="C574" s="8" t="n">
        <v>30.4</v>
      </c>
      <c r="D574" s="8" t="n">
        <v>101</v>
      </c>
      <c r="E574" s="8" t="n">
        <v>93</v>
      </c>
      <c r="F574" s="8" t="n">
        <v>0</v>
      </c>
      <c r="G574" s="8" t="n">
        <v>2</v>
      </c>
      <c r="H574" s="8" t="n">
        <v>0</v>
      </c>
      <c r="I574" s="8" t="s">
        <v>1948</v>
      </c>
      <c r="J574" s="8" t="s">
        <v>1951</v>
      </c>
      <c r="K574" s="8" t="s">
        <v>1948</v>
      </c>
      <c r="L574" s="8" t="s">
        <v>2373</v>
      </c>
      <c r="M574" s="28" t="n">
        <f aca="false">'Disease Prediction Model'!$C$9+'Disease Prediction Model'!$C$10*B574+'Disease Prediction Model'!$C$11*C574+'Disease Prediction Model'!$C$12*D574+'Disease Prediction Model'!$C$13*E574+'Disease Prediction Model'!$C$14*F574+'Disease Prediction Model'!$C$15*G574</f>
        <v>0.0491259999999999</v>
      </c>
      <c r="N574" s="8" t="str">
        <f aca="false">IF(M574&gt;=0.5,"Yes","No")</f>
        <v>No</v>
      </c>
    </row>
    <row r="575" customFormat="false" ht="15" hidden="false" customHeight="false" outlineLevel="0" collapsed="false">
      <c r="A575" s="8" t="s">
        <v>2523</v>
      </c>
      <c r="B575" s="8" t="n">
        <v>57</v>
      </c>
      <c r="C575" s="8" t="n">
        <v>27.2</v>
      </c>
      <c r="D575" s="8" t="n">
        <v>123</v>
      </c>
      <c r="E575" s="8" t="n">
        <v>117</v>
      </c>
      <c r="F575" s="8" t="n">
        <v>0</v>
      </c>
      <c r="G575" s="8" t="n">
        <v>1</v>
      </c>
      <c r="H575" s="8" t="n">
        <v>0</v>
      </c>
      <c r="I575" s="8" t="s">
        <v>1948</v>
      </c>
      <c r="J575" s="8" t="s">
        <v>1405</v>
      </c>
      <c r="K575" s="8" t="s">
        <v>1948</v>
      </c>
      <c r="L575" s="8" t="s">
        <v>2373</v>
      </c>
      <c r="M575" s="28" t="n">
        <f aca="false">'Disease Prediction Model'!$C$9+'Disease Prediction Model'!$C$10*B575+'Disease Prediction Model'!$C$11*C575+'Disease Prediction Model'!$C$12*D575+'Disease Prediction Model'!$C$13*E575+'Disease Prediction Model'!$C$14*F575+'Disease Prediction Model'!$C$15*G575</f>
        <v>0.414538</v>
      </c>
      <c r="N575" s="8" t="str">
        <f aca="false">IF(M575&gt;=0.5,"Yes","No")</f>
        <v>No</v>
      </c>
    </row>
    <row r="576" customFormat="false" ht="15" hidden="false" customHeight="false" outlineLevel="0" collapsed="false">
      <c r="A576" s="8" t="s">
        <v>2524</v>
      </c>
      <c r="B576" s="8" t="n">
        <v>48</v>
      </c>
      <c r="C576" s="8" t="n">
        <v>23.3</v>
      </c>
      <c r="D576" s="8" t="n">
        <v>125</v>
      </c>
      <c r="E576" s="8" t="n">
        <v>90</v>
      </c>
      <c r="F576" s="8" t="n">
        <v>0</v>
      </c>
      <c r="G576" s="8" t="n">
        <v>0</v>
      </c>
      <c r="H576" s="8" t="n">
        <v>0</v>
      </c>
      <c r="I576" s="8" t="s">
        <v>1948</v>
      </c>
      <c r="J576" s="8" t="s">
        <v>1959</v>
      </c>
      <c r="K576" s="8" t="s">
        <v>1948</v>
      </c>
      <c r="L576" s="8" t="s">
        <v>2373</v>
      </c>
      <c r="M576" s="28" t="n">
        <f aca="false">'Disease Prediction Model'!$C$9+'Disease Prediction Model'!$C$10*B576+'Disease Prediction Model'!$C$11*C576+'Disease Prediction Model'!$C$12*D576+'Disease Prediction Model'!$C$13*E576+'Disease Prediction Model'!$C$14*F576+'Disease Prediction Model'!$C$15*G576</f>
        <v>0.201837</v>
      </c>
      <c r="N576" s="8" t="str">
        <f aca="false">IF(M576&gt;=0.5,"Yes","No")</f>
        <v>No</v>
      </c>
    </row>
    <row r="577" customFormat="false" ht="15" hidden="false" customHeight="false" outlineLevel="0" collapsed="false">
      <c r="A577" s="8" t="s">
        <v>2525</v>
      </c>
      <c r="B577" s="8" t="n">
        <v>38</v>
      </c>
      <c r="C577" s="8" t="n">
        <v>27.6</v>
      </c>
      <c r="D577" s="8" t="n">
        <v>98</v>
      </c>
      <c r="E577" s="8" t="n">
        <v>88</v>
      </c>
      <c r="F577" s="8" t="n">
        <v>0</v>
      </c>
      <c r="G577" s="8" t="n">
        <v>0</v>
      </c>
      <c r="H577" s="8" t="n">
        <v>0</v>
      </c>
      <c r="I577" s="8" t="s">
        <v>1948</v>
      </c>
      <c r="J577" s="8" t="s">
        <v>1959</v>
      </c>
      <c r="K577" s="8" t="s">
        <v>1948</v>
      </c>
      <c r="L577" s="8" t="s">
        <v>2373</v>
      </c>
      <c r="M577" s="28" t="n">
        <f aca="false">'Disease Prediction Model'!$C$9+'Disease Prediction Model'!$C$10*B577+'Disease Prediction Model'!$C$11*C577+'Disease Prediction Model'!$C$12*D577+'Disease Prediction Model'!$C$13*E577+'Disease Prediction Model'!$C$14*F577+'Disease Prediction Model'!$C$15*G577</f>
        <v>0.106434</v>
      </c>
      <c r="N577" s="8" t="str">
        <f aca="false">IF(M577&gt;=0.5,"Yes","No")</f>
        <v>No</v>
      </c>
    </row>
    <row r="578" customFormat="false" ht="15" hidden="false" customHeight="false" outlineLevel="0" collapsed="false">
      <c r="A578" s="8" t="s">
        <v>2526</v>
      </c>
      <c r="B578" s="8" t="n">
        <v>47</v>
      </c>
      <c r="C578" s="8" t="n">
        <v>32.1</v>
      </c>
      <c r="D578" s="8" t="n">
        <v>102</v>
      </c>
      <c r="E578" s="8" t="n">
        <v>130</v>
      </c>
      <c r="F578" s="8" t="n">
        <v>1</v>
      </c>
      <c r="G578" s="8" t="n">
        <v>0</v>
      </c>
      <c r="H578" s="8" t="n">
        <v>0</v>
      </c>
      <c r="I578" s="8" t="s">
        <v>1954</v>
      </c>
      <c r="J578" s="8" t="s">
        <v>1959</v>
      </c>
      <c r="K578" s="8" t="s">
        <v>1948</v>
      </c>
      <c r="L578" s="8" t="s">
        <v>2373</v>
      </c>
      <c r="M578" s="28" t="n">
        <f aca="false">'Disease Prediction Model'!$C$9+'Disease Prediction Model'!$C$10*B578+'Disease Prediction Model'!$C$11*C578+'Disease Prediction Model'!$C$12*D578+'Disease Prediction Model'!$C$13*E578+'Disease Prediction Model'!$C$14*F578+'Disease Prediction Model'!$C$15*G578</f>
        <v>0.719449</v>
      </c>
      <c r="N578" s="8" t="str">
        <f aca="false">IF(M578&gt;=0.5,"Yes","No")</f>
        <v>Yes</v>
      </c>
    </row>
    <row r="579" customFormat="false" ht="15" hidden="false" customHeight="false" outlineLevel="0" collapsed="false">
      <c r="A579" s="8" t="s">
        <v>2527</v>
      </c>
      <c r="B579" s="8" t="n">
        <v>60</v>
      </c>
      <c r="C579" s="8" t="n">
        <v>25.2</v>
      </c>
      <c r="D579" s="8" t="n">
        <v>121</v>
      </c>
      <c r="E579" s="8" t="n">
        <v>107</v>
      </c>
      <c r="F579" s="8" t="n">
        <v>0</v>
      </c>
      <c r="G579" s="8" t="n">
        <v>2</v>
      </c>
      <c r="H579" s="8" t="n">
        <v>0</v>
      </c>
      <c r="I579" s="8" t="s">
        <v>1948</v>
      </c>
      <c r="J579" s="8" t="s">
        <v>1951</v>
      </c>
      <c r="K579" s="8" t="s">
        <v>1948</v>
      </c>
      <c r="L579" s="8" t="s">
        <v>2373</v>
      </c>
      <c r="M579" s="28" t="n">
        <f aca="false">'Disease Prediction Model'!$C$9+'Disease Prediction Model'!$C$10*B579+'Disease Prediction Model'!$C$11*C579+'Disease Prediction Model'!$C$12*D579+'Disease Prediction Model'!$C$13*E579+'Disease Prediction Model'!$C$14*F579+'Disease Prediction Model'!$C$15*G579</f>
        <v>0.199898</v>
      </c>
      <c r="N579" s="8" t="str">
        <f aca="false">IF(M579&gt;=0.5,"Yes","No")</f>
        <v>No</v>
      </c>
    </row>
    <row r="580" customFormat="false" ht="15" hidden="false" customHeight="false" outlineLevel="0" collapsed="false">
      <c r="A580" s="8" t="s">
        <v>2528</v>
      </c>
      <c r="B580" s="8" t="n">
        <v>28</v>
      </c>
      <c r="C580" s="8" t="n">
        <v>24.2</v>
      </c>
      <c r="D580" s="8" t="n">
        <v>108</v>
      </c>
      <c r="E580" s="8" t="n">
        <v>103</v>
      </c>
      <c r="F580" s="8" t="n">
        <v>0</v>
      </c>
      <c r="G580" s="8" t="n">
        <v>0</v>
      </c>
      <c r="H580" s="8" t="n">
        <v>0</v>
      </c>
      <c r="I580" s="8" t="s">
        <v>1948</v>
      </c>
      <c r="J580" s="8" t="s">
        <v>1959</v>
      </c>
      <c r="K580" s="8" t="s">
        <v>1948</v>
      </c>
      <c r="L580" s="8" t="s">
        <v>2373</v>
      </c>
      <c r="M580" s="28" t="n">
        <f aca="false">'Disease Prediction Model'!$C$9+'Disease Prediction Model'!$C$10*B580+'Disease Prediction Model'!$C$11*C580+'Disease Prediction Model'!$C$12*D580+'Disease Prediction Model'!$C$13*E580+'Disease Prediction Model'!$C$14*F580+'Disease Prediction Model'!$C$15*G580</f>
        <v>0.213208</v>
      </c>
      <c r="N580" s="8" t="str">
        <f aca="false">IF(M580&gt;=0.5,"Yes","No")</f>
        <v>No</v>
      </c>
    </row>
    <row r="581" customFormat="false" ht="15" hidden="false" customHeight="false" outlineLevel="0" collapsed="false">
      <c r="A581" s="8" t="s">
        <v>2529</v>
      </c>
      <c r="B581" s="8" t="n">
        <v>54</v>
      </c>
      <c r="C581" s="8" t="n">
        <v>28.4</v>
      </c>
      <c r="D581" s="8" t="n">
        <v>137</v>
      </c>
      <c r="E581" s="8" t="n">
        <v>106</v>
      </c>
      <c r="F581" s="8" t="n">
        <v>0</v>
      </c>
      <c r="G581" s="8" t="n">
        <v>1</v>
      </c>
      <c r="H581" s="8" t="n">
        <v>0</v>
      </c>
      <c r="I581" s="8" t="s">
        <v>1948</v>
      </c>
      <c r="J581" s="8" t="s">
        <v>1405</v>
      </c>
      <c r="K581" s="8" t="s">
        <v>1948</v>
      </c>
      <c r="L581" s="8" t="s">
        <v>2373</v>
      </c>
      <c r="M581" s="28" t="n">
        <f aca="false">'Disease Prediction Model'!$C$9+'Disease Prediction Model'!$C$10*B581+'Disease Prediction Model'!$C$11*C581+'Disease Prediction Model'!$C$12*D581+'Disease Prediction Model'!$C$13*E581+'Disease Prediction Model'!$C$14*F581+'Disease Prediction Model'!$C$15*G581</f>
        <v>0.367706</v>
      </c>
      <c r="N581" s="8" t="str">
        <f aca="false">IF(M581&gt;=0.5,"Yes","No")</f>
        <v>No</v>
      </c>
    </row>
    <row r="582" customFormat="false" ht="15" hidden="false" customHeight="false" outlineLevel="0" collapsed="false">
      <c r="A582" s="8" t="s">
        <v>2530</v>
      </c>
      <c r="B582" s="8" t="n">
        <v>73</v>
      </c>
      <c r="C582" s="8" t="n">
        <v>28.7</v>
      </c>
      <c r="D582" s="8" t="n">
        <v>133</v>
      </c>
      <c r="E582" s="8" t="n">
        <v>103</v>
      </c>
      <c r="F582" s="8" t="n">
        <v>0</v>
      </c>
      <c r="G582" s="8" t="n">
        <v>0</v>
      </c>
      <c r="H582" s="8" t="n">
        <v>0</v>
      </c>
      <c r="I582" s="8" t="s">
        <v>1948</v>
      </c>
      <c r="J582" s="8" t="s">
        <v>1959</v>
      </c>
      <c r="K582" s="8" t="s">
        <v>1948</v>
      </c>
      <c r="L582" s="8" t="s">
        <v>2373</v>
      </c>
      <c r="M582" s="28" t="n">
        <f aca="false">'Disease Prediction Model'!$C$9+'Disease Prediction Model'!$C$10*B582+'Disease Prediction Model'!$C$11*C582+'Disease Prediction Model'!$C$12*D582+'Disease Prediction Model'!$C$13*E582+'Disease Prediction Model'!$C$14*F582+'Disease Prediction Model'!$C$15*G582</f>
        <v>0.485363</v>
      </c>
      <c r="N582" s="8" t="str">
        <f aca="false">IF(M582&gt;=0.5,"Yes","No")</f>
        <v>No</v>
      </c>
    </row>
    <row r="583" customFormat="false" ht="15" hidden="false" customHeight="false" outlineLevel="0" collapsed="false">
      <c r="A583" s="8" t="s">
        <v>2531</v>
      </c>
      <c r="B583" s="8" t="n">
        <v>50</v>
      </c>
      <c r="C583" s="8" t="n">
        <v>21.1</v>
      </c>
      <c r="D583" s="8" t="n">
        <v>137</v>
      </c>
      <c r="E583" s="8" t="n">
        <v>96</v>
      </c>
      <c r="F583" s="8" t="n">
        <v>1</v>
      </c>
      <c r="G583" s="8" t="n">
        <v>1</v>
      </c>
      <c r="H583" s="8" t="n">
        <v>0</v>
      </c>
      <c r="I583" s="8" t="s">
        <v>1954</v>
      </c>
      <c r="J583" s="8" t="s">
        <v>1405</v>
      </c>
      <c r="K583" s="8" t="s">
        <v>1948</v>
      </c>
      <c r="L583" s="8" t="s">
        <v>2373</v>
      </c>
      <c r="M583" s="28" t="n">
        <f aca="false">'Disease Prediction Model'!$C$9+'Disease Prediction Model'!$C$10*B583+'Disease Prediction Model'!$C$11*C583+'Disease Prediction Model'!$C$12*D583+'Disease Prediction Model'!$C$13*E583+'Disease Prediction Model'!$C$14*F583+'Disease Prediction Model'!$C$15*G583</f>
        <v>0.312519</v>
      </c>
      <c r="N583" s="8" t="str">
        <f aca="false">IF(M583&gt;=0.5,"Yes","No")</f>
        <v>No</v>
      </c>
    </row>
    <row r="584" customFormat="false" ht="15" hidden="false" customHeight="false" outlineLevel="0" collapsed="false">
      <c r="A584" s="8" t="s">
        <v>2532</v>
      </c>
      <c r="B584" s="8" t="n">
        <v>56</v>
      </c>
      <c r="C584" s="8" t="n">
        <v>35.4</v>
      </c>
      <c r="D584" s="8" t="n">
        <v>151</v>
      </c>
      <c r="E584" s="8" t="n">
        <v>112</v>
      </c>
      <c r="F584" s="8" t="n">
        <v>0</v>
      </c>
      <c r="G584" s="8" t="n">
        <v>1</v>
      </c>
      <c r="H584" s="8" t="n">
        <v>1</v>
      </c>
      <c r="I584" s="8" t="s">
        <v>1948</v>
      </c>
      <c r="J584" s="8" t="s">
        <v>1405</v>
      </c>
      <c r="K584" s="8" t="s">
        <v>1954</v>
      </c>
      <c r="L584" s="8" t="s">
        <v>2373</v>
      </c>
      <c r="M584" s="28" t="n">
        <f aca="false">'Disease Prediction Model'!$C$9+'Disease Prediction Model'!$C$10*B584+'Disease Prediction Model'!$C$11*C584+'Disease Prediction Model'!$C$12*D584+'Disease Prediction Model'!$C$13*E584+'Disease Prediction Model'!$C$14*F584+'Disease Prediction Model'!$C$15*G584</f>
        <v>0.558956</v>
      </c>
      <c r="N584" s="8" t="str">
        <f aca="false">IF(M584&gt;=0.5,"Yes","No")</f>
        <v>Yes</v>
      </c>
    </row>
    <row r="585" customFormat="false" ht="15" hidden="false" customHeight="false" outlineLevel="0" collapsed="false">
      <c r="A585" s="8" t="s">
        <v>2533</v>
      </c>
      <c r="B585" s="8" t="n">
        <v>27</v>
      </c>
      <c r="C585" s="8" t="n">
        <v>32.2</v>
      </c>
      <c r="D585" s="8" t="n">
        <v>110</v>
      </c>
      <c r="E585" s="8" t="n">
        <v>93</v>
      </c>
      <c r="F585" s="8" t="n">
        <v>0</v>
      </c>
      <c r="G585" s="8" t="n">
        <v>2</v>
      </c>
      <c r="H585" s="8" t="n">
        <v>0</v>
      </c>
      <c r="I585" s="8" t="s">
        <v>1948</v>
      </c>
      <c r="J585" s="8" t="s">
        <v>1951</v>
      </c>
      <c r="K585" s="8" t="s">
        <v>1948</v>
      </c>
      <c r="L585" s="8" t="s">
        <v>2373</v>
      </c>
      <c r="M585" s="28" t="n">
        <f aca="false">'Disease Prediction Model'!$C$9+'Disease Prediction Model'!$C$10*B585+'Disease Prediction Model'!$C$11*C585+'Disease Prediction Model'!$C$12*D585+'Disease Prediction Model'!$C$13*E585+'Disease Prediction Model'!$C$14*F585+'Disease Prediction Model'!$C$15*G585</f>
        <v>0.014248</v>
      </c>
      <c r="N585" s="8" t="str">
        <f aca="false">IF(M585&gt;=0.5,"Yes","No")</f>
        <v>No</v>
      </c>
    </row>
    <row r="586" customFormat="false" ht="15" hidden="false" customHeight="false" outlineLevel="0" collapsed="false">
      <c r="A586" s="8" t="s">
        <v>2534</v>
      </c>
      <c r="B586" s="8" t="n">
        <v>55</v>
      </c>
      <c r="C586" s="8" t="n">
        <v>30.9</v>
      </c>
      <c r="D586" s="8" t="n">
        <v>136</v>
      </c>
      <c r="E586" s="8" t="n">
        <v>70</v>
      </c>
      <c r="F586" s="8" t="n">
        <v>0</v>
      </c>
      <c r="G586" s="8" t="n">
        <v>0</v>
      </c>
      <c r="H586" s="8" t="n">
        <v>0</v>
      </c>
      <c r="I586" s="8" t="s">
        <v>1948</v>
      </c>
      <c r="J586" s="8" t="s">
        <v>1959</v>
      </c>
      <c r="K586" s="8" t="s">
        <v>1948</v>
      </c>
      <c r="L586" s="8" t="s">
        <v>2373</v>
      </c>
      <c r="M586" s="28" t="n">
        <f aca="false">'Disease Prediction Model'!$C$9+'Disease Prediction Model'!$C$10*B586+'Disease Prediction Model'!$C$11*C586+'Disease Prediction Model'!$C$12*D586+'Disease Prediction Model'!$C$13*E586+'Disease Prediction Model'!$C$14*F586+'Disease Prediction Model'!$C$15*G586</f>
        <v>0.163021</v>
      </c>
      <c r="N586" s="8" t="str">
        <f aca="false">IF(M586&gt;=0.5,"Yes","No")</f>
        <v>No</v>
      </c>
    </row>
    <row r="587" customFormat="false" ht="15" hidden="false" customHeight="false" outlineLevel="0" collapsed="false">
      <c r="A587" s="8" t="s">
        <v>2535</v>
      </c>
      <c r="B587" s="8" t="n">
        <v>43</v>
      </c>
      <c r="C587" s="8" t="n">
        <v>37.6</v>
      </c>
      <c r="D587" s="8" t="n">
        <v>117</v>
      </c>
      <c r="E587" s="8" t="n">
        <v>74</v>
      </c>
      <c r="F587" s="8" t="n">
        <v>0</v>
      </c>
      <c r="G587" s="8" t="n">
        <v>2</v>
      </c>
      <c r="H587" s="8" t="n">
        <v>0</v>
      </c>
      <c r="I587" s="8" t="s">
        <v>1948</v>
      </c>
      <c r="J587" s="8" t="s">
        <v>1951</v>
      </c>
      <c r="K587" s="8" t="s">
        <v>1948</v>
      </c>
      <c r="L587" s="8" t="s">
        <v>2373</v>
      </c>
      <c r="M587" s="28" t="n">
        <f aca="false">'Disease Prediction Model'!$C$9+'Disease Prediction Model'!$C$10*B587+'Disease Prediction Model'!$C$11*C587+'Disease Prediction Model'!$C$12*D587+'Disease Prediction Model'!$C$13*E587+'Disease Prediction Model'!$C$14*F587+'Disease Prediction Model'!$C$15*G587</f>
        <v>-0.0284059999999999</v>
      </c>
      <c r="N587" s="8" t="str">
        <f aca="false">IF(M587&gt;=0.5,"Yes","No")</f>
        <v>No</v>
      </c>
    </row>
    <row r="588" customFormat="false" ht="15" hidden="false" customHeight="false" outlineLevel="0" collapsed="false">
      <c r="A588" s="8" t="s">
        <v>2536</v>
      </c>
      <c r="B588" s="8" t="n">
        <v>36</v>
      </c>
      <c r="C588" s="8" t="n">
        <v>32.8</v>
      </c>
      <c r="D588" s="8" t="n">
        <v>116</v>
      </c>
      <c r="E588" s="8" t="n">
        <v>136</v>
      </c>
      <c r="F588" s="8" t="n">
        <v>0</v>
      </c>
      <c r="G588" s="8" t="n">
        <v>1</v>
      </c>
      <c r="H588" s="8" t="n">
        <v>1</v>
      </c>
      <c r="I588" s="8" t="s">
        <v>1948</v>
      </c>
      <c r="J588" s="8" t="s">
        <v>1405</v>
      </c>
      <c r="K588" s="8" t="s">
        <v>1954</v>
      </c>
      <c r="L588" s="8" t="s">
        <v>2373</v>
      </c>
      <c r="M588" s="28" t="n">
        <f aca="false">'Disease Prediction Model'!$C$9+'Disease Prediction Model'!$C$10*B588+'Disease Prediction Model'!$C$11*C588+'Disease Prediction Model'!$C$12*D588+'Disease Prediction Model'!$C$13*E588+'Disease Prediction Model'!$C$14*F588+'Disease Prediction Model'!$C$15*G588</f>
        <v>0.567882</v>
      </c>
      <c r="N588" s="8" t="str">
        <f aca="false">IF(M588&gt;=0.5,"Yes","No")</f>
        <v>Yes</v>
      </c>
    </row>
    <row r="589" customFormat="false" ht="15" hidden="false" customHeight="false" outlineLevel="0" collapsed="false">
      <c r="A589" s="8" t="s">
        <v>2537</v>
      </c>
      <c r="B589" s="8" t="n">
        <v>37</v>
      </c>
      <c r="C589" s="8" t="n">
        <v>33.1</v>
      </c>
      <c r="D589" s="8" t="n">
        <v>129</v>
      </c>
      <c r="E589" s="8" t="n">
        <v>139</v>
      </c>
      <c r="F589" s="8" t="n">
        <v>1</v>
      </c>
      <c r="G589" s="8" t="n">
        <v>0</v>
      </c>
      <c r="H589" s="8" t="n">
        <v>1</v>
      </c>
      <c r="I589" s="8" t="s">
        <v>1954</v>
      </c>
      <c r="J589" s="8" t="s">
        <v>1959</v>
      </c>
      <c r="K589" s="8" t="s">
        <v>1954</v>
      </c>
      <c r="L589" s="8" t="s">
        <v>2373</v>
      </c>
      <c r="M589" s="28" t="n">
        <f aca="false">'Disease Prediction Model'!$C$9+'Disease Prediction Model'!$C$10*B589+'Disease Prediction Model'!$C$11*C589+'Disease Prediction Model'!$C$12*D589+'Disease Prediction Model'!$C$13*E589+'Disease Prediction Model'!$C$14*F589+'Disease Prediction Model'!$C$15*G589</f>
        <v>0.881639</v>
      </c>
      <c r="N589" s="8" t="str">
        <f aca="false">IF(M589&gt;=0.5,"Yes","No")</f>
        <v>Yes</v>
      </c>
    </row>
    <row r="590" customFormat="false" ht="15" hidden="false" customHeight="false" outlineLevel="0" collapsed="false">
      <c r="A590" s="8" t="s">
        <v>2538</v>
      </c>
      <c r="B590" s="8" t="n">
        <v>66</v>
      </c>
      <c r="C590" s="8" t="n">
        <v>38.2</v>
      </c>
      <c r="D590" s="8" t="n">
        <v>107</v>
      </c>
      <c r="E590" s="8" t="n">
        <v>127</v>
      </c>
      <c r="F590" s="8" t="n">
        <v>1</v>
      </c>
      <c r="G590" s="8" t="n">
        <v>0</v>
      </c>
      <c r="H590" s="8" t="n">
        <v>1</v>
      </c>
      <c r="I590" s="8" t="s">
        <v>1954</v>
      </c>
      <c r="J590" s="8" t="s">
        <v>1959</v>
      </c>
      <c r="K590" s="8" t="s">
        <v>1954</v>
      </c>
      <c r="L590" s="8" t="s">
        <v>2373</v>
      </c>
      <c r="M590" s="28" t="n">
        <f aca="false">'Disease Prediction Model'!$C$9+'Disease Prediction Model'!$C$10*B590+'Disease Prediction Model'!$C$11*C590+'Disease Prediction Model'!$C$12*D590+'Disease Prediction Model'!$C$13*E590+'Disease Prediction Model'!$C$14*F590+'Disease Prediction Model'!$C$15*G590</f>
        <v>0.834528</v>
      </c>
      <c r="N590" s="8" t="str">
        <f aca="false">IF(M590&gt;=0.5,"Yes","No")</f>
        <v>Yes</v>
      </c>
    </row>
    <row r="591" customFormat="false" ht="15" hidden="false" customHeight="false" outlineLevel="0" collapsed="false">
      <c r="A591" s="8" t="s">
        <v>2539</v>
      </c>
      <c r="B591" s="8" t="n">
        <v>59</v>
      </c>
      <c r="C591" s="8" t="n">
        <v>24</v>
      </c>
      <c r="D591" s="8" t="n">
        <v>127</v>
      </c>
      <c r="E591" s="8" t="n">
        <v>116</v>
      </c>
      <c r="F591" s="8" t="n">
        <v>0</v>
      </c>
      <c r="G591" s="8" t="n">
        <v>0</v>
      </c>
      <c r="H591" s="8" t="n">
        <v>0</v>
      </c>
      <c r="I591" s="8" t="s">
        <v>1948</v>
      </c>
      <c r="J591" s="8" t="s">
        <v>1959</v>
      </c>
      <c r="K591" s="8" t="s">
        <v>1948</v>
      </c>
      <c r="L591" s="8" t="s">
        <v>2373</v>
      </c>
      <c r="M591" s="28" t="n">
        <f aca="false">'Disease Prediction Model'!$C$9+'Disease Prediction Model'!$C$10*B591+'Disease Prediction Model'!$C$11*C591+'Disease Prediction Model'!$C$12*D591+'Disease Prediction Model'!$C$13*E591+'Disease Prediction Model'!$C$14*F591+'Disease Prediction Model'!$C$15*G591</f>
        <v>0.48985</v>
      </c>
      <c r="N591" s="8" t="str">
        <f aca="false">IF(M591&gt;=0.5,"Yes","No")</f>
        <v>No</v>
      </c>
    </row>
    <row r="592" customFormat="false" ht="15" hidden="false" customHeight="false" outlineLevel="0" collapsed="false">
      <c r="A592" s="8" t="s">
        <v>2540</v>
      </c>
      <c r="B592" s="8" t="n">
        <v>81</v>
      </c>
      <c r="C592" s="8" t="n">
        <v>21</v>
      </c>
      <c r="D592" s="8" t="n">
        <v>157</v>
      </c>
      <c r="E592" s="8" t="n">
        <v>135</v>
      </c>
      <c r="F592" s="8" t="n">
        <v>0</v>
      </c>
      <c r="G592" s="8" t="n">
        <v>1</v>
      </c>
      <c r="H592" s="8" t="n">
        <v>1</v>
      </c>
      <c r="I592" s="8" t="s">
        <v>1948</v>
      </c>
      <c r="J592" s="8" t="s">
        <v>1405</v>
      </c>
      <c r="K592" s="8" t="s">
        <v>1954</v>
      </c>
      <c r="L592" s="8" t="s">
        <v>2373</v>
      </c>
      <c r="M592" s="28" t="n">
        <f aca="false">'Disease Prediction Model'!$C$9+'Disease Prediction Model'!$C$10*B592+'Disease Prediction Model'!$C$11*C592+'Disease Prediction Model'!$C$12*D592+'Disease Prediction Model'!$C$13*E592+'Disease Prediction Model'!$C$14*F592+'Disease Prediction Model'!$C$15*G592</f>
        <v>0.7024</v>
      </c>
      <c r="N592" s="8" t="str">
        <f aca="false">IF(M592&gt;=0.5,"Yes","No")</f>
        <v>Yes</v>
      </c>
    </row>
    <row r="593" customFormat="false" ht="15" hidden="false" customHeight="false" outlineLevel="0" collapsed="false">
      <c r="A593" s="8" t="s">
        <v>2541</v>
      </c>
      <c r="B593" s="8" t="n">
        <v>36</v>
      </c>
      <c r="C593" s="8" t="n">
        <v>21.7</v>
      </c>
      <c r="D593" s="8" t="n">
        <v>133</v>
      </c>
      <c r="E593" s="8" t="n">
        <v>118</v>
      </c>
      <c r="F593" s="8" t="n">
        <v>0</v>
      </c>
      <c r="G593" s="8" t="n">
        <v>0</v>
      </c>
      <c r="H593" s="8" t="n">
        <v>0</v>
      </c>
      <c r="I593" s="8" t="s">
        <v>1948</v>
      </c>
      <c r="J593" s="8" t="s">
        <v>1959</v>
      </c>
      <c r="K593" s="8" t="s">
        <v>1948</v>
      </c>
      <c r="L593" s="8" t="s">
        <v>2373</v>
      </c>
      <c r="M593" s="28" t="n">
        <f aca="false">'Disease Prediction Model'!$C$9+'Disease Prediction Model'!$C$10*B593+'Disease Prediction Model'!$C$11*C593+'Disease Prediction Model'!$C$12*D593+'Disease Prediction Model'!$C$13*E593+'Disease Prediction Model'!$C$14*F593+'Disease Prediction Model'!$C$15*G593</f>
        <v>0.436493</v>
      </c>
      <c r="N593" s="8" t="str">
        <f aca="false">IF(M593&gt;=0.5,"Yes","No")</f>
        <v>No</v>
      </c>
    </row>
    <row r="594" customFormat="false" ht="15" hidden="false" customHeight="false" outlineLevel="0" collapsed="false">
      <c r="A594" s="8" t="s">
        <v>2542</v>
      </c>
      <c r="B594" s="8" t="n">
        <v>55</v>
      </c>
      <c r="C594" s="8" t="n">
        <v>26.1</v>
      </c>
      <c r="D594" s="8" t="n">
        <v>115</v>
      </c>
      <c r="E594" s="8" t="n">
        <v>117</v>
      </c>
      <c r="F594" s="8" t="n">
        <v>0</v>
      </c>
      <c r="G594" s="8" t="n">
        <v>2</v>
      </c>
      <c r="H594" s="8" t="n">
        <v>0</v>
      </c>
      <c r="I594" s="8" t="s">
        <v>1948</v>
      </c>
      <c r="J594" s="8" t="s">
        <v>1951</v>
      </c>
      <c r="K594" s="8" t="s">
        <v>1948</v>
      </c>
      <c r="L594" s="8" t="s">
        <v>2373</v>
      </c>
      <c r="M594" s="28" t="n">
        <f aca="false">'Disease Prediction Model'!$C$9+'Disease Prediction Model'!$C$10*B594+'Disease Prediction Model'!$C$11*C594+'Disease Prediction Model'!$C$12*D594+'Disease Prediction Model'!$C$13*E594+'Disease Prediction Model'!$C$14*F594+'Disease Prediction Model'!$C$15*G594</f>
        <v>0.266669</v>
      </c>
      <c r="N594" s="8" t="str">
        <f aca="false">IF(M594&gt;=0.5,"Yes","No")</f>
        <v>No</v>
      </c>
    </row>
    <row r="595" customFormat="false" ht="15" hidden="false" customHeight="false" outlineLevel="0" collapsed="false">
      <c r="A595" s="8" t="s">
        <v>2543</v>
      </c>
      <c r="B595" s="8" t="n">
        <v>62</v>
      </c>
      <c r="C595" s="8" t="n">
        <v>24.8</v>
      </c>
      <c r="D595" s="8" t="n">
        <v>122</v>
      </c>
      <c r="E595" s="8" t="n">
        <v>112</v>
      </c>
      <c r="F595" s="8" t="n">
        <v>0</v>
      </c>
      <c r="G595" s="8" t="n">
        <v>0</v>
      </c>
      <c r="H595" s="8" t="n">
        <v>1</v>
      </c>
      <c r="I595" s="8" t="s">
        <v>1948</v>
      </c>
      <c r="J595" s="8" t="s">
        <v>1959</v>
      </c>
      <c r="K595" s="8" t="s">
        <v>1954</v>
      </c>
      <c r="L595" s="8" t="s">
        <v>2373</v>
      </c>
      <c r="M595" s="28" t="n">
        <f aca="false">'Disease Prediction Model'!$C$9+'Disease Prediction Model'!$C$10*B595+'Disease Prediction Model'!$C$11*C595+'Disease Prediction Model'!$C$12*D595+'Disease Prediction Model'!$C$13*E595+'Disease Prediction Model'!$C$14*F595+'Disease Prediction Model'!$C$15*G595</f>
        <v>0.452782</v>
      </c>
      <c r="N595" s="8" t="str">
        <f aca="false">IF(M595&gt;=0.5,"Yes","No")</f>
        <v>No</v>
      </c>
    </row>
    <row r="596" customFormat="false" ht="15" hidden="false" customHeight="false" outlineLevel="0" collapsed="false">
      <c r="A596" s="8" t="s">
        <v>2544</v>
      </c>
      <c r="B596" s="8" t="n">
        <v>57</v>
      </c>
      <c r="C596" s="8" t="n">
        <v>26.2</v>
      </c>
      <c r="D596" s="8" t="n">
        <v>159</v>
      </c>
      <c r="E596" s="8" t="n">
        <v>71</v>
      </c>
      <c r="F596" s="8" t="n">
        <v>1</v>
      </c>
      <c r="G596" s="8" t="n">
        <v>1</v>
      </c>
      <c r="H596" s="8" t="n">
        <v>0</v>
      </c>
      <c r="I596" s="8" t="s">
        <v>1954</v>
      </c>
      <c r="J596" s="8" t="s">
        <v>1405</v>
      </c>
      <c r="K596" s="8" t="s">
        <v>1948</v>
      </c>
      <c r="L596" s="8" t="s">
        <v>2373</v>
      </c>
      <c r="M596" s="28" t="n">
        <f aca="false">'Disease Prediction Model'!$C$9+'Disease Prediction Model'!$C$10*B596+'Disease Prediction Model'!$C$11*C596+'Disease Prediction Model'!$C$12*D596+'Disease Prediction Model'!$C$13*E596+'Disease Prediction Model'!$C$14*F596+'Disease Prediction Model'!$C$15*G596</f>
        <v>0.238308</v>
      </c>
      <c r="N596" s="8" t="str">
        <f aca="false">IF(M596&gt;=0.5,"Yes","No")</f>
        <v>No</v>
      </c>
    </row>
    <row r="597" customFormat="false" ht="15" hidden="false" customHeight="false" outlineLevel="0" collapsed="false">
      <c r="A597" s="8" t="s">
        <v>2545</v>
      </c>
      <c r="B597" s="8" t="n">
        <v>52</v>
      </c>
      <c r="C597" s="8" t="n">
        <v>24.9</v>
      </c>
      <c r="D597" s="8" t="n">
        <v>136</v>
      </c>
      <c r="E597" s="8" t="n">
        <v>103</v>
      </c>
      <c r="F597" s="8" t="n">
        <v>1</v>
      </c>
      <c r="G597" s="8" t="n">
        <v>2</v>
      </c>
      <c r="H597" s="8" t="n">
        <v>1</v>
      </c>
      <c r="I597" s="8" t="s">
        <v>1954</v>
      </c>
      <c r="J597" s="8" t="s">
        <v>1951</v>
      </c>
      <c r="K597" s="8" t="s">
        <v>1954</v>
      </c>
      <c r="L597" s="8" t="s">
        <v>2373</v>
      </c>
      <c r="M597" s="28" t="n">
        <f aca="false">'Disease Prediction Model'!$C$9+'Disease Prediction Model'!$C$10*B597+'Disease Prediction Model'!$C$11*C597+'Disease Prediction Model'!$C$12*D597+'Disease Prediction Model'!$C$13*E597+'Disease Prediction Model'!$C$14*F597+'Disease Prediction Model'!$C$15*G597</f>
        <v>0.322021</v>
      </c>
      <c r="N597" s="8" t="str">
        <f aca="false">IF(M597&gt;=0.5,"Yes","No")</f>
        <v>No</v>
      </c>
    </row>
    <row r="598" customFormat="false" ht="15" hidden="false" customHeight="false" outlineLevel="0" collapsed="false">
      <c r="A598" s="8" t="s">
        <v>2546</v>
      </c>
      <c r="B598" s="8" t="n">
        <v>71</v>
      </c>
      <c r="C598" s="8" t="n">
        <v>27.5</v>
      </c>
      <c r="D598" s="8" t="n">
        <v>113</v>
      </c>
      <c r="E598" s="8" t="n">
        <v>103</v>
      </c>
      <c r="F598" s="8" t="n">
        <v>0</v>
      </c>
      <c r="G598" s="8" t="n">
        <v>1</v>
      </c>
      <c r="H598" s="8" t="n">
        <v>1</v>
      </c>
      <c r="I598" s="8" t="s">
        <v>1948</v>
      </c>
      <c r="J598" s="8" t="s">
        <v>1405</v>
      </c>
      <c r="K598" s="8" t="s">
        <v>1954</v>
      </c>
      <c r="L598" s="8" t="s">
        <v>2373</v>
      </c>
      <c r="M598" s="28" t="n">
        <f aca="false">'Disease Prediction Model'!$C$9+'Disease Prediction Model'!$C$10*B598+'Disease Prediction Model'!$C$11*C598+'Disease Prediction Model'!$C$12*D598+'Disease Prediction Model'!$C$13*E598+'Disease Prediction Model'!$C$14*F598+'Disease Prediction Model'!$C$15*G598</f>
        <v>0.293395</v>
      </c>
      <c r="N598" s="8" t="str">
        <f aca="false">IF(M598&gt;=0.5,"Yes","No")</f>
        <v>No</v>
      </c>
    </row>
    <row r="599" customFormat="false" ht="15" hidden="false" customHeight="false" outlineLevel="0" collapsed="false">
      <c r="A599" s="8" t="s">
        <v>2547</v>
      </c>
      <c r="B599" s="8" t="n">
        <v>57</v>
      </c>
      <c r="C599" s="8" t="n">
        <v>23.8</v>
      </c>
      <c r="D599" s="8" t="n">
        <v>127</v>
      </c>
      <c r="E599" s="8" t="n">
        <v>128</v>
      </c>
      <c r="F599" s="8" t="n">
        <v>0</v>
      </c>
      <c r="G599" s="8" t="n">
        <v>2</v>
      </c>
      <c r="H599" s="8" t="n">
        <v>1</v>
      </c>
      <c r="I599" s="8" t="s">
        <v>1948</v>
      </c>
      <c r="J599" s="8" t="s">
        <v>1951</v>
      </c>
      <c r="K599" s="8" t="s">
        <v>1954</v>
      </c>
      <c r="L599" s="8" t="s">
        <v>2373</v>
      </c>
      <c r="M599" s="28" t="n">
        <f aca="false">'Disease Prediction Model'!$C$9+'Disease Prediction Model'!$C$10*B599+'Disease Prediction Model'!$C$11*C599+'Disease Prediction Model'!$C$12*D599+'Disease Prediction Model'!$C$13*E599+'Disease Prediction Model'!$C$14*F599+'Disease Prediction Model'!$C$15*G599</f>
        <v>0.391132</v>
      </c>
      <c r="N599" s="8" t="str">
        <f aca="false">IF(M599&gt;=0.5,"Yes","No")</f>
        <v>No</v>
      </c>
    </row>
    <row r="600" customFormat="false" ht="15" hidden="false" customHeight="false" outlineLevel="0" collapsed="false">
      <c r="A600" s="8" t="s">
        <v>2548</v>
      </c>
      <c r="B600" s="8" t="n">
        <v>67</v>
      </c>
      <c r="C600" s="8" t="n">
        <v>26</v>
      </c>
      <c r="D600" s="8" t="n">
        <v>136</v>
      </c>
      <c r="E600" s="8" t="n">
        <v>70</v>
      </c>
      <c r="F600" s="8" t="n">
        <v>0</v>
      </c>
      <c r="G600" s="8" t="n">
        <v>0</v>
      </c>
      <c r="H600" s="8" t="n">
        <v>0</v>
      </c>
      <c r="I600" s="8" t="s">
        <v>1948</v>
      </c>
      <c r="J600" s="8" t="s">
        <v>1959</v>
      </c>
      <c r="K600" s="8" t="s">
        <v>1948</v>
      </c>
      <c r="L600" s="8" t="s">
        <v>2373</v>
      </c>
      <c r="M600" s="28" t="n">
        <f aca="false">'Disease Prediction Model'!$C$9+'Disease Prediction Model'!$C$10*B600+'Disease Prediction Model'!$C$11*C600+'Disease Prediction Model'!$C$12*D600+'Disease Prediction Model'!$C$13*E600+'Disease Prediction Model'!$C$14*F600+'Disease Prediction Model'!$C$15*G600</f>
        <v>0.14225</v>
      </c>
      <c r="N600" s="8" t="str">
        <f aca="false">IF(M600&gt;=0.5,"Yes","No")</f>
        <v>No</v>
      </c>
    </row>
    <row r="601" customFormat="false" ht="15" hidden="false" customHeight="false" outlineLevel="0" collapsed="false">
      <c r="A601" s="8" t="s">
        <v>2549</v>
      </c>
      <c r="B601" s="8" t="n">
        <v>36</v>
      </c>
      <c r="C601" s="8" t="n">
        <v>27.8</v>
      </c>
      <c r="D601" s="8" t="n">
        <v>128</v>
      </c>
      <c r="E601" s="8" t="n">
        <v>109</v>
      </c>
      <c r="F601" s="8" t="n">
        <v>1</v>
      </c>
      <c r="G601" s="8" t="n">
        <v>1</v>
      </c>
      <c r="H601" s="8" t="n">
        <v>1</v>
      </c>
      <c r="I601" s="8" t="s">
        <v>1954</v>
      </c>
      <c r="J601" s="8" t="s">
        <v>1405</v>
      </c>
      <c r="K601" s="8" t="s">
        <v>1954</v>
      </c>
      <c r="L601" s="8" t="s">
        <v>2373</v>
      </c>
      <c r="M601" s="28" t="n">
        <f aca="false">'Disease Prediction Model'!$C$9+'Disease Prediction Model'!$C$10*B601+'Disease Prediction Model'!$C$11*C601+'Disease Prediction Model'!$C$12*D601+'Disease Prediction Model'!$C$13*E601+'Disease Prediction Model'!$C$14*F601+'Disease Prediction Model'!$C$15*G601</f>
        <v>0.436112</v>
      </c>
      <c r="N601" s="8" t="str">
        <f aca="false">IF(M601&gt;=0.5,"Yes","No")</f>
        <v>No</v>
      </c>
    </row>
    <row r="602" customFormat="false" ht="15" hidden="false" customHeight="false" outlineLevel="0" collapsed="false">
      <c r="A602" s="8" t="s">
        <v>2550</v>
      </c>
      <c r="B602" s="8" t="n">
        <v>37</v>
      </c>
      <c r="C602" s="8" t="n">
        <v>25.1</v>
      </c>
      <c r="D602" s="8" t="n">
        <v>112</v>
      </c>
      <c r="E602" s="8" t="n">
        <v>99</v>
      </c>
      <c r="F602" s="8" t="n">
        <v>0</v>
      </c>
      <c r="G602" s="8" t="n">
        <v>2</v>
      </c>
      <c r="H602" s="8" t="n">
        <v>0</v>
      </c>
      <c r="I602" s="8" t="s">
        <v>1948</v>
      </c>
      <c r="J602" s="8" t="s">
        <v>1951</v>
      </c>
      <c r="K602" s="8" t="s">
        <v>1948</v>
      </c>
      <c r="L602" s="8" t="s">
        <v>2373</v>
      </c>
      <c r="M602" s="28" t="n">
        <f aca="false">'Disease Prediction Model'!$C$9+'Disease Prediction Model'!$C$10*B602+'Disease Prediction Model'!$C$11*C602+'Disease Prediction Model'!$C$12*D602+'Disease Prediction Model'!$C$13*E602+'Disease Prediction Model'!$C$14*F602+'Disease Prediction Model'!$C$15*G602</f>
        <v>0.0252989999999999</v>
      </c>
      <c r="N602" s="8" t="str">
        <f aca="false">IF(M602&gt;=0.5,"Yes","No")</f>
        <v>No</v>
      </c>
    </row>
    <row r="603" customFormat="false" ht="15" hidden="false" customHeight="false" outlineLevel="0" collapsed="false">
      <c r="A603" s="8" t="s">
        <v>2551</v>
      </c>
      <c r="B603" s="8" t="n">
        <v>58</v>
      </c>
      <c r="C603" s="8" t="n">
        <v>32</v>
      </c>
      <c r="D603" s="8" t="n">
        <v>103</v>
      </c>
      <c r="E603" s="8" t="n">
        <v>118</v>
      </c>
      <c r="F603" s="8" t="n">
        <v>0</v>
      </c>
      <c r="G603" s="8" t="n">
        <v>1</v>
      </c>
      <c r="H603" s="8" t="n">
        <v>1</v>
      </c>
      <c r="I603" s="8" t="s">
        <v>1948</v>
      </c>
      <c r="J603" s="8" t="s">
        <v>1405</v>
      </c>
      <c r="K603" s="8" t="s">
        <v>1954</v>
      </c>
      <c r="L603" s="8" t="s">
        <v>2373</v>
      </c>
      <c r="M603" s="28" t="n">
        <f aca="false">'Disease Prediction Model'!$C$9+'Disease Prediction Model'!$C$10*B603+'Disease Prediction Model'!$C$11*C603+'Disease Prediction Model'!$C$12*D603+'Disease Prediction Model'!$C$13*E603+'Disease Prediction Model'!$C$14*F603+'Disease Prediction Model'!$C$15*G603</f>
        <v>0.40979</v>
      </c>
      <c r="N603" s="8" t="str">
        <f aca="false">IF(M603&gt;=0.5,"Yes","No")</f>
        <v>No</v>
      </c>
    </row>
    <row r="604" customFormat="false" ht="15" hidden="false" customHeight="false" outlineLevel="0" collapsed="false">
      <c r="A604" s="8" t="s">
        <v>2552</v>
      </c>
      <c r="B604" s="8" t="n">
        <v>22</v>
      </c>
      <c r="C604" s="8" t="n">
        <v>24.7</v>
      </c>
      <c r="D604" s="8" t="n">
        <v>126</v>
      </c>
      <c r="E604" s="8" t="n">
        <v>95</v>
      </c>
      <c r="F604" s="8" t="n">
        <v>0</v>
      </c>
      <c r="G604" s="8" t="n">
        <v>0</v>
      </c>
      <c r="H604" s="8" t="n">
        <v>0</v>
      </c>
      <c r="I604" s="8" t="s">
        <v>1948</v>
      </c>
      <c r="J604" s="8" t="s">
        <v>1959</v>
      </c>
      <c r="K604" s="8" t="s">
        <v>1948</v>
      </c>
      <c r="L604" s="8" t="s">
        <v>2373</v>
      </c>
      <c r="M604" s="28" t="n">
        <f aca="false">'Disease Prediction Model'!$C$9+'Disease Prediction Model'!$C$10*B604+'Disease Prediction Model'!$C$11*C604+'Disease Prediction Model'!$C$12*D604+'Disease Prediction Model'!$C$13*E604+'Disease Prediction Model'!$C$14*F604+'Disease Prediction Model'!$C$15*G604</f>
        <v>0.191743</v>
      </c>
      <c r="N604" s="8" t="str">
        <f aca="false">IF(M604&gt;=0.5,"Yes","No")</f>
        <v>No</v>
      </c>
    </row>
  </sheetData>
  <mergeCells count="1">
    <mergeCell ref="A2:N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0"/>
  </cols>
  <sheetData>
    <row r="2" customFormat="false" ht="19.7" hidden="false" customHeight="false" outlineLevel="0" collapsed="false">
      <c r="B2" s="1" t="s">
        <v>2553</v>
      </c>
    </row>
    <row r="3" customFormat="false" ht="15" hidden="false" customHeight="false" outlineLevel="0" collapsed="false">
      <c r="B3" s="2" t="s">
        <v>2554</v>
      </c>
    </row>
    <row r="5" customFormat="false" ht="57.75" hidden="false" customHeight="true" outlineLevel="0" collapsed="false">
      <c r="B5" s="26" t="s">
        <v>2555</v>
      </c>
      <c r="C5" s="26"/>
      <c r="D5" s="26"/>
      <c r="E5" s="26"/>
      <c r="F5" s="26"/>
      <c r="G5" s="26"/>
    </row>
    <row r="7" customFormat="false" ht="15" hidden="false" customHeight="false" outlineLevel="0" collapsed="false">
      <c r="B7" s="11" t="s">
        <v>2556</v>
      </c>
      <c r="C7" s="11"/>
      <c r="D7" s="11"/>
      <c r="E7" s="11"/>
      <c r="F7" s="11"/>
      <c r="G7" s="11"/>
    </row>
    <row r="8" customFormat="false" ht="15" hidden="false" customHeight="false" outlineLevel="0" collapsed="false">
      <c r="B8" s="5" t="s">
        <v>2557</v>
      </c>
      <c r="C8" s="5" t="s">
        <v>2558</v>
      </c>
    </row>
    <row r="9" customFormat="false" ht="15" hidden="false" customHeight="false" outlineLevel="0" collapsed="false">
      <c r="B9" s="13" t="s">
        <v>2559</v>
      </c>
      <c r="C9" s="29" t="n">
        <f aca="false">ROUND(INDEX(LINEST('Disease Prediction Data'!$H$5:$H$424,'Disease Prediction Data'!$B$5:$G$424,TRUE(),TRUE()),1,7),5)</f>
        <v>-1.48461</v>
      </c>
    </row>
    <row r="10" customFormat="false" ht="15" hidden="false" customHeight="false" outlineLevel="0" collapsed="false">
      <c r="B10" s="13" t="s">
        <v>39</v>
      </c>
      <c r="C10" s="29" t="n">
        <f aca="false">ROUND(INDEX(LINEST('Disease Prediction Data'!$H$5:$H$424,'Disease Prediction Data'!$B$5:$G$424,TRUE(),TRUE()),1,6),5)</f>
        <v>0.00292</v>
      </c>
    </row>
    <row r="11" customFormat="false" ht="15" hidden="false" customHeight="false" outlineLevel="0" collapsed="false">
      <c r="B11" s="13" t="s">
        <v>1935</v>
      </c>
      <c r="C11" s="29" t="n">
        <f aca="false">ROUND(INDEX(LINEST('Disease Prediction Data'!$H$5:$H$424,'Disease Prediction Data'!$B$5:$G$424,TRUE(),TRUE()),1,5),5)</f>
        <v>0.01139</v>
      </c>
    </row>
    <row r="12" customFormat="false" ht="15" hidden="false" customHeight="false" outlineLevel="0" collapsed="false">
      <c r="B12" s="13" t="s">
        <v>2560</v>
      </c>
      <c r="C12" s="29" t="n">
        <f aca="false">ROUND(INDEX(LINEST('Disease Prediction Data'!$H$5:$H$424,'Disease Prediction Data'!$B$5:$G$424,TRUE(),TRUE()),1,4),5)</f>
        <v>0.00358</v>
      </c>
    </row>
    <row r="13" customFormat="false" ht="15" hidden="false" customHeight="false" outlineLevel="0" collapsed="false">
      <c r="B13" s="13" t="s">
        <v>2561</v>
      </c>
      <c r="C13" s="29" t="n">
        <f aca="false">ROUND(INDEX(LINEST('Disease Prediction Data'!$H$5:$H$424,'Disease Prediction Data'!$B$5:$G$424,TRUE(),TRUE()),1,3),5)</f>
        <v>0.00926</v>
      </c>
    </row>
    <row r="14" customFormat="false" ht="15" hidden="false" customHeight="false" outlineLevel="0" collapsed="false">
      <c r="B14" s="13" t="s">
        <v>2562</v>
      </c>
      <c r="C14" s="29" t="n">
        <f aca="false">ROUND(INDEX(LINEST('Disease Prediction Data'!$H$5:$H$424,'Disease Prediction Data'!$B$5:$G$424,TRUE(),TRUE()),1,2),5)</f>
        <v>0.13224</v>
      </c>
    </row>
    <row r="15" customFormat="false" ht="15" hidden="false" customHeight="false" outlineLevel="0" collapsed="false">
      <c r="B15" s="13" t="s">
        <v>2563</v>
      </c>
      <c r="C15" s="29" t="n">
        <f aca="false">ROUND(INDEX(LINEST('Disease Prediction Data'!$H$5:$H$424,'Disease Prediction Data'!$B$5:$G$424,TRUE(),TRUE()),1,1),5)</f>
        <v>-0.10086</v>
      </c>
    </row>
    <row r="17" customFormat="false" ht="15" hidden="false" customHeight="false" outlineLevel="0" collapsed="false">
      <c r="B17" s="22" t="s">
        <v>2564</v>
      </c>
      <c r="C17" s="30" t="n">
        <f aca="false">ROUND(INDEX(LINEST('Disease Prediction Data'!$H$5:$H$424,'Disease Prediction Data'!$B$5:$G$424,TRUE(),TRUE()),3,1),3)</f>
        <v>0.238</v>
      </c>
    </row>
    <row r="18" customFormat="false" ht="27.75" hidden="false" customHeight="true" outlineLevel="0" collapsed="false">
      <c r="B18" s="31" t="s">
        <v>2565</v>
      </c>
      <c r="C18" s="31"/>
      <c r="D18" s="31"/>
      <c r="E18" s="31"/>
      <c r="F18" s="31"/>
      <c r="G18" s="31"/>
    </row>
    <row r="20" customFormat="false" ht="15" hidden="false" customHeight="false" outlineLevel="0" collapsed="false">
      <c r="B20" s="11" t="s">
        <v>2566</v>
      </c>
      <c r="C20" s="11"/>
      <c r="D20" s="11"/>
    </row>
    <row r="21" customFormat="false" ht="15" hidden="false" customHeight="false" outlineLevel="0" collapsed="false">
      <c r="B21" s="5"/>
      <c r="C21" s="5" t="s">
        <v>2567</v>
      </c>
      <c r="D21" s="5" t="s">
        <v>2568</v>
      </c>
    </row>
    <row r="22" customFormat="false" ht="15" hidden="false" customHeight="false" outlineLevel="0" collapsed="false">
      <c r="B22" s="13" t="s">
        <v>2569</v>
      </c>
      <c r="C22" s="32" t="n">
        <f aca="false">COUNTIFS('Disease Prediction Data'!$K$425:$K$604,"No",'Disease Prediction Data'!$N$425:$N$604,"No")</f>
        <v>107</v>
      </c>
      <c r="D22" s="32" t="n">
        <f aca="false">COUNTIFS('Disease Prediction Data'!$K$425:$K$604,"Yes",'Disease Prediction Data'!$N$425:$N$604,"No")</f>
        <v>38</v>
      </c>
    </row>
    <row r="23" customFormat="false" ht="15" hidden="false" customHeight="false" outlineLevel="0" collapsed="false">
      <c r="B23" s="13" t="s">
        <v>2570</v>
      </c>
      <c r="C23" s="32" t="n">
        <f aca="false">COUNTIFS('Disease Prediction Data'!$K$425:$K$604,"No",'Disease Prediction Data'!$N$425:$N$604,"Yes")</f>
        <v>9</v>
      </c>
      <c r="D23" s="32" t="n">
        <f aca="false">COUNTIFS('Disease Prediction Data'!$K$425:$K$604,"Yes",'Disease Prediction Data'!$N$425:$N$604,"Yes")</f>
        <v>26</v>
      </c>
    </row>
    <row r="25" customFormat="false" ht="15" hidden="false" customHeight="false" outlineLevel="0" collapsed="false">
      <c r="B25" s="11" t="s">
        <v>2571</v>
      </c>
      <c r="C25" s="11"/>
    </row>
    <row r="26" customFormat="false" ht="15" hidden="false" customHeight="false" outlineLevel="0" collapsed="false">
      <c r="B26" s="5" t="s">
        <v>2572</v>
      </c>
      <c r="C26" s="5" t="s">
        <v>2573</v>
      </c>
    </row>
    <row r="27" customFormat="false" ht="15" hidden="false" customHeight="false" outlineLevel="0" collapsed="false">
      <c r="B27" s="13" t="s">
        <v>2574</v>
      </c>
      <c r="C27" s="14" t="n">
        <f aca="false">(D23+C22)/(C22+D22+C23+D23)</f>
        <v>0.738888888888889</v>
      </c>
    </row>
    <row r="28" customFormat="false" ht="15" hidden="false" customHeight="false" outlineLevel="0" collapsed="false">
      <c r="B28" s="13" t="s">
        <v>2575</v>
      </c>
      <c r="C28" s="14" t="n">
        <f aca="false">IF((C23+D23)=0,0,D23/(C23+D23))</f>
        <v>0.742857142857143</v>
      </c>
    </row>
    <row r="29" customFormat="false" ht="15" hidden="false" customHeight="false" outlineLevel="0" collapsed="false">
      <c r="B29" s="13" t="s">
        <v>2576</v>
      </c>
      <c r="C29" s="14" t="n">
        <f aca="false">IF((D22+D23)=0,0,D23/(D22+D23))</f>
        <v>0.40625</v>
      </c>
    </row>
    <row r="30" customFormat="false" ht="15" hidden="false" customHeight="false" outlineLevel="0" collapsed="false">
      <c r="B30" s="13" t="s">
        <v>2577</v>
      </c>
      <c r="C30" s="14" t="n">
        <f aca="false">IF((C28+C29)=0,0,2*C28*C29/(C28+C29))</f>
        <v>0.525252525252525</v>
      </c>
    </row>
  </sheetData>
  <mergeCells count="5">
    <mergeCell ref="B5:G5"/>
    <mergeCell ref="B7:G7"/>
    <mergeCell ref="B18:G18"/>
    <mergeCell ref="B20:D20"/>
    <mergeCell ref="B25:C2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2026-09-18T02:27:08Z</dcterms:created>
  <dc:creator>openpyxl</dc:creator>
  <dc:description/>
  <dc:language>en-US</dc:language>
  <cp:lastModifiedBy/>
  <dcterms:modified xsi:type="dcterms:W3CDTF">2026-09-18T02:27:11Z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