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9.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3.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tables/table3.xml" ContentType="application/vnd.openxmlformats-officedocument.spreadsheetml.table+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drawings/_rels/drawing3.xml.rels" ContentType="application/vnd.openxmlformats-package.relationships+xml"/>
  <Override PartName="/xl/drawings/_rels/drawing2.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10.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Column Dictionary" sheetId="2" state="visible" r:id="rId4"/>
    <sheet name="Raw Data" sheetId="3" state="visible" r:id="rId5"/>
    <sheet name="Data Quality Report" sheetId="4" state="visible" r:id="rId6"/>
    <sheet name="Cleaned Data" sheetId="5" state="visible" r:id="rId7"/>
    <sheet name="Analysis Summary" sheetId="6" state="visible" r:id="rId8"/>
    <sheet name="Visualizations" sheetId="7" state="visible" r:id="rId9"/>
    <sheet name="Pharmacy Sales Data" sheetId="8" state="visible" r:id="rId10"/>
    <sheet name="Pharmacy Sales Analysis" sheetId="9" state="visible" r:id="rId11"/>
  </sheets>
  <definedNames>
    <definedName function="false" hidden="false" localSheetId="4" name="_xlnm.Print_Titles" vbProcedure="false">'Cleaned Data'!$1:$1</definedName>
    <definedName function="false" hidden="false" localSheetId="7" name="_xlnm.Print_Titles" vbProcedure="false">'Pharmacy Sales Data'!$4:$4</definedName>
    <definedName function="false" hidden="false" localSheetId="2" name="_xlnm.Print_Titles" vbProcedure="false">'Raw Data'!$1:$1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<sst xmlns="http://schemas.openxmlformats.org/spreadsheetml/2006/main" count="5120" uniqueCount="1369">
  <si>
    <t xml:space="preserve">Healthcare Data Cleaning &amp; Understanding</t>
  </si>
  <si>
    <t xml:space="preserve">Internship Project — Data Exploration, Cleaning &amp; Basic Analysis</t>
  </si>
  <si>
    <t xml:space="preserve">Objective</t>
  </si>
  <si>
    <t xml:space="preserve">This workbook explores a healthcare dataset containing patient information (age, gender, disease, medication and dosage), identifies the type of each column, cleans missing values and duplicate records, and produces basic analysis such as patient count, common diseases and average age.</t>
  </si>
  <si>
    <t xml:space="preserve">Dataset</t>
  </si>
  <si>
    <t xml:space="preserve">A synthetic but realistic healthcare dataset was generated for this exercise, deliberately including the kinds of problems real hospital data usually has: missing values, inconsistent text formatting (e.g. 'Male' / 'MALE' / 'm'), invalid entries (e.g. impossible ages), and exact duplicate records.</t>
  </si>
  <si>
    <t xml:space="preserve">How this workbook is organized</t>
  </si>
  <si>
    <t xml:space="preserve">•  Column Dictionary — Lists every column, its data type (categorical / numerical / date / identifier) and a description — answers 'what kind of data is in each column'.</t>
  </si>
  <si>
    <t xml:space="preserve">•  Raw Data — The original, uncleaned dataset exactly as collected, including a formula-driven Duplicate_Flag column that detects exact duplicate rows.</t>
  </si>
  <si>
    <t xml:space="preserve">•  Data Quality Report — Missing-value counts per column, duplicate/invalid entry counts, and a written log of every cleaning rule applied and why.</t>
  </si>
  <si>
    <t xml:space="preserve">•  Cleaned Data — The final cleaned dataset after removing duplicates, fixing invalid values and standardizing text — this is the dataset used for analysis.</t>
  </si>
  <si>
    <t xml:space="preserve">•  Analysis Summary — Basic analysis requested by the task: total patient count, average/median age, gender distribution, most common diseases and most prescribed medications, with charts.</t>
  </si>
  <si>
    <t xml:space="preserve">Cleaning approach (summary)</t>
  </si>
  <si>
    <t xml:space="preserve">•  Exact duplicate rows were removed (kept the first occurrence).</t>
  </si>
  <si>
    <t xml:space="preserve">•  Text fields (Gender, Disease, Medication) were trimmed and standardized to a consistent case.</t>
  </si>
  <si>
    <t xml:space="preserve">•  Impossible ages (≤ 0 or &gt; 110) were treated as data-entry errors and reset to missing.</t>
  </si>
  <si>
    <t xml:space="preserve">•  Missing Age was imputed with the dataset median; missing Dosage was imputed with the median dosage for that medication.</t>
  </si>
  <si>
    <t xml:space="preserve">•  Missing Gender/Disease/Medication were labeled 'Unknown' / 'Not Specified' rather than dropping the whole record, to avoid losing information present in the rest of the row.</t>
  </si>
  <si>
    <t xml:space="preserve">•  Missing Admission_Date was left blank — a guessed date would misrepresent the record, so it was not imputed.</t>
  </si>
  <si>
    <t xml:space="preserve">•  Full detail and exact counts are in the Data Quality Report sheet.</t>
  </si>
  <si>
    <t xml:space="preserve">Note on the numbers</t>
  </si>
  <si>
    <t xml:space="preserve">Every count and average in this workbook is a live Excel formula (COUNTIF, AVERAGE, AVERAGEIFS, etc.) referencing the Cleaned Data sheet — not a typed-in number — so the figures recalculate automatically if the underlying data changes.</t>
  </si>
  <si>
    <t xml:space="preserve">Column Dictionary</t>
  </si>
  <si>
    <t xml:space="preserve">What kind of data each column holds</t>
  </si>
  <si>
    <t xml:space="preserve">Column Name</t>
  </si>
  <si>
    <t xml:space="preserve">Data Type</t>
  </si>
  <si>
    <t xml:space="preserve">Category</t>
  </si>
  <si>
    <t xml:space="preserve">Description</t>
  </si>
  <si>
    <t xml:space="preserve">Example Value</t>
  </si>
  <si>
    <t xml:space="preserve">PatientID</t>
  </si>
  <si>
    <t xml:space="preserve">Text (unique code)</t>
  </si>
  <si>
    <t xml:space="preserve">Identifier</t>
  </si>
  <si>
    <t xml:space="preserve">Unique ID assigned to each patient record</t>
  </si>
  <si>
    <t xml:space="preserve">PT0001</t>
  </si>
  <si>
    <t xml:space="preserve">Name</t>
  </si>
  <si>
    <t xml:space="preserve">Text</t>
  </si>
  <si>
    <t xml:space="preserve">Categorical (nominal)</t>
  </si>
  <si>
    <t xml:space="preserve">Patient's full name</t>
  </si>
  <si>
    <t xml:space="preserve">Priya Sharma</t>
  </si>
  <si>
    <t xml:space="preserve">Age</t>
  </si>
  <si>
    <t xml:space="preserve">Numeric (integer)</t>
  </si>
  <si>
    <t xml:space="preserve">Numerical (discrete)</t>
  </si>
  <si>
    <t xml:space="preserve">Patient's age in years</t>
  </si>
  <si>
    <t xml:space="preserve">45</t>
  </si>
  <si>
    <t xml:space="preserve">Gender</t>
  </si>
  <si>
    <t xml:space="preserve">Patient's gender</t>
  </si>
  <si>
    <t xml:space="preserve">Male</t>
  </si>
  <si>
    <t xml:space="preserve">Disease</t>
  </si>
  <si>
    <t xml:space="preserve">Diagnosed medical condition</t>
  </si>
  <si>
    <t xml:space="preserve">Hypertension</t>
  </si>
  <si>
    <t xml:space="preserve">Medication</t>
  </si>
  <si>
    <t xml:space="preserve">Medication prescribed for the disease</t>
  </si>
  <si>
    <t xml:space="preserve">Amlodipine</t>
  </si>
  <si>
    <t xml:space="preserve">Dosage_mg</t>
  </si>
  <si>
    <t xml:space="preserve">Numeric (continuous)</t>
  </si>
  <si>
    <t xml:space="preserve">Numerical</t>
  </si>
  <si>
    <t xml:space="preserve">Prescribed dosage, in milligrams</t>
  </si>
  <si>
    <t xml:space="preserve">10</t>
  </si>
  <si>
    <t xml:space="preserve">Admission_Date</t>
  </si>
  <si>
    <t xml:space="preserve">Date</t>
  </si>
  <si>
    <t xml:space="preserve">Date / Time</t>
  </si>
  <si>
    <t xml:space="preserve">Date the patient was admitted</t>
  </si>
  <si>
    <t xml:space="preserve">2025-03-14</t>
  </si>
  <si>
    <t xml:space="preserve">RowKey (helper)</t>
  </si>
  <si>
    <t xml:space="preserve">Duplicate_Flag</t>
  </si>
  <si>
    <t xml:space="preserve">PT0137</t>
  </si>
  <si>
    <t xml:space="preserve">Rohit Nair</t>
  </si>
  <si>
    <t xml:space="preserve">M</t>
  </si>
  <si>
    <t xml:space="preserve">Arthritis</t>
  </si>
  <si>
    <t xml:space="preserve">Ibuprofen</t>
  </si>
  <si>
    <t xml:space="preserve">PT0035</t>
  </si>
  <si>
    <t xml:space="preserve">Alok Mishra</t>
  </si>
  <si>
    <t xml:space="preserve">Diabetes</t>
  </si>
  <si>
    <t xml:space="preserve"> Metformin </t>
  </si>
  <si>
    <t xml:space="preserve">PT0214</t>
  </si>
  <si>
    <t xml:space="preserve">Vinod Chauhan</t>
  </si>
  <si>
    <t xml:space="preserve"> Male</t>
  </si>
  <si>
    <t xml:space="preserve"> Depression </t>
  </si>
  <si>
    <t xml:space="preserve">SERTRALINE</t>
  </si>
  <si>
    <t xml:space="preserve">PT0088</t>
  </si>
  <si>
    <t xml:space="preserve">Payal Shukla</t>
  </si>
  <si>
    <t xml:space="preserve">female</t>
  </si>
  <si>
    <t xml:space="preserve">Diabetes  </t>
  </si>
  <si>
    <t xml:space="preserve">PT0198</t>
  </si>
  <si>
    <t xml:space="preserve">Sanjay Shukla</t>
  </si>
  <si>
    <t xml:space="preserve">MALE</t>
  </si>
  <si>
    <t xml:space="preserve"> Flu </t>
  </si>
  <si>
    <t xml:space="preserve">Paracetamol  </t>
  </si>
  <si>
    <t xml:space="preserve">PT0002</t>
  </si>
  <si>
    <t xml:space="preserve">Priya Gupta</t>
  </si>
  <si>
    <t xml:space="preserve">Female</t>
  </si>
  <si>
    <t xml:space="preserve"> Diabetes </t>
  </si>
  <si>
    <t xml:space="preserve">metformin</t>
  </si>
  <si>
    <t xml:space="preserve">PT0142</t>
  </si>
  <si>
    <t xml:space="preserve">Ritu Pandey</t>
  </si>
  <si>
    <t xml:space="preserve">F</t>
  </si>
  <si>
    <t xml:space="preserve">HYPERTENSION</t>
  </si>
  <si>
    <t xml:space="preserve">amlodipine</t>
  </si>
  <si>
    <t xml:space="preserve">PT0150</t>
  </si>
  <si>
    <t xml:space="preserve">Suresh Joshi</t>
  </si>
  <si>
    <t xml:space="preserve">hypertension</t>
  </si>
  <si>
    <t xml:space="preserve">AMLODIPINE</t>
  </si>
  <si>
    <t xml:space="preserve">PT0074</t>
  </si>
  <si>
    <t xml:space="preserve">Sarita Reddy</t>
  </si>
  <si>
    <t xml:space="preserve"> Female</t>
  </si>
  <si>
    <t xml:space="preserve"> Asthma </t>
  </si>
  <si>
    <t xml:space="preserve">SALBUTAMOL</t>
  </si>
  <si>
    <t xml:space="preserve">PT0095</t>
  </si>
  <si>
    <t xml:space="preserve">Preeti Agarwal</t>
  </si>
  <si>
    <t xml:space="preserve">f</t>
  </si>
  <si>
    <t xml:space="preserve"> Amlodipine </t>
  </si>
  <si>
    <t xml:space="preserve">PT0011</t>
  </si>
  <si>
    <t xml:space="preserve">Gopal Rao</t>
  </si>
  <si>
    <t xml:space="preserve">male</t>
  </si>
  <si>
    <t xml:space="preserve">bronchitis</t>
  </si>
  <si>
    <t xml:space="preserve">Azithromycin</t>
  </si>
  <si>
    <t xml:space="preserve">PT0015</t>
  </si>
  <si>
    <t xml:space="preserve">Arjun Rathore</t>
  </si>
  <si>
    <t xml:space="preserve">salbutamol</t>
  </si>
  <si>
    <t xml:space="preserve">PT0182</t>
  </si>
  <si>
    <t xml:space="preserve">Lata Sharma</t>
  </si>
  <si>
    <t xml:space="preserve">FEMALE</t>
  </si>
  <si>
    <t xml:space="preserve"> Hypertension </t>
  </si>
  <si>
    <t xml:space="preserve">PT0203</t>
  </si>
  <si>
    <t xml:space="preserve">Usha Verma</t>
  </si>
  <si>
    <t xml:space="preserve">diabetes</t>
  </si>
  <si>
    <t xml:space="preserve">Metformin  </t>
  </si>
  <si>
    <t xml:space="preserve">PT0032</t>
  </si>
  <si>
    <t xml:space="preserve">Gopal Singh</t>
  </si>
  <si>
    <t xml:space="preserve">PT0151</t>
  </si>
  <si>
    <t xml:space="preserve">Swati Verma</t>
  </si>
  <si>
    <t xml:space="preserve">Female </t>
  </si>
  <si>
    <t xml:space="preserve">PT0069</t>
  </si>
  <si>
    <t xml:space="preserve">Karan Kumar</t>
  </si>
  <si>
    <t xml:space="preserve"> Migraine </t>
  </si>
  <si>
    <t xml:space="preserve">Sumatriptan  </t>
  </si>
  <si>
    <t xml:space="preserve">PT0144</t>
  </si>
  <si>
    <t xml:space="preserve">Ramesh Reddy</t>
  </si>
  <si>
    <t xml:space="preserve">THYROID DISORDER</t>
  </si>
  <si>
    <t xml:space="preserve"> Levothyroxine </t>
  </si>
  <si>
    <t xml:space="preserve">PT0108</t>
  </si>
  <si>
    <t xml:space="preserve">Divya Kumar</t>
  </si>
  <si>
    <t xml:space="preserve">PT0218</t>
  </si>
  <si>
    <t xml:space="preserve">Swati Choudhary</t>
  </si>
  <si>
    <t xml:space="preserve">MIGRAINE</t>
  </si>
  <si>
    <t xml:space="preserve">Sumatriptan</t>
  </si>
  <si>
    <t xml:space="preserve">PT0162</t>
  </si>
  <si>
    <t xml:space="preserve">Pooja Rao</t>
  </si>
  <si>
    <t xml:space="preserve">Depression</t>
  </si>
  <si>
    <t xml:space="preserve"> Sertraline </t>
  </si>
  <si>
    <t xml:space="preserve">PT0202</t>
  </si>
  <si>
    <t xml:space="preserve">Suman Choudhary</t>
  </si>
  <si>
    <t xml:space="preserve">PT0055</t>
  </si>
  <si>
    <t xml:space="preserve"> Anemia </t>
  </si>
  <si>
    <t xml:space="preserve">Ferrous Sulfate</t>
  </si>
  <si>
    <t xml:space="preserve">PT0160</t>
  </si>
  <si>
    <t xml:space="preserve">Dinesh Yadav</t>
  </si>
  <si>
    <t xml:space="preserve">sumatriptan</t>
  </si>
  <si>
    <t xml:space="preserve">PT0037</t>
  </si>
  <si>
    <t xml:space="preserve">Sarita Rao</t>
  </si>
  <si>
    <t xml:space="preserve">PT0084</t>
  </si>
  <si>
    <t xml:space="preserve">Nisha Nair</t>
  </si>
  <si>
    <t xml:space="preserve">Hypertension  </t>
  </si>
  <si>
    <t xml:space="preserve">PT0057</t>
  </si>
  <si>
    <t xml:space="preserve">Ritu Verma</t>
  </si>
  <si>
    <t xml:space="preserve">OBESITY</t>
  </si>
  <si>
    <t xml:space="preserve">Orlistat</t>
  </si>
  <si>
    <t xml:space="preserve">PT0225</t>
  </si>
  <si>
    <t xml:space="preserve">Arjun Yadav</t>
  </si>
  <si>
    <t xml:space="preserve">PT0208</t>
  </si>
  <si>
    <t xml:space="preserve">Usha Joshi</t>
  </si>
  <si>
    <t xml:space="preserve">obesity</t>
  </si>
  <si>
    <t xml:space="preserve">orlistat</t>
  </si>
  <si>
    <t xml:space="preserve">PT0190</t>
  </si>
  <si>
    <t xml:space="preserve">Rakesh Rao</t>
  </si>
  <si>
    <t xml:space="preserve">ARTHRITIS</t>
  </si>
  <si>
    <t xml:space="preserve">PT0229</t>
  </si>
  <si>
    <t xml:space="preserve">Nitin Reddy</t>
  </si>
  <si>
    <t xml:space="preserve">Bronchitis  </t>
  </si>
  <si>
    <t xml:space="preserve">PT0178</t>
  </si>
  <si>
    <t xml:space="preserve">Neha Singh</t>
  </si>
  <si>
    <t xml:space="preserve">PT0219</t>
  </si>
  <si>
    <t xml:space="preserve">Pooja Verma</t>
  </si>
  <si>
    <t xml:space="preserve">Obesity  </t>
  </si>
  <si>
    <t xml:space="preserve">PT0100</t>
  </si>
  <si>
    <t xml:space="preserve">Vijay Tiwari</t>
  </si>
  <si>
    <t xml:space="preserve">Allergy</t>
  </si>
  <si>
    <t xml:space="preserve">Cetirizine  </t>
  </si>
  <si>
    <t xml:space="preserve">PT0070</t>
  </si>
  <si>
    <t xml:space="preserve">Dinesh Mishra</t>
  </si>
  <si>
    <t xml:space="preserve">Male </t>
  </si>
  <si>
    <t xml:space="preserve">PT0209</t>
  </si>
  <si>
    <t xml:space="preserve">Kavita Mishra</t>
  </si>
  <si>
    <t xml:space="preserve">Amlodipine  </t>
  </si>
  <si>
    <t xml:space="preserve">PT0040</t>
  </si>
  <si>
    <t xml:space="preserve">Mahesh Mishra</t>
  </si>
  <si>
    <t xml:space="preserve">FLU</t>
  </si>
  <si>
    <t xml:space="preserve">PT0167</t>
  </si>
  <si>
    <t xml:space="preserve">Rekha Nair</t>
  </si>
  <si>
    <t xml:space="preserve">Arthritis  </t>
  </si>
  <si>
    <t xml:space="preserve">Ibuprofen  </t>
  </si>
  <si>
    <t xml:space="preserve">PT0077</t>
  </si>
  <si>
    <t xml:space="preserve">Ashok Joshi</t>
  </si>
  <si>
    <t xml:space="preserve">m</t>
  </si>
  <si>
    <t xml:space="preserve">PT0199</t>
  </si>
  <si>
    <t xml:space="preserve">Vandana Chauhan</t>
  </si>
  <si>
    <t xml:space="preserve">PT0091</t>
  </si>
  <si>
    <t xml:space="preserve">Vinod Yadav</t>
  </si>
  <si>
    <t xml:space="preserve">PT0161</t>
  </si>
  <si>
    <t xml:space="preserve">Amit Choudhary</t>
  </si>
  <si>
    <t xml:space="preserve">allergy</t>
  </si>
  <si>
    <t xml:space="preserve"> Cetirizine </t>
  </si>
  <si>
    <t xml:space="preserve">PT0036</t>
  </si>
  <si>
    <t xml:space="preserve">Priya Shukla</t>
  </si>
  <si>
    <t xml:space="preserve">Metformin</t>
  </si>
  <si>
    <t xml:space="preserve">PT0175</t>
  </si>
  <si>
    <t xml:space="preserve">Gopal Saxena</t>
  </si>
  <si>
    <t xml:space="preserve">PARACETAMOL</t>
  </si>
  <si>
    <t xml:space="preserve">PT0101</t>
  </si>
  <si>
    <t xml:space="preserve">Mahesh Shukla</t>
  </si>
  <si>
    <t xml:space="preserve">flu</t>
  </si>
  <si>
    <t xml:space="preserve">paracetamol</t>
  </si>
  <si>
    <t xml:space="preserve">PT0060</t>
  </si>
  <si>
    <t xml:space="preserve">Ashok Chauhan</t>
  </si>
  <si>
    <t xml:space="preserve">Gastritis</t>
  </si>
  <si>
    <t xml:space="preserve">OMEPRAZOLE</t>
  </si>
  <si>
    <t xml:space="preserve">PT0073</t>
  </si>
  <si>
    <t xml:space="preserve">Pooja Sharma</t>
  </si>
  <si>
    <t xml:space="preserve"> Allergy </t>
  </si>
  <si>
    <t xml:space="preserve">PT0063</t>
  </si>
  <si>
    <t xml:space="preserve">Sarita Pandey</t>
  </si>
  <si>
    <t xml:space="preserve">asthma</t>
  </si>
  <si>
    <t xml:space="preserve"> Salbutamol </t>
  </si>
  <si>
    <t xml:space="preserve">PT0105</t>
  </si>
  <si>
    <t xml:space="preserve">Vijay Agarwal</t>
  </si>
  <si>
    <t xml:space="preserve">DIABETES</t>
  </si>
  <si>
    <t xml:space="preserve">METFORMIN</t>
  </si>
  <si>
    <t xml:space="preserve">PT0009</t>
  </si>
  <si>
    <t xml:space="preserve">Shalini Rathore</t>
  </si>
  <si>
    <t xml:space="preserve">Migraine  </t>
  </si>
  <si>
    <t xml:space="preserve"> Sumatriptan </t>
  </si>
  <si>
    <t xml:space="preserve">PT0052</t>
  </si>
  <si>
    <t xml:space="preserve">Shweta Choudhary</t>
  </si>
  <si>
    <t xml:space="preserve"> Ibuprofen </t>
  </si>
  <si>
    <t xml:space="preserve">PT0192</t>
  </si>
  <si>
    <t xml:space="preserve">Manju Reddy</t>
  </si>
  <si>
    <t xml:space="preserve">PT0019</t>
  </si>
  <si>
    <t xml:space="preserve">Suman Pandey</t>
  </si>
  <si>
    <t xml:space="preserve">PT0110</t>
  </si>
  <si>
    <t xml:space="preserve">Suman Sharma</t>
  </si>
  <si>
    <t xml:space="preserve">anemia</t>
  </si>
  <si>
    <t xml:space="preserve"> Ferrous Sulfate </t>
  </si>
  <si>
    <t xml:space="preserve">PT0194</t>
  </si>
  <si>
    <t xml:space="preserve">Alok Rao</t>
  </si>
  <si>
    <t xml:space="preserve">COVID-19</t>
  </si>
  <si>
    <t xml:space="preserve"> Favipiravir </t>
  </si>
  <si>
    <t xml:space="preserve">PT0080</t>
  </si>
  <si>
    <t xml:space="preserve">Kiran Yadav</t>
  </si>
  <si>
    <t xml:space="preserve">ANEMIA</t>
  </si>
  <si>
    <t xml:space="preserve">PT0223</t>
  </si>
  <si>
    <t xml:space="preserve">Ajay Tiwari</t>
  </si>
  <si>
    <t xml:space="preserve">ALLERGY</t>
  </si>
  <si>
    <t xml:space="preserve">Cetirizine</t>
  </si>
  <si>
    <t xml:space="preserve">PT0049</t>
  </si>
  <si>
    <t xml:space="preserve">Manoj Verma</t>
  </si>
  <si>
    <t xml:space="preserve">PT0045</t>
  </si>
  <si>
    <t xml:space="preserve">Shweta Gupta</t>
  </si>
  <si>
    <t xml:space="preserve">PT0173</t>
  </si>
  <si>
    <t xml:space="preserve">IBUPROFEN</t>
  </si>
  <si>
    <t xml:space="preserve">PT0207</t>
  </si>
  <si>
    <t xml:space="preserve">Rakesh Shukla</t>
  </si>
  <si>
    <t xml:space="preserve">PT0149</t>
  </si>
  <si>
    <t xml:space="preserve">Lata Agarwal</t>
  </si>
  <si>
    <t xml:space="preserve">PT0154</t>
  </si>
  <si>
    <t xml:space="preserve">Priya Joshi</t>
  </si>
  <si>
    <t xml:space="preserve">PT0153</t>
  </si>
  <si>
    <t xml:space="preserve">Deepak Nair</t>
  </si>
  <si>
    <t xml:space="preserve">Salbutamol</t>
  </si>
  <si>
    <t xml:space="preserve">PT0042</t>
  </si>
  <si>
    <t xml:space="preserve">Sanjay Chauhan</t>
  </si>
  <si>
    <t xml:space="preserve">PT0050</t>
  </si>
  <si>
    <t xml:space="preserve">Gopal Tiwari</t>
  </si>
  <si>
    <t xml:space="preserve">PT0220</t>
  </si>
  <si>
    <t xml:space="preserve">Anil Verma</t>
  </si>
  <si>
    <t xml:space="preserve">PT0075</t>
  </si>
  <si>
    <t xml:space="preserve">PT0156</t>
  </si>
  <si>
    <t xml:space="preserve">Kiran Nair</t>
  </si>
  <si>
    <t xml:space="preserve">PT0066</t>
  </si>
  <si>
    <t xml:space="preserve">Radha Shukla</t>
  </si>
  <si>
    <t xml:space="preserve">PT0204</t>
  </si>
  <si>
    <t xml:space="preserve">Kavita Sharma</t>
  </si>
  <si>
    <t xml:space="preserve">PT0056</t>
  </si>
  <si>
    <t xml:space="preserve">PT0129</t>
  </si>
  <si>
    <t xml:space="preserve">Nisha Chauhan</t>
  </si>
  <si>
    <t xml:space="preserve">PT0007</t>
  </si>
  <si>
    <t xml:space="preserve">Alok Rathore</t>
  </si>
  <si>
    <t xml:space="preserve">PT0068</t>
  </si>
  <si>
    <t xml:space="preserve">Ravi Joshi</t>
  </si>
  <si>
    <t xml:space="preserve">Flu</t>
  </si>
  <si>
    <t xml:space="preserve"> Paracetamol </t>
  </si>
  <si>
    <t xml:space="preserve">PT0123</t>
  </si>
  <si>
    <t xml:space="preserve">Suman Saxena</t>
  </si>
  <si>
    <t xml:space="preserve">PT0109</t>
  </si>
  <si>
    <t xml:space="preserve">PT0065</t>
  </si>
  <si>
    <t xml:space="preserve">Praveen Agarwal</t>
  </si>
  <si>
    <t xml:space="preserve">PT0086</t>
  </si>
  <si>
    <t xml:space="preserve">Rakesh Choudhary</t>
  </si>
  <si>
    <t xml:space="preserve">migraine</t>
  </si>
  <si>
    <t xml:space="preserve">PT0216</t>
  </si>
  <si>
    <t xml:space="preserve">Seema Joshi</t>
  </si>
  <si>
    <t xml:space="preserve">PT0201</t>
  </si>
  <si>
    <t xml:space="preserve">Naveen Saxena</t>
  </si>
  <si>
    <t xml:space="preserve">azithromycin</t>
  </si>
  <si>
    <t xml:space="preserve">PT0164</t>
  </si>
  <si>
    <t xml:space="preserve">Sandeep Gupta</t>
  </si>
  <si>
    <t xml:space="preserve">PT0076</t>
  </si>
  <si>
    <t xml:space="preserve">Preeti Joshi</t>
  </si>
  <si>
    <t xml:space="preserve">ibuprofen</t>
  </si>
  <si>
    <t xml:space="preserve">PT0119</t>
  </si>
  <si>
    <t xml:space="preserve">Priya Pandey</t>
  </si>
  <si>
    <t xml:space="preserve">PT0196</t>
  </si>
  <si>
    <t xml:space="preserve">PT0054</t>
  </si>
  <si>
    <t xml:space="preserve">Harish Pandey</t>
  </si>
  <si>
    <t xml:space="preserve">Favipiravir</t>
  </si>
  <si>
    <t xml:space="preserve">PT0102</t>
  </si>
  <si>
    <t xml:space="preserve">Geeta Chauhan</t>
  </si>
  <si>
    <t xml:space="preserve">PT0140</t>
  </si>
  <si>
    <t xml:space="preserve">Naveen Yadav</t>
  </si>
  <si>
    <t xml:space="preserve">Flu  </t>
  </si>
  <si>
    <t xml:space="preserve">PT0120</t>
  </si>
  <si>
    <t xml:space="preserve">Sunil Joshi</t>
  </si>
  <si>
    <t xml:space="preserve">PT0189</t>
  </si>
  <si>
    <t xml:space="preserve">Vijay Gupta</t>
  </si>
  <si>
    <t xml:space="preserve">PT0059</t>
  </si>
  <si>
    <t xml:space="preserve">Geeta Gupta</t>
  </si>
  <si>
    <t xml:space="preserve">PT0028</t>
  </si>
  <si>
    <t xml:space="preserve">Rakesh Mishra</t>
  </si>
  <si>
    <t xml:space="preserve">PT0051</t>
  </si>
  <si>
    <t xml:space="preserve">Ashok Sharma</t>
  </si>
  <si>
    <t xml:space="preserve">Ferrous Sulfate  </t>
  </si>
  <si>
    <t xml:space="preserve">PT0186</t>
  </si>
  <si>
    <t xml:space="preserve">Dinesh Rao</t>
  </si>
  <si>
    <t xml:space="preserve">PT0210</t>
  </si>
  <si>
    <t xml:space="preserve">Preeti Kumar</t>
  </si>
  <si>
    <t xml:space="preserve">PT0026</t>
  </si>
  <si>
    <t xml:space="preserve">Sunil Patel</t>
  </si>
  <si>
    <t xml:space="preserve">PT0079</t>
  </si>
  <si>
    <t xml:space="preserve">cetirizine</t>
  </si>
  <si>
    <t xml:space="preserve">PT0033</t>
  </si>
  <si>
    <t xml:space="preserve">Meena Rao</t>
  </si>
  <si>
    <t xml:space="preserve">PT0112</t>
  </si>
  <si>
    <t xml:space="preserve">Rakesh Agarwal</t>
  </si>
  <si>
    <t xml:space="preserve">Salbutamol  </t>
  </si>
  <si>
    <t xml:space="preserve">PT0139</t>
  </si>
  <si>
    <t xml:space="preserve">Swati Reddy</t>
  </si>
  <si>
    <t xml:space="preserve">FERROUS SULFATE</t>
  </si>
  <si>
    <t xml:space="preserve">PT0093</t>
  </si>
  <si>
    <t xml:space="preserve">Suresh Choudhary</t>
  </si>
  <si>
    <t xml:space="preserve">PT0096</t>
  </si>
  <si>
    <t xml:space="preserve">Mahesh Rathore</t>
  </si>
  <si>
    <t xml:space="preserve">PT0030</t>
  </si>
  <si>
    <t xml:space="preserve">Komal Choudhary</t>
  </si>
  <si>
    <t xml:space="preserve">PT0158</t>
  </si>
  <si>
    <t xml:space="preserve">Dinesh Verma</t>
  </si>
  <si>
    <t xml:space="preserve">PT0018</t>
  </si>
  <si>
    <t xml:space="preserve">Mahesh Rao</t>
  </si>
  <si>
    <t xml:space="preserve"> Bronchitis </t>
  </si>
  <si>
    <t xml:space="preserve">PT0193</t>
  </si>
  <si>
    <t xml:space="preserve">Kavita Rathore</t>
  </si>
  <si>
    <t xml:space="preserve">BRONCHITIS</t>
  </si>
  <si>
    <t xml:space="preserve">PT0022</t>
  </si>
  <si>
    <t xml:space="preserve">ASTHMA</t>
  </si>
  <si>
    <t xml:space="preserve">PT0006</t>
  </si>
  <si>
    <t xml:space="preserve">Puneet Shukla</t>
  </si>
  <si>
    <t xml:space="preserve">PT0211</t>
  </si>
  <si>
    <t xml:space="preserve">Harish Rathore</t>
  </si>
  <si>
    <t xml:space="preserve">PT0090</t>
  </si>
  <si>
    <t xml:space="preserve">Lata Verma</t>
  </si>
  <si>
    <t xml:space="preserve">Bronchitis</t>
  </si>
  <si>
    <t xml:space="preserve">PT0048</t>
  </si>
  <si>
    <t xml:space="preserve">Meena Chauhan</t>
  </si>
  <si>
    <t xml:space="preserve">PT0034</t>
  </si>
  <si>
    <t xml:space="preserve">Ritu Rao</t>
  </si>
  <si>
    <t xml:space="preserve">PT0071</t>
  </si>
  <si>
    <t xml:space="preserve">Sunita Mishra</t>
  </si>
  <si>
    <t xml:space="preserve">PT0038</t>
  </si>
  <si>
    <t xml:space="preserve">Ashok Verma</t>
  </si>
  <si>
    <t xml:space="preserve">PT0103</t>
  </si>
  <si>
    <t xml:space="preserve">PT0082</t>
  </si>
  <si>
    <t xml:space="preserve">Rahul Choudhary</t>
  </si>
  <si>
    <t xml:space="preserve">Paracetamol</t>
  </si>
  <si>
    <t xml:space="preserve">PT0227</t>
  </si>
  <si>
    <t xml:space="preserve">Praveen Rathore</t>
  </si>
  <si>
    <t xml:space="preserve">thyroid disorder</t>
  </si>
  <si>
    <t xml:space="preserve">Levothyroxine</t>
  </si>
  <si>
    <t xml:space="preserve">PT0046</t>
  </si>
  <si>
    <t xml:space="preserve">Karan Reddy</t>
  </si>
  <si>
    <t xml:space="preserve">PT0044</t>
  </si>
  <si>
    <t xml:space="preserve">Suresh Gupta</t>
  </si>
  <si>
    <t xml:space="preserve">Asthma  </t>
  </si>
  <si>
    <t xml:space="preserve">PT0222</t>
  </si>
  <si>
    <t xml:space="preserve">Amit Chauhan</t>
  </si>
  <si>
    <t xml:space="preserve">PT0132</t>
  </si>
  <si>
    <t xml:space="preserve">PT0117</t>
  </si>
  <si>
    <t xml:space="preserve">PT0169</t>
  </si>
  <si>
    <t xml:space="preserve">PT0116</t>
  </si>
  <si>
    <t xml:space="preserve">Komal Joshi</t>
  </si>
  <si>
    <t xml:space="preserve">PT0136</t>
  </si>
  <si>
    <t xml:space="preserve">Gopal Yadav</t>
  </si>
  <si>
    <t xml:space="preserve">PT0122</t>
  </si>
  <si>
    <t xml:space="preserve">Puneet Tiwari</t>
  </si>
  <si>
    <t xml:space="preserve">PT0171</t>
  </si>
  <si>
    <t xml:space="preserve">Yogesh Yadav</t>
  </si>
  <si>
    <t xml:space="preserve">Orlistat  </t>
  </si>
  <si>
    <t xml:space="preserve">PT0138</t>
  </si>
  <si>
    <t xml:space="preserve">Praveen Yadav</t>
  </si>
  <si>
    <t xml:space="preserve">PT0183</t>
  </si>
  <si>
    <t xml:space="preserve">Kavita Nair</t>
  </si>
  <si>
    <t xml:space="preserve">PT0094</t>
  </si>
  <si>
    <t xml:space="preserve">Sanjay Gupta</t>
  </si>
  <si>
    <t xml:space="preserve"> Arthritis </t>
  </si>
  <si>
    <t xml:space="preserve">PT0053</t>
  </si>
  <si>
    <t xml:space="preserve">Shweta Verma</t>
  </si>
  <si>
    <t xml:space="preserve">PT0131</t>
  </si>
  <si>
    <t xml:space="preserve">Anjali Tiwari</t>
  </si>
  <si>
    <t xml:space="preserve">PT0078</t>
  </si>
  <si>
    <t xml:space="preserve">Manoj Reddy</t>
  </si>
  <si>
    <t xml:space="preserve">Asthma</t>
  </si>
  <si>
    <t xml:space="preserve">PT0024</t>
  </si>
  <si>
    <t xml:space="preserve">Nitin Gupta</t>
  </si>
  <si>
    <t xml:space="preserve">FAVIPIRAVIR</t>
  </si>
  <si>
    <t xml:space="preserve">Rahul Tiwari</t>
  </si>
  <si>
    <t xml:space="preserve">PT0166</t>
  </si>
  <si>
    <t xml:space="preserve">Vandana Tiwari</t>
  </si>
  <si>
    <t xml:space="preserve">PT0185</t>
  </si>
  <si>
    <t xml:space="preserve">PT0010</t>
  </si>
  <si>
    <t xml:space="preserve">Ashok Mishra</t>
  </si>
  <si>
    <t xml:space="preserve">PT0230</t>
  </si>
  <si>
    <t xml:space="preserve">Neha Kumar</t>
  </si>
  <si>
    <t xml:space="preserve"> Obesity </t>
  </si>
  <si>
    <t xml:space="preserve">ORLISTAT</t>
  </si>
  <si>
    <t xml:space="preserve">PT0163</t>
  </si>
  <si>
    <t xml:space="preserve">Manoj Kumar</t>
  </si>
  <si>
    <t xml:space="preserve">PT0043</t>
  </si>
  <si>
    <t xml:space="preserve">Ajay Joshi</t>
  </si>
  <si>
    <t xml:space="preserve">PT0005</t>
  </si>
  <si>
    <t xml:space="preserve">PT0155</t>
  </si>
  <si>
    <t xml:space="preserve">PT0031</t>
  </si>
  <si>
    <t xml:space="preserve">Sanjay Singh</t>
  </si>
  <si>
    <t xml:space="preserve">PT0184</t>
  </si>
  <si>
    <t xml:space="preserve">Pooja Tiwari</t>
  </si>
  <si>
    <t xml:space="preserve">PT0128</t>
  </si>
  <si>
    <t xml:space="preserve">Manju Pandey</t>
  </si>
  <si>
    <t xml:space="preserve">PT0023</t>
  </si>
  <si>
    <t xml:space="preserve">Nitin Agarwal</t>
  </si>
  <si>
    <t xml:space="preserve">PT0115</t>
  </si>
  <si>
    <t xml:space="preserve">Suresh Rao</t>
  </si>
  <si>
    <t xml:space="preserve">PT0147</t>
  </si>
  <si>
    <t xml:space="preserve">Arjun Gupta</t>
  </si>
  <si>
    <t xml:space="preserve">depression</t>
  </si>
  <si>
    <t xml:space="preserve">PT0114</t>
  </si>
  <si>
    <t xml:space="preserve">PT0118</t>
  </si>
  <si>
    <t xml:space="preserve">Radha Gupta</t>
  </si>
  <si>
    <t xml:space="preserve">PT0021</t>
  </si>
  <si>
    <t xml:space="preserve">Lata Reddy</t>
  </si>
  <si>
    <t xml:space="preserve">PT0061</t>
  </si>
  <si>
    <t xml:space="preserve">Geeta Verma</t>
  </si>
  <si>
    <t xml:space="preserve">PT0104</t>
  </si>
  <si>
    <t xml:space="preserve">Migraine</t>
  </si>
  <si>
    <t xml:space="preserve">SUMATRIPTAN</t>
  </si>
  <si>
    <t xml:space="preserve">PT0097</t>
  </si>
  <si>
    <t xml:space="preserve">Nitin Nair</t>
  </si>
  <si>
    <t xml:space="preserve">PT0213</t>
  </si>
  <si>
    <t xml:space="preserve">Preeti Nair</t>
  </si>
  <si>
    <t xml:space="preserve">PT0141</t>
  </si>
  <si>
    <t xml:space="preserve">Preeti Rao</t>
  </si>
  <si>
    <t xml:space="preserve">sertraline</t>
  </si>
  <si>
    <t xml:space="preserve">PT0205</t>
  </si>
  <si>
    <t xml:space="preserve">Divya Mishra</t>
  </si>
  <si>
    <t xml:space="preserve">PT0179</t>
  </si>
  <si>
    <t xml:space="preserve">Swati Mishra</t>
  </si>
  <si>
    <t xml:space="preserve">PT0013</t>
  </si>
  <si>
    <t xml:space="preserve">Rakesh Chauhan</t>
  </si>
  <si>
    <t xml:space="preserve">PT0072</t>
  </si>
  <si>
    <t xml:space="preserve">Rakesh Patel</t>
  </si>
  <si>
    <t xml:space="preserve">ferrous sulfate</t>
  </si>
  <si>
    <t xml:space="preserve">PT0085</t>
  </si>
  <si>
    <t xml:space="preserve">Arjun Kumar</t>
  </si>
  <si>
    <t xml:space="preserve">PT0062</t>
  </si>
  <si>
    <t xml:space="preserve">Praveen Singh</t>
  </si>
  <si>
    <t xml:space="preserve">PT0083</t>
  </si>
  <si>
    <t xml:space="preserve">Kiran Pandey</t>
  </si>
  <si>
    <t xml:space="preserve">PT0126</t>
  </si>
  <si>
    <t xml:space="preserve">Radha Choudhary</t>
  </si>
  <si>
    <t xml:space="preserve">PT0020</t>
  </si>
  <si>
    <t xml:space="preserve">Dinesh Kumar</t>
  </si>
  <si>
    <t xml:space="preserve">PT0127</t>
  </si>
  <si>
    <t xml:space="preserve">Rakesh Verma</t>
  </si>
  <si>
    <t xml:space="preserve">PT0121</t>
  </si>
  <si>
    <t xml:space="preserve">Gopal Choudhary</t>
  </si>
  <si>
    <t xml:space="preserve">PT0130</t>
  </si>
  <si>
    <t xml:space="preserve">Obesity</t>
  </si>
  <si>
    <t xml:space="preserve">PT0029</t>
  </si>
  <si>
    <t xml:space="preserve">Sunita Chauhan</t>
  </si>
  <si>
    <t xml:space="preserve">PT0188</t>
  </si>
  <si>
    <t xml:space="preserve">Radha Tiwari</t>
  </si>
  <si>
    <t xml:space="preserve">PT0003</t>
  </si>
  <si>
    <t xml:space="preserve">PT0014</t>
  </si>
  <si>
    <t xml:space="preserve">Rekha Rao</t>
  </si>
  <si>
    <t xml:space="preserve">PT0047</t>
  </si>
  <si>
    <t xml:space="preserve">Payal Yadav</t>
  </si>
  <si>
    <t xml:space="preserve">PT0143</t>
  </si>
  <si>
    <t xml:space="preserve">Arjun Shukla</t>
  </si>
  <si>
    <t xml:space="preserve">PT0039</t>
  </si>
  <si>
    <t xml:space="preserve">Praveen Reddy</t>
  </si>
  <si>
    <t xml:space="preserve">PT0099</t>
  </si>
  <si>
    <t xml:space="preserve">Ashok Nair</t>
  </si>
  <si>
    <t xml:space="preserve">arthritis</t>
  </si>
  <si>
    <t xml:space="preserve">PT0165</t>
  </si>
  <si>
    <t xml:space="preserve">Arjun Rao</t>
  </si>
  <si>
    <t xml:space="preserve">PT0212</t>
  </si>
  <si>
    <t xml:space="preserve">Geeta Patel</t>
  </si>
  <si>
    <t xml:space="preserve">PT0195</t>
  </si>
  <si>
    <t xml:space="preserve">Anemia  </t>
  </si>
  <si>
    <t xml:space="preserve">PT0089</t>
  </si>
  <si>
    <t xml:space="preserve">Naveen Sharma</t>
  </si>
  <si>
    <t xml:space="preserve">levothyroxine</t>
  </si>
  <si>
    <t xml:space="preserve">PT0224</t>
  </si>
  <si>
    <t xml:space="preserve">Radha Yadav</t>
  </si>
  <si>
    <t xml:space="preserve">GASTRITIS</t>
  </si>
  <si>
    <t xml:space="preserve"> Omeprazole </t>
  </si>
  <si>
    <t xml:space="preserve">PT0064</t>
  </si>
  <si>
    <t xml:space="preserve">Radha Chauhan</t>
  </si>
  <si>
    <t xml:space="preserve">PT0228</t>
  </si>
  <si>
    <t xml:space="preserve">Pooja Yadav</t>
  </si>
  <si>
    <t xml:space="preserve">PT0170</t>
  </si>
  <si>
    <t xml:space="preserve">Ramesh Shukla</t>
  </si>
  <si>
    <t xml:space="preserve">PT0111</t>
  </si>
  <si>
    <t xml:space="preserve">Sunita Rao</t>
  </si>
  <si>
    <t xml:space="preserve">PT0025</t>
  </si>
  <si>
    <t xml:space="preserve">Renu Rao</t>
  </si>
  <si>
    <t xml:space="preserve">PT0159</t>
  </si>
  <si>
    <t xml:space="preserve">Deepak Saxena</t>
  </si>
  <si>
    <t xml:space="preserve">PT0180</t>
  </si>
  <si>
    <t xml:space="preserve">Yogesh Gupta</t>
  </si>
  <si>
    <t xml:space="preserve">PT0177</t>
  </si>
  <si>
    <t xml:space="preserve">Pooja Saxena</t>
  </si>
  <si>
    <t xml:space="preserve">PT0134</t>
  </si>
  <si>
    <t xml:space="preserve">Sandeep Nair</t>
  </si>
  <si>
    <t xml:space="preserve">PT0133</t>
  </si>
  <si>
    <t xml:space="preserve">PT0087</t>
  </si>
  <si>
    <t xml:space="preserve">Ritu Joshi</t>
  </si>
  <si>
    <t xml:space="preserve">PT0172</t>
  </si>
  <si>
    <t xml:space="preserve">PT0058</t>
  </si>
  <si>
    <t xml:space="preserve">PT0145</t>
  </si>
  <si>
    <t xml:space="preserve">Sandeep Singh</t>
  </si>
  <si>
    <t xml:space="preserve">PT0148</t>
  </si>
  <si>
    <t xml:space="preserve">Harish Nair</t>
  </si>
  <si>
    <t xml:space="preserve">Depression  </t>
  </si>
  <si>
    <t xml:space="preserve">PT0191</t>
  </si>
  <si>
    <t xml:space="preserve">Radha Pandey</t>
  </si>
  <si>
    <t xml:space="preserve">Thyroid Disorder</t>
  </si>
  <si>
    <t xml:space="preserve">LEVOTHYROXINE</t>
  </si>
  <si>
    <t xml:space="preserve">PT0197</t>
  </si>
  <si>
    <t xml:space="preserve">Pooja Choudhary</t>
  </si>
  <si>
    <t xml:space="preserve">Azithromycin  </t>
  </si>
  <si>
    <t xml:space="preserve">PT0135</t>
  </si>
  <si>
    <t xml:space="preserve">Divya Sharma</t>
  </si>
  <si>
    <t xml:space="preserve">covid-19</t>
  </si>
  <si>
    <t xml:space="preserve">PT0181</t>
  </si>
  <si>
    <t xml:space="preserve">Sandeep Reddy</t>
  </si>
  <si>
    <t xml:space="preserve">PT0004</t>
  </si>
  <si>
    <t xml:space="preserve">Ravi Tiwari</t>
  </si>
  <si>
    <t xml:space="preserve">PT0081</t>
  </si>
  <si>
    <t xml:space="preserve">Divya Joshi</t>
  </si>
  <si>
    <t xml:space="preserve">PT0168</t>
  </si>
  <si>
    <t xml:space="preserve">Gopal Joshi</t>
  </si>
  <si>
    <t xml:space="preserve">PT0067</t>
  </si>
  <si>
    <t xml:space="preserve">PT0017</t>
  </si>
  <si>
    <t xml:space="preserve">Kiran Saxena</t>
  </si>
  <si>
    <t xml:space="preserve"> Thyroid Disorder </t>
  </si>
  <si>
    <t xml:space="preserve">PT0012</t>
  </si>
  <si>
    <t xml:space="preserve">Karan Chauhan</t>
  </si>
  <si>
    <t xml:space="preserve">PT0106</t>
  </si>
  <si>
    <t xml:space="preserve">PT0125</t>
  </si>
  <si>
    <t xml:space="preserve">Anita Saxena</t>
  </si>
  <si>
    <t xml:space="preserve">PT0187</t>
  </si>
  <si>
    <t xml:space="preserve">Rekha Pandey</t>
  </si>
  <si>
    <t xml:space="preserve">PT0215</t>
  </si>
  <si>
    <t xml:space="preserve">Renu Joshi</t>
  </si>
  <si>
    <t xml:space="preserve">PT0226</t>
  </si>
  <si>
    <t xml:space="preserve">Nitin Yadav</t>
  </si>
  <si>
    <t xml:space="preserve">PT0176</t>
  </si>
  <si>
    <t xml:space="preserve">Shalini Rao</t>
  </si>
  <si>
    <t xml:space="preserve">PT0221</t>
  </si>
  <si>
    <t xml:space="preserve">Vinod Kumar</t>
  </si>
  <si>
    <t xml:space="preserve">PT0008</t>
  </si>
  <si>
    <t xml:space="preserve">PT0092</t>
  </si>
  <si>
    <t xml:space="preserve">Dinesh Rathore</t>
  </si>
  <si>
    <t xml:space="preserve">PT0200</t>
  </si>
  <si>
    <t xml:space="preserve">PT0098</t>
  </si>
  <si>
    <t xml:space="preserve">Neha Reddy</t>
  </si>
  <si>
    <t xml:space="preserve">PT0157</t>
  </si>
  <si>
    <t xml:space="preserve">Suman Agarwal</t>
  </si>
  <si>
    <t xml:space="preserve">PT0113</t>
  </si>
  <si>
    <t xml:space="preserve">Sunita Tiwari</t>
  </si>
  <si>
    <t xml:space="preserve">PT0174</t>
  </si>
  <si>
    <t xml:space="preserve">Meena Singh</t>
  </si>
  <si>
    <t xml:space="preserve">PT0146</t>
  </si>
  <si>
    <t xml:space="preserve">Vijay Nair</t>
  </si>
  <si>
    <t xml:space="preserve">PT0206</t>
  </si>
  <si>
    <t xml:space="preserve">Amit Pandey</t>
  </si>
  <si>
    <t xml:space="preserve">PT0124</t>
  </si>
  <si>
    <t xml:space="preserve">Sunil Shukla</t>
  </si>
  <si>
    <t xml:space="preserve">omeprazole</t>
  </si>
  <si>
    <t xml:space="preserve">PT0152</t>
  </si>
  <si>
    <t xml:space="preserve">Anil Kumar</t>
  </si>
  <si>
    <t xml:space="preserve">PT0107</t>
  </si>
  <si>
    <t xml:space="preserve">Sarita Joshi</t>
  </si>
  <si>
    <t xml:space="preserve">PT0027</t>
  </si>
  <si>
    <t xml:space="preserve">PT0041</t>
  </si>
  <si>
    <t xml:space="preserve">PT0217</t>
  </si>
  <si>
    <t xml:space="preserve">Ritu Gupta</t>
  </si>
  <si>
    <t xml:space="preserve">PT0016</t>
  </si>
  <si>
    <t xml:space="preserve">Ramesh Kumar</t>
  </si>
  <si>
    <t xml:space="preserve">AZITHROMYCIN</t>
  </si>
  <si>
    <t xml:space="preserve">Data Quality Report</t>
  </si>
  <si>
    <t xml:space="preserve">Issues found in the raw data, and how they were resolved</t>
  </si>
  <si>
    <t xml:space="preserve">1. Raw Dataset Overview</t>
  </si>
  <si>
    <t xml:space="preserve">Total raw rows collected</t>
  </si>
  <si>
    <t xml:space="preserve">Exact duplicate rows found</t>
  </si>
  <si>
    <t xml:space="preserve">Invalid ages found (≤0 or &gt;110)</t>
  </si>
  <si>
    <t xml:space="preserve">2. Missing Values by Column (Raw Data)</t>
  </si>
  <si>
    <t xml:space="preserve">Column</t>
  </si>
  <si>
    <t xml:space="preserve">Missing Count</t>
  </si>
  <si>
    <t xml:space="preserve">% of Raw Rows</t>
  </si>
  <si>
    <t xml:space="preserve">3. Cleaning Actions Taken</t>
  </si>
  <si>
    <t xml:space="preserve">•  Removed exact duplicate rows (identical PatientID and every field) — kept the first occurrence. Detected using the Duplicate_Flag helper column on the Raw Data sheet.</t>
  </si>
  <si>
    <t xml:space="preserve">•  Trimmed extra whitespace and standardized text case for Gender ('MALE'/'m'/' Male ' → 'Male'), Disease and Medication (title case).</t>
  </si>
  <si>
    <t xml:space="preserve">•  Treated ages ≤ 0 or &gt; 110 as data-entry errors, reset to missing, then imputed with the dataset median age.</t>
  </si>
  <si>
    <t xml:space="preserve">•  Imputed remaining missing Age values with the overall median age.</t>
  </si>
  <si>
    <t xml:space="preserve">•  Imputed missing Dosage_mg with the median dosage recorded for that same medication (overall median used as a fallback).</t>
  </si>
  <si>
    <t xml:space="preserve">•  Missing Gender recoded as 'Unknown'; missing Disease/Medication recoded as 'Not Specified' — kept instead of deleting the row, so the rest of the patient's data is not lost.</t>
  </si>
  <si>
    <t xml:space="preserve">•  Missing Admission_Date left blank (not imputed) — a fabricated date would be misleading.</t>
  </si>
  <si>
    <t xml:space="preserve">4. Result</t>
  </si>
  <si>
    <t xml:space="preserve">Rows in cleaned dataset</t>
  </si>
  <si>
    <t xml:space="preserve">Sertraline</t>
  </si>
  <si>
    <t xml:space="preserve">Not Specified</t>
  </si>
  <si>
    <t xml:space="preserve">Unknown</t>
  </si>
  <si>
    <t xml:space="preserve">Anemia</t>
  </si>
  <si>
    <t xml:space="preserve">Omeprazole</t>
  </si>
  <si>
    <t xml:space="preserve">Covid-19</t>
  </si>
  <si>
    <t xml:space="preserve">Unknown Patient</t>
  </si>
  <si>
    <t xml:space="preserve">Analysis Summary</t>
  </si>
  <si>
    <t xml:space="preserve">Basic analysis of the cleaned dataset (all figures are live formulas)</t>
  </si>
  <si>
    <t xml:space="preserve">Overview</t>
  </si>
  <si>
    <t xml:space="preserve">Total Patients</t>
  </si>
  <si>
    <t xml:space="preserve">Average Age (yrs)</t>
  </si>
  <si>
    <t xml:space="preserve">Median Age (yrs)</t>
  </si>
  <si>
    <t xml:space="preserve">Youngest Patient (yrs)</t>
  </si>
  <si>
    <t xml:space="preserve">Oldest Patient (yrs)</t>
  </si>
  <si>
    <t xml:space="preserve">Average Dosage (mg)</t>
  </si>
  <si>
    <t xml:space="preserve">Gender Distribution</t>
  </si>
  <si>
    <t xml:space="preserve">Patient Count</t>
  </si>
  <si>
    <t xml:space="preserve">% of Total</t>
  </si>
  <si>
    <t xml:space="preserve">Most Common Diseases</t>
  </si>
  <si>
    <t xml:space="preserve">Avg. Age of Patients</t>
  </si>
  <si>
    <t xml:space="preserve">Most Prescribed Medications</t>
  </si>
  <si>
    <t xml:space="preserve">Times Prescribed</t>
  </si>
  <si>
    <t xml:space="preserve">Avg. Dosage (mg)</t>
  </si>
  <si>
    <t xml:space="preserve">Data Visualizations</t>
  </si>
  <si>
    <t xml:space="preserve">Disease distribution, age distribution, gender ratio &amp; medication usage — cleaned dataset</t>
  </si>
  <si>
    <t xml:space="preserve">Disease Distribution</t>
  </si>
  <si>
    <t xml:space="preserve">Age Distribution</t>
  </si>
  <si>
    <t xml:space="preserve">Age Range</t>
  </si>
  <si>
    <t xml:space="preserve">0-10</t>
  </si>
  <si>
    <t xml:space="preserve">11-20</t>
  </si>
  <si>
    <t xml:space="preserve">21-30</t>
  </si>
  <si>
    <t xml:space="preserve">31-40</t>
  </si>
  <si>
    <t xml:space="preserve">41-50</t>
  </si>
  <si>
    <t xml:space="preserve">51-60</t>
  </si>
  <si>
    <t xml:space="preserve">61-70</t>
  </si>
  <si>
    <t xml:space="preserve">71-80</t>
  </si>
  <si>
    <t xml:space="preserve">81-90</t>
  </si>
  <si>
    <t xml:space="preserve">91-100</t>
  </si>
  <si>
    <t xml:space="preserve">Gender Ratio</t>
  </si>
  <si>
    <t xml:space="preserve">Medication Usage</t>
  </si>
  <si>
    <t xml:space="preserve">Pharmacy Sales Data (Cleaned)</t>
  </si>
  <si>
    <t xml:space="preserve">616 transactions, 2025-09 to 2026-08.  Cleaning applied: 15 duplicate transactions removed; 15 missing unit prices imputed using that product's median price, and Revenue recalculated as Quantity × Unit Price.</t>
  </si>
  <si>
    <t xml:space="preserve">TransactionID</t>
  </si>
  <si>
    <t xml:space="preserve">Sale_Date</t>
  </si>
  <si>
    <t xml:space="preserve">Medicine</t>
  </si>
  <si>
    <t xml:space="preserve">Brand_Type</t>
  </si>
  <si>
    <t xml:space="preserve">Product_Name</t>
  </si>
  <si>
    <t xml:space="preserve">Quantity_Sold</t>
  </si>
  <si>
    <t xml:space="preserve">Unit_Price</t>
  </si>
  <si>
    <t xml:space="preserve">Revenue</t>
  </si>
  <si>
    <t xml:space="preserve">TXN00032</t>
  </si>
  <si>
    <t xml:space="preserve">Generic</t>
  </si>
  <si>
    <t xml:space="preserve">Amlodipine (Generic)</t>
  </si>
  <si>
    <t xml:space="preserve">TXN00484</t>
  </si>
  <si>
    <t xml:space="preserve">Metformin (Generic)</t>
  </si>
  <si>
    <t xml:space="preserve">TXN00077</t>
  </si>
  <si>
    <t xml:space="preserve">Branded</t>
  </si>
  <si>
    <t xml:space="preserve">Viroguard</t>
  </si>
  <si>
    <t xml:space="preserve">TXN00329</t>
  </si>
  <si>
    <t xml:space="preserve">Migranil</t>
  </si>
  <si>
    <t xml:space="preserve">TXN00255</t>
  </si>
  <si>
    <t xml:space="preserve">Paracetamol (Generic)</t>
  </si>
  <si>
    <t xml:space="preserve">TXN00052</t>
  </si>
  <si>
    <t xml:space="preserve">Salbutamol (Generic)</t>
  </si>
  <si>
    <t xml:space="preserve">TXN00241</t>
  </si>
  <si>
    <t xml:space="preserve">TXN00214</t>
  </si>
  <si>
    <t xml:space="preserve">Ibuprofen (Generic)</t>
  </si>
  <si>
    <t xml:space="preserve">TXN00308</t>
  </si>
  <si>
    <t xml:space="preserve">Glucofit</t>
  </si>
  <si>
    <t xml:space="preserve">TXN00335</t>
  </si>
  <si>
    <t xml:space="preserve">TXN00196</t>
  </si>
  <si>
    <t xml:space="preserve">TXN00467</t>
  </si>
  <si>
    <t xml:space="preserve">TXN00424</t>
  </si>
  <si>
    <t xml:space="preserve">Amlotrust</t>
  </si>
  <si>
    <t xml:space="preserve">TXN00250</t>
  </si>
  <si>
    <t xml:space="preserve">TXN00355</t>
  </si>
  <si>
    <t xml:space="preserve">TXN00518</t>
  </si>
  <si>
    <t xml:space="preserve">Breathex</t>
  </si>
  <si>
    <t xml:space="preserve">TXN00101</t>
  </si>
  <si>
    <t xml:space="preserve">TXN00398</t>
  </si>
  <si>
    <t xml:space="preserve">TXN00155</t>
  </si>
  <si>
    <t xml:space="preserve">TXN00490</t>
  </si>
  <si>
    <t xml:space="preserve">Orlistat (Generic)</t>
  </si>
  <si>
    <t xml:space="preserve">TXN00502</t>
  </si>
  <si>
    <t xml:space="preserve">TXN00096</t>
  </si>
  <si>
    <t xml:space="preserve">Moodwell</t>
  </si>
  <si>
    <t xml:space="preserve">TXN00177</t>
  </si>
  <si>
    <t xml:space="preserve">Relidol</t>
  </si>
  <si>
    <t xml:space="preserve">TXN00479</t>
  </si>
  <si>
    <t xml:space="preserve">TXN00533</t>
  </si>
  <si>
    <t xml:space="preserve">Cetirizine (Generic)</t>
  </si>
  <si>
    <t xml:space="preserve">TXN00028</t>
  </si>
  <si>
    <t xml:space="preserve">TXN00279</t>
  </si>
  <si>
    <t xml:space="preserve">TXN00548</t>
  </si>
  <si>
    <t xml:space="preserve">TXN00573</t>
  </si>
  <si>
    <t xml:space="preserve">TXN00003</t>
  </si>
  <si>
    <t xml:space="preserve">TXN00235</t>
  </si>
  <si>
    <t xml:space="preserve">TXN00151</t>
  </si>
  <si>
    <t xml:space="preserve">TXN00132</t>
  </si>
  <si>
    <t xml:space="preserve">TXN00082</t>
  </si>
  <si>
    <t xml:space="preserve">TXN00165</t>
  </si>
  <si>
    <t xml:space="preserve">TXN00271</t>
  </si>
  <si>
    <t xml:space="preserve">TXN00078</t>
  </si>
  <si>
    <t xml:space="preserve">Ferrous Sulfate (Generic)</t>
  </si>
  <si>
    <t xml:space="preserve">TXN00208</t>
  </si>
  <si>
    <t xml:space="preserve">TXN00609</t>
  </si>
  <si>
    <t xml:space="preserve">TXN00022</t>
  </si>
  <si>
    <t xml:space="preserve">Sumatriptan (Generic)</t>
  </si>
  <si>
    <t xml:space="preserve">TXN00441</t>
  </si>
  <si>
    <t xml:space="preserve">TXN00404</t>
  </si>
  <si>
    <t xml:space="preserve">TXN00386</t>
  </si>
  <si>
    <t xml:space="preserve">TXN00457</t>
  </si>
  <si>
    <t xml:space="preserve">TXN00323</t>
  </si>
  <si>
    <t xml:space="preserve">TXN00596</t>
  </si>
  <si>
    <t xml:space="preserve">TXN00036</t>
  </si>
  <si>
    <t xml:space="preserve">TXN00039</t>
  </si>
  <si>
    <t xml:space="preserve">TXN00387</t>
  </si>
  <si>
    <t xml:space="preserve">TXN00598</t>
  </si>
  <si>
    <t xml:space="preserve">TXN00137</t>
  </si>
  <si>
    <t xml:space="preserve">TXN00351</t>
  </si>
  <si>
    <t xml:space="preserve">TXN00349</t>
  </si>
  <si>
    <t xml:space="preserve">TXN00324</t>
  </si>
  <si>
    <t xml:space="preserve">Allerclear</t>
  </si>
  <si>
    <t xml:space="preserve">TXN00453</t>
  </si>
  <si>
    <t xml:space="preserve">TXN00030</t>
  </si>
  <si>
    <t xml:space="preserve">Azicure</t>
  </si>
  <si>
    <t xml:space="preserve">TXN00256</t>
  </si>
  <si>
    <t xml:space="preserve">Slimolate</t>
  </si>
  <si>
    <t xml:space="preserve">TXN00342</t>
  </si>
  <si>
    <t xml:space="preserve">Levothyroxine (Generic)</t>
  </si>
  <si>
    <t xml:space="preserve">TXN00361</t>
  </si>
  <si>
    <t xml:space="preserve">Ironel</t>
  </si>
  <si>
    <t xml:space="preserve">TXN00501</t>
  </si>
  <si>
    <t xml:space="preserve">TXN00461</t>
  </si>
  <si>
    <t xml:space="preserve">TXN00475</t>
  </si>
  <si>
    <t xml:space="preserve">Sertraline (Generic)</t>
  </si>
  <si>
    <t xml:space="preserve">TXN00248</t>
  </si>
  <si>
    <t xml:space="preserve">TXN00370</t>
  </si>
  <si>
    <t xml:space="preserve">Painex</t>
  </si>
  <si>
    <t xml:space="preserve">TXN00497</t>
  </si>
  <si>
    <t xml:space="preserve">TXN00483</t>
  </si>
  <si>
    <t xml:space="preserve">TXN00468</t>
  </si>
  <si>
    <t xml:space="preserve">TXN00121</t>
  </si>
  <si>
    <t xml:space="preserve">TXN00566</t>
  </si>
  <si>
    <t xml:space="preserve">TXN00289</t>
  </si>
  <si>
    <t xml:space="preserve">TXN00153</t>
  </si>
  <si>
    <t xml:space="preserve">TXN00300</t>
  </si>
  <si>
    <t xml:space="preserve">TXN00611</t>
  </si>
  <si>
    <t xml:space="preserve">TXN00317</t>
  </si>
  <si>
    <t xml:space="preserve">TXN00414</t>
  </si>
  <si>
    <t xml:space="preserve">TXN00444</t>
  </si>
  <si>
    <t xml:space="preserve">TXN00594</t>
  </si>
  <si>
    <t xml:space="preserve">TXN00512</t>
  </si>
  <si>
    <t xml:space="preserve">Omeprazole (Generic)</t>
  </si>
  <si>
    <t xml:space="preserve">TXN00591</t>
  </si>
  <si>
    <t xml:space="preserve">TXN00410</t>
  </si>
  <si>
    <t xml:space="preserve">TXN00047</t>
  </si>
  <si>
    <t xml:space="preserve">Favipiravir (Generic)</t>
  </si>
  <si>
    <t xml:space="preserve">TXN00280</t>
  </si>
  <si>
    <t xml:space="preserve">TXN00021</t>
  </si>
  <si>
    <t xml:space="preserve">TXN00506</t>
  </si>
  <si>
    <t xml:space="preserve">TXN00088</t>
  </si>
  <si>
    <t xml:space="preserve">TXN00268</t>
  </si>
  <si>
    <t xml:space="preserve">TXN00143</t>
  </si>
  <si>
    <t xml:space="preserve">TXN00346</t>
  </si>
  <si>
    <t xml:space="preserve">TXN00059</t>
  </si>
  <si>
    <t xml:space="preserve">TXN00164</t>
  </si>
  <si>
    <t xml:space="preserve">TXN00557</t>
  </si>
  <si>
    <t xml:space="preserve">TXN00368</t>
  </si>
  <si>
    <t xml:space="preserve">TXN00043</t>
  </si>
  <si>
    <t xml:space="preserve">TXN00226</t>
  </si>
  <si>
    <t xml:space="preserve">TXN00496</t>
  </si>
  <si>
    <t xml:space="preserve">TXN00267</t>
  </si>
  <si>
    <t xml:space="preserve">TXN00211</t>
  </si>
  <si>
    <t xml:space="preserve">Azithromycin (Generic)</t>
  </si>
  <si>
    <t xml:space="preserve">TXN00527</t>
  </si>
  <si>
    <t xml:space="preserve">TXN00071</t>
  </si>
  <si>
    <t xml:space="preserve">TXN00292</t>
  </si>
  <si>
    <t xml:space="preserve">TXN00258</t>
  </si>
  <si>
    <t xml:space="preserve">TXN00540</t>
  </si>
  <si>
    <t xml:space="preserve">TXN00236</t>
  </si>
  <si>
    <t xml:space="preserve">TXN00099</t>
  </si>
  <si>
    <t xml:space="preserve">TXN00523</t>
  </si>
  <si>
    <t xml:space="preserve">TXN00203</t>
  </si>
  <si>
    <t xml:space="preserve">TXN00257</t>
  </si>
  <si>
    <t xml:space="preserve">TXN00373</t>
  </si>
  <si>
    <t xml:space="preserve">TXN00462</t>
  </si>
  <si>
    <t xml:space="preserve">TXN00495</t>
  </si>
  <si>
    <t xml:space="preserve">TXN00276</t>
  </si>
  <si>
    <t xml:space="preserve">TXN00013</t>
  </si>
  <si>
    <t xml:space="preserve">TXN00163</t>
  </si>
  <si>
    <t xml:space="preserve">TXN00474</t>
  </si>
  <si>
    <t xml:space="preserve">TXN00455</t>
  </si>
  <si>
    <t xml:space="preserve">TXN00160</t>
  </si>
  <si>
    <t xml:space="preserve">TXN00505</t>
  </si>
  <si>
    <t xml:space="preserve">TXN00445</t>
  </si>
  <si>
    <t xml:space="preserve">TXN00092</t>
  </si>
  <si>
    <t xml:space="preserve">TXN00301</t>
  </si>
  <si>
    <t xml:space="preserve">TXN00117</t>
  </si>
  <si>
    <t xml:space="preserve">TXN00405</t>
  </si>
  <si>
    <t xml:space="preserve">TXN00538</t>
  </si>
  <si>
    <t xml:space="preserve">TXN00127</t>
  </si>
  <si>
    <t xml:space="preserve">TXN00576</t>
  </si>
  <si>
    <t xml:space="preserve">TXN00528</t>
  </si>
  <si>
    <t xml:space="preserve">TXN00227</t>
  </si>
  <si>
    <t xml:space="preserve">TXN00083</t>
  </si>
  <si>
    <t xml:space="preserve">TXN00385</t>
  </si>
  <si>
    <t xml:space="preserve">TXN00534</t>
  </si>
  <si>
    <t xml:space="preserve">TXN00433</t>
  </si>
  <si>
    <t xml:space="preserve">TXN00312</t>
  </si>
  <si>
    <t xml:space="preserve">TXN00378</t>
  </si>
  <si>
    <t xml:space="preserve">Gastrocure</t>
  </si>
  <si>
    <t xml:space="preserve">TXN00429</t>
  </si>
  <si>
    <t xml:space="preserve">TXN00215</t>
  </si>
  <si>
    <t xml:space="preserve">TXN00397</t>
  </si>
  <si>
    <t xml:space="preserve">TXN00113</t>
  </si>
  <si>
    <t xml:space="preserve">TXN00421</t>
  </si>
  <si>
    <t xml:space="preserve">TXN00511</t>
  </si>
  <si>
    <t xml:space="preserve">TXN00169</t>
  </si>
  <si>
    <t xml:space="preserve">TXN00299</t>
  </si>
  <si>
    <t xml:space="preserve">TXN00194</t>
  </si>
  <si>
    <t xml:space="preserve">TXN00325</t>
  </si>
  <si>
    <t xml:space="preserve">TXN00191</t>
  </si>
  <si>
    <t xml:space="preserve">TXN00104</t>
  </si>
  <si>
    <t xml:space="preserve">TXN00029</t>
  </si>
  <si>
    <t xml:space="preserve">TXN00090</t>
  </si>
  <si>
    <t xml:space="preserve">TXN00389</t>
  </si>
  <si>
    <t xml:space="preserve">TXN00583</t>
  </si>
  <si>
    <t xml:space="preserve">TXN00311</t>
  </si>
  <si>
    <t xml:space="preserve">TXN00337</t>
  </si>
  <si>
    <t xml:space="preserve">TXN00119</t>
  </si>
  <si>
    <t xml:space="preserve">TXN00348</t>
  </si>
  <si>
    <t xml:space="preserve">TXN00514</t>
  </si>
  <si>
    <t xml:space="preserve">TXN00213</t>
  </si>
  <si>
    <t xml:space="preserve">TXN00545</t>
  </si>
  <si>
    <t xml:space="preserve">TXN00180</t>
  </si>
  <si>
    <t xml:space="preserve">TXN00375</t>
  </si>
  <si>
    <t xml:space="preserve">TXN00353</t>
  </si>
  <si>
    <t xml:space="preserve">TXN00352</t>
  </si>
  <si>
    <t xml:space="preserve">TXN00016</t>
  </si>
  <si>
    <t xml:space="preserve">TXN00060</t>
  </si>
  <si>
    <t xml:space="preserve">TXN00517</t>
  </si>
  <si>
    <t xml:space="preserve">TXN00209</t>
  </si>
  <si>
    <t xml:space="preserve">TXN00562</t>
  </si>
  <si>
    <t xml:space="preserve">TXN00359</t>
  </si>
  <si>
    <t xml:space="preserve">TXN00295</t>
  </si>
  <si>
    <t xml:space="preserve">TXN00018</t>
  </si>
  <si>
    <t xml:space="preserve">TXN00549</t>
  </si>
  <si>
    <t xml:space="preserve">TXN00251</t>
  </si>
  <si>
    <t xml:space="preserve">TXN00035</t>
  </si>
  <si>
    <t xml:space="preserve">TXN00432</t>
  </si>
  <si>
    <t xml:space="preserve">TXN00316</t>
  </si>
  <si>
    <t xml:space="preserve">TXN00590</t>
  </si>
  <si>
    <t xml:space="preserve">TXN00004</t>
  </si>
  <si>
    <t xml:space="preserve">TXN00529</t>
  </si>
  <si>
    <t xml:space="preserve">TXN00494</t>
  </si>
  <si>
    <t xml:space="preserve">TXN00377</t>
  </si>
  <si>
    <t xml:space="preserve">TXN00152</t>
  </si>
  <si>
    <t xml:space="preserve">TXN00291</t>
  </si>
  <si>
    <t xml:space="preserve">TXN00513</t>
  </si>
  <si>
    <t xml:space="preserve">TXN00097</t>
  </si>
  <si>
    <t xml:space="preserve">TXN00408</t>
  </si>
  <si>
    <t xml:space="preserve">TXN00550</t>
  </si>
  <si>
    <t xml:space="preserve">TXN00102</t>
  </si>
  <si>
    <t xml:space="preserve">TXN00568</t>
  </si>
  <si>
    <t xml:space="preserve">TXN00613</t>
  </si>
  <si>
    <t xml:space="preserve">TXN00157</t>
  </si>
  <si>
    <t xml:space="preserve">TXN00145</t>
  </si>
  <si>
    <t xml:space="preserve">TXN00606</t>
  </si>
  <si>
    <t xml:space="preserve">TXN00027</t>
  </si>
  <si>
    <t xml:space="preserve">TXN00120</t>
  </si>
  <si>
    <t xml:space="preserve">TXN00446</t>
  </si>
  <si>
    <t xml:space="preserve">TXN00183</t>
  </si>
  <si>
    <t xml:space="preserve">TXN00287</t>
  </si>
  <si>
    <t xml:space="preserve">TXN00154</t>
  </si>
  <si>
    <t xml:space="preserve">TXN00327</t>
  </si>
  <si>
    <t xml:space="preserve">TXN00464</t>
  </si>
  <si>
    <t xml:space="preserve">TXN00140</t>
  </si>
  <si>
    <t xml:space="preserve">TXN00339</t>
  </si>
  <si>
    <t xml:space="preserve">TXN00407</t>
  </si>
  <si>
    <t xml:space="preserve">TXN00522</t>
  </si>
  <si>
    <t xml:space="preserve">TXN00570</t>
  </si>
  <si>
    <t xml:space="preserve">TXN00379</t>
  </si>
  <si>
    <t xml:space="preserve">TXN00363</t>
  </si>
  <si>
    <t xml:space="preserve">TXN00319</t>
  </si>
  <si>
    <t xml:space="preserve">TXN00249</t>
  </si>
  <si>
    <t xml:space="preserve">TXN00582</t>
  </si>
  <si>
    <t xml:space="preserve">TXN00002</t>
  </si>
  <si>
    <t xml:space="preserve">TXN00431</t>
  </si>
  <si>
    <t xml:space="preserve">TXN00422</t>
  </si>
  <si>
    <t xml:space="preserve">TXN00252</t>
  </si>
  <si>
    <t xml:space="preserve">TXN00509</t>
  </si>
  <si>
    <t xml:space="preserve">TXN00015</t>
  </si>
  <si>
    <t xml:space="preserve">TXN00469</t>
  </si>
  <si>
    <t xml:space="preserve">TXN00080</t>
  </si>
  <si>
    <t xml:space="preserve">TXN00144</t>
  </si>
  <si>
    <t xml:space="preserve">TXN00401</t>
  </si>
  <si>
    <t xml:space="preserve">TXN00193</t>
  </si>
  <si>
    <t xml:space="preserve">TXN00139</t>
  </si>
  <si>
    <t xml:space="preserve">TXN00175</t>
  </si>
  <si>
    <t xml:space="preserve">TXN00007</t>
  </si>
  <si>
    <t xml:space="preserve">TXN00315</t>
  </si>
  <si>
    <t xml:space="preserve">TXN00588</t>
  </si>
  <si>
    <t xml:space="preserve">TXN00488</t>
  </si>
  <si>
    <t xml:space="preserve">TXN00575</t>
  </si>
  <si>
    <t xml:space="preserve">TXN00233</t>
  </si>
  <si>
    <t xml:space="preserve">TXN00066</t>
  </si>
  <si>
    <t xml:space="preserve">TXN00246</t>
  </si>
  <si>
    <t xml:space="preserve">TXN00188</t>
  </si>
  <si>
    <t xml:space="preserve">TXN00123</t>
  </si>
  <si>
    <t xml:space="preserve">TXN00500</t>
  </si>
  <si>
    <t xml:space="preserve">TXN00589</t>
  </si>
  <si>
    <t xml:space="preserve">TXN00205</t>
  </si>
  <si>
    <t xml:space="preserve">TXN00044</t>
  </si>
  <si>
    <t xml:space="preserve">TXN00371</t>
  </si>
  <si>
    <t xml:space="preserve">TXN00614</t>
  </si>
  <si>
    <t xml:space="preserve">TXN00572</t>
  </si>
  <si>
    <t xml:space="preserve">TXN00172</t>
  </si>
  <si>
    <t xml:space="preserve">TXN00221</t>
  </si>
  <si>
    <t xml:space="preserve">TXN00142</t>
  </si>
  <si>
    <t xml:space="preserve">TXN00409</t>
  </si>
  <si>
    <t xml:space="preserve">TXN00579</t>
  </si>
  <si>
    <t xml:space="preserve">TXN00477</t>
  </si>
  <si>
    <t xml:space="preserve">TXN00413</t>
  </si>
  <si>
    <t xml:space="preserve">TXN00426</t>
  </si>
  <si>
    <t xml:space="preserve">TXN00530</t>
  </si>
  <si>
    <t xml:space="preserve">TXN00599</t>
  </si>
  <si>
    <t xml:space="preserve">TXN00597</t>
  </si>
  <si>
    <t xml:space="preserve">TXN00536</t>
  </si>
  <si>
    <t xml:space="preserve">TXN00230</t>
  </si>
  <si>
    <t xml:space="preserve">TXN00520</t>
  </si>
  <si>
    <t xml:space="preserve">TXN00200</t>
  </si>
  <si>
    <t xml:space="preserve">TXN00087</t>
  </si>
  <si>
    <t xml:space="preserve">TXN00330</t>
  </si>
  <si>
    <t xml:space="preserve">TXN00001</t>
  </si>
  <si>
    <t xml:space="preserve">TXN00038</t>
  </si>
  <si>
    <t xml:space="preserve">TXN00616</t>
  </si>
  <si>
    <t xml:space="preserve">TXN00033</t>
  </si>
  <si>
    <t xml:space="preserve">TXN00543</t>
  </si>
  <si>
    <t xml:space="preserve">TXN00065</t>
  </si>
  <si>
    <t xml:space="preserve">TXN00585</t>
  </si>
  <si>
    <t xml:space="preserve">TXN00070</t>
  </si>
  <si>
    <t xml:space="preserve">TXN00124</t>
  </si>
  <si>
    <t xml:space="preserve">TXN00008</t>
  </si>
  <si>
    <t xml:space="preserve">TXN00565</t>
  </si>
  <si>
    <t xml:space="preserve">TXN00031</t>
  </si>
  <si>
    <t xml:space="preserve">TXN00283</t>
  </si>
  <si>
    <t xml:space="preserve">TXN00564</t>
  </si>
  <si>
    <t xml:space="preserve">TXN00451</t>
  </si>
  <si>
    <t xml:space="preserve">TXN00025</t>
  </si>
  <si>
    <t xml:space="preserve">TXN00098</t>
  </si>
  <si>
    <t xml:space="preserve">TXN00360</t>
  </si>
  <si>
    <t xml:space="preserve">TXN00020</t>
  </si>
  <si>
    <t xml:space="preserve">TXN00314</t>
  </si>
  <si>
    <t xml:space="preserve">TXN00369</t>
  </si>
  <si>
    <t xml:space="preserve">TXN00063</t>
  </si>
  <si>
    <t xml:space="preserve">TXN00303</t>
  </si>
  <si>
    <t xml:space="preserve">TXN00173</t>
  </si>
  <si>
    <t xml:space="preserve">TXN00178</t>
  </si>
  <si>
    <t xml:space="preserve">TXN00498</t>
  </si>
  <si>
    <t xml:space="preserve">TXN00593</t>
  </si>
  <si>
    <t xml:space="preserve">TXN00390</t>
  </si>
  <si>
    <t xml:space="preserve">TXN00338</t>
  </si>
  <si>
    <t xml:space="preserve">TXN00135</t>
  </si>
  <si>
    <t xml:space="preserve">TXN00068</t>
  </si>
  <si>
    <t xml:space="preserve">TXN00107</t>
  </si>
  <si>
    <t xml:space="preserve">TXN00531</t>
  </si>
  <si>
    <t xml:space="preserve">TXN00149</t>
  </si>
  <si>
    <t xml:space="preserve">TXN00515</t>
  </si>
  <si>
    <t xml:space="preserve">TXN00341</t>
  </si>
  <si>
    <t xml:space="preserve">TXN00350</t>
  </si>
  <si>
    <t xml:space="preserve">TXN00472</t>
  </si>
  <si>
    <t xml:space="preserve">TXN00345</t>
  </si>
  <si>
    <t xml:space="preserve">TXN00435</t>
  </si>
  <si>
    <t xml:space="preserve">TXN00374</t>
  </si>
  <si>
    <t xml:space="preserve">TXN00049</t>
  </si>
  <si>
    <t xml:space="preserve">TXN00318</t>
  </si>
  <si>
    <t xml:space="preserve">TXN00380</t>
  </si>
  <si>
    <t xml:space="preserve">TXN00347</t>
  </si>
  <si>
    <t xml:space="preserve">TXN00067</t>
  </si>
  <si>
    <t xml:space="preserve">TXN00510</t>
  </si>
  <si>
    <t xml:space="preserve">TXN00190</t>
  </si>
  <si>
    <t xml:space="preserve">TXN00278</t>
  </si>
  <si>
    <t xml:space="preserve">TXN00601</t>
  </si>
  <si>
    <t xml:space="preserve">TXN00419</t>
  </si>
  <si>
    <t xml:space="preserve">TXN00112</t>
  </si>
  <si>
    <t xml:space="preserve">TXN00466</t>
  </si>
  <si>
    <t xml:space="preserve">TXN00011</t>
  </si>
  <si>
    <t xml:space="preserve">TXN00544</t>
  </si>
  <si>
    <t xml:space="preserve">TXN00237</t>
  </si>
  <si>
    <t xml:space="preserve">TXN00109</t>
  </si>
  <si>
    <t xml:space="preserve">TXN00552</t>
  </si>
  <si>
    <t xml:space="preserve">TXN00148</t>
  </si>
  <si>
    <t xml:space="preserve">TXN00187</t>
  </si>
  <si>
    <t xml:space="preserve">TXN00166</t>
  </si>
  <si>
    <t xml:space="preserve">TXN00491</t>
  </si>
  <si>
    <t xml:space="preserve">TXN00150</t>
  </si>
  <si>
    <t xml:space="preserve">TXN00480</t>
  </si>
  <si>
    <t xml:space="preserve">TXN00207</t>
  </si>
  <si>
    <t xml:space="preserve">TXN00423</t>
  </si>
  <si>
    <t xml:space="preserve">TXN00232</t>
  </si>
  <si>
    <t xml:space="preserve">TXN00201</t>
  </si>
  <si>
    <t xml:space="preserve">TXN00242</t>
  </si>
  <si>
    <t xml:space="preserve">TXN00260</t>
  </si>
  <si>
    <t xml:space="preserve">TXN00176</t>
  </si>
  <si>
    <t xml:space="preserve">TXN00264</t>
  </si>
  <si>
    <t xml:space="preserve">TXN00229</t>
  </si>
  <si>
    <t xml:space="preserve">TXN00516</t>
  </si>
  <si>
    <t xml:space="preserve">TXN00285</t>
  </si>
  <si>
    <t xml:space="preserve">TXN00577</t>
  </si>
  <si>
    <t xml:space="preserve">TXN00486</t>
  </si>
  <si>
    <t xml:space="preserve">TXN00095</t>
  </si>
  <si>
    <t xml:space="preserve">TXN00436</t>
  </si>
  <si>
    <t xml:space="preserve">TXN00202</t>
  </si>
  <si>
    <t xml:space="preserve">TXN00447</t>
  </si>
  <si>
    <t xml:space="preserve">TXN00420</t>
  </si>
  <si>
    <t xml:space="preserve">TXN00298</t>
  </si>
  <si>
    <t xml:space="preserve">TXN00333</t>
  </si>
  <si>
    <t xml:space="preserve">TXN00376</t>
  </si>
  <si>
    <t xml:space="preserve">TXN00542</t>
  </si>
  <si>
    <t xml:space="preserve">TXN00326</t>
  </si>
  <si>
    <t xml:space="preserve">TXN00219</t>
  </si>
  <si>
    <t xml:space="preserve">TXN00310</t>
  </si>
  <si>
    <t xml:space="preserve">TXN00438</t>
  </si>
  <si>
    <t xml:space="preserve">TXN00381</t>
  </si>
  <si>
    <t xml:space="preserve">TXN00037</t>
  </si>
  <si>
    <t xml:space="preserve">TXN00042</t>
  </si>
  <si>
    <t xml:space="preserve">TXN00062</t>
  </si>
  <si>
    <t xml:space="preserve">TXN00608</t>
  </si>
  <si>
    <t xml:space="preserve">TXN00126</t>
  </si>
  <si>
    <t xml:space="preserve">TXN00293</t>
  </si>
  <si>
    <t xml:space="preserve">TXN00403</t>
  </si>
  <si>
    <t xml:space="preserve">TXN00053</t>
  </si>
  <si>
    <t xml:space="preserve">TXN00465</t>
  </si>
  <si>
    <t xml:space="preserve">TXN00358</t>
  </si>
  <si>
    <t xml:space="preserve">TXN00017</t>
  </si>
  <si>
    <t xml:space="preserve">TXN00442</t>
  </si>
  <si>
    <t xml:space="preserve">TXN00274</t>
  </si>
  <si>
    <t xml:space="preserve">TXN00174</t>
  </si>
  <si>
    <t xml:space="preserve">TXN00210</t>
  </si>
  <si>
    <t xml:space="preserve">TXN00288</t>
  </si>
  <si>
    <t xml:space="preserve">TXN00272</t>
  </si>
  <si>
    <t xml:space="preserve">TXN00041</t>
  </si>
  <si>
    <t xml:space="preserve">TXN00168</t>
  </si>
  <si>
    <t xml:space="preserve">TXN00171</t>
  </si>
  <si>
    <t xml:space="preserve">TXN00482</t>
  </si>
  <si>
    <t xml:space="preserve">TXN00297</t>
  </si>
  <si>
    <t xml:space="preserve">TXN00366</t>
  </si>
  <si>
    <t xml:space="preserve">TXN00220</t>
  </si>
  <si>
    <t xml:space="preserve">TXN00603</t>
  </si>
  <si>
    <t xml:space="preserve">TXN00115</t>
  </si>
  <si>
    <t xml:space="preserve">TXN00415</t>
  </si>
  <si>
    <t xml:space="preserve">TXN00269</t>
  </si>
  <si>
    <t xml:space="preserve">TXN00592</t>
  </si>
  <si>
    <t xml:space="preserve">TXN00383</t>
  </si>
  <si>
    <t xml:space="preserve">TXN00485</t>
  </si>
  <si>
    <t xml:space="preserve">TXN00519</t>
  </si>
  <si>
    <t xml:space="preserve">TXN00009</t>
  </si>
  <si>
    <t xml:space="preserve">TXN00307</t>
  </si>
  <si>
    <t xml:space="preserve">TXN00076</t>
  </si>
  <si>
    <t xml:space="preserve">TXN00116</t>
  </si>
  <si>
    <t xml:space="preserve">TXN00296</t>
  </si>
  <si>
    <t xml:space="preserve">TXN00546</t>
  </si>
  <si>
    <t xml:space="preserve">TXN00136</t>
  </si>
  <si>
    <t xml:space="preserve">TXN00179</t>
  </si>
  <si>
    <t xml:space="preserve">TXN00005</t>
  </si>
  <si>
    <t xml:space="preserve">TXN00050</t>
  </si>
  <si>
    <t xml:space="preserve">TXN00332</t>
  </si>
  <si>
    <t xml:space="preserve">TXN00138</t>
  </si>
  <si>
    <t xml:space="preserve">TXN00578</t>
  </si>
  <si>
    <t xml:space="preserve">TXN00238</t>
  </si>
  <si>
    <t xml:space="preserve">TXN00454</t>
  </si>
  <si>
    <t xml:space="preserve">TXN00463</t>
  </si>
  <si>
    <t xml:space="preserve">TXN00262</t>
  </si>
  <si>
    <t xml:space="preserve">TXN00406</t>
  </si>
  <si>
    <t xml:space="preserve">TXN00259</t>
  </si>
  <si>
    <t xml:space="preserve">Thyrofix</t>
  </si>
  <si>
    <t xml:space="preserve">TXN00282</t>
  </si>
  <si>
    <t xml:space="preserve">TXN00105</t>
  </si>
  <si>
    <t xml:space="preserve">TXN00443</t>
  </si>
  <si>
    <t xml:space="preserve">TXN00402</t>
  </si>
  <si>
    <t xml:space="preserve">TXN00216</t>
  </si>
  <si>
    <t xml:space="preserve">TXN00356</t>
  </si>
  <si>
    <t xml:space="preserve">TXN00558</t>
  </si>
  <si>
    <t xml:space="preserve">TXN00118</t>
  </si>
  <si>
    <t xml:space="preserve">TXN00093</t>
  </si>
  <si>
    <t xml:space="preserve">TXN00186</t>
  </si>
  <si>
    <t xml:space="preserve">TXN00222</t>
  </si>
  <si>
    <t xml:space="preserve">TXN00569</t>
  </si>
  <si>
    <t xml:space="preserve">TXN00581</t>
  </si>
  <si>
    <t xml:space="preserve">TXN00034</t>
  </si>
  <si>
    <t xml:space="preserve">TXN00499</t>
  </si>
  <si>
    <t xml:space="preserve">TXN00331</t>
  </si>
  <si>
    <t xml:space="preserve">TXN00056</t>
  </si>
  <si>
    <t xml:space="preserve">TXN00006</t>
  </si>
  <si>
    <t xml:space="preserve">TXN00395</t>
  </si>
  <si>
    <t xml:space="preserve">TXN00108</t>
  </si>
  <si>
    <t xml:space="preserve">TXN00610</t>
  </si>
  <si>
    <t xml:space="preserve">TXN00507</t>
  </si>
  <si>
    <t xml:space="preserve">TXN00128</t>
  </si>
  <si>
    <t xml:space="preserve">TXN00357</t>
  </si>
  <si>
    <t xml:space="preserve">TXN00439</t>
  </si>
  <si>
    <t xml:space="preserve">TXN00602</t>
  </si>
  <si>
    <t xml:space="preserve">TXN00206</t>
  </si>
  <si>
    <t xml:space="preserve">TXN00234</t>
  </si>
  <si>
    <t xml:space="preserve">TXN00198</t>
  </si>
  <si>
    <t xml:space="preserve">TXN00125</t>
  </si>
  <si>
    <t xml:space="preserve">TXN00367</t>
  </si>
  <si>
    <t xml:space="preserve">TXN00586</t>
  </si>
  <si>
    <t xml:space="preserve">TXN00508</t>
  </si>
  <si>
    <t xml:space="preserve">TXN00605</t>
  </si>
  <si>
    <t xml:space="preserve">TXN00218</t>
  </si>
  <si>
    <t xml:space="preserve">TXN00122</t>
  </si>
  <si>
    <t xml:space="preserve">TXN00224</t>
  </si>
  <si>
    <t xml:space="preserve">TXN00344</t>
  </si>
  <si>
    <t xml:space="preserve">TXN00286</t>
  </si>
  <si>
    <t xml:space="preserve">TXN00197</t>
  </si>
  <si>
    <t xml:space="preserve">TXN00580</t>
  </si>
  <si>
    <t xml:space="preserve">TXN00075</t>
  </si>
  <si>
    <t xml:space="preserve">TXN00584</t>
  </si>
  <si>
    <t xml:space="preserve">TXN00106</t>
  </si>
  <si>
    <t xml:space="preserve">TXN00343</t>
  </si>
  <si>
    <t xml:space="preserve">TXN00449</t>
  </si>
  <si>
    <t xml:space="preserve">TXN00054</t>
  </si>
  <si>
    <t xml:space="preserve">TXN00240</t>
  </si>
  <si>
    <t xml:space="preserve">TXN00228</t>
  </si>
  <si>
    <t xml:space="preserve">TXN00493</t>
  </si>
  <si>
    <t xml:space="preserve">TXN00313</t>
  </si>
  <si>
    <t xml:space="preserve">TXN00189</t>
  </si>
  <si>
    <t xml:space="preserve">TXN00492</t>
  </si>
  <si>
    <t xml:space="preserve">TXN00217</t>
  </si>
  <si>
    <t xml:space="preserve">TXN00074</t>
  </si>
  <si>
    <t xml:space="preserve">TXN00362</t>
  </si>
  <si>
    <t xml:space="preserve">TXN00231</t>
  </si>
  <si>
    <t xml:space="preserve">TXN00114</t>
  </si>
  <si>
    <t xml:space="preserve">TXN00305</t>
  </si>
  <si>
    <t xml:space="preserve">TXN00057</t>
  </si>
  <si>
    <t xml:space="preserve">TXN00535</t>
  </si>
  <si>
    <t xml:space="preserve">TXN00072</t>
  </si>
  <si>
    <t xml:space="preserve">TXN00212</t>
  </si>
  <si>
    <t xml:space="preserve">TXN00306</t>
  </si>
  <si>
    <t xml:space="preserve">TXN00440</t>
  </si>
  <si>
    <t xml:space="preserve">TXN00170</t>
  </si>
  <si>
    <t xml:space="preserve">TXN00322</t>
  </si>
  <si>
    <t xml:space="preserve">TXN00199</t>
  </si>
  <si>
    <t xml:space="preserve">TXN00539</t>
  </si>
  <si>
    <t xml:space="preserve">TXN00012</t>
  </si>
  <si>
    <t xml:space="preserve">TXN00184</t>
  </si>
  <si>
    <t xml:space="preserve">TXN00526</t>
  </si>
  <si>
    <t xml:space="preserve">TXN00563</t>
  </si>
  <si>
    <t xml:space="preserve">TXN00321</t>
  </si>
  <si>
    <t xml:space="preserve">TXN00604</t>
  </si>
  <si>
    <t xml:space="preserve">TXN00425</t>
  </si>
  <si>
    <t xml:space="preserve">TXN00273</t>
  </si>
  <si>
    <t xml:space="preserve">TXN00081</t>
  </si>
  <si>
    <t xml:space="preserve">TXN00470</t>
  </si>
  <si>
    <t xml:space="preserve">TXN00192</t>
  </si>
  <si>
    <t xml:space="preserve">TXN00382</t>
  </si>
  <si>
    <t xml:space="preserve">TXN00069</t>
  </si>
  <si>
    <t xml:space="preserve">TXN00524</t>
  </si>
  <si>
    <t xml:space="preserve">TXN00391</t>
  </si>
  <si>
    <t xml:space="preserve">TXN00476</t>
  </si>
  <si>
    <t xml:space="preserve">TXN00270</t>
  </si>
  <si>
    <t xml:space="preserve">TXN00417</t>
  </si>
  <si>
    <t xml:space="preserve">TXN00051</t>
  </si>
  <si>
    <t xml:space="preserve">TXN00555</t>
  </si>
  <si>
    <t xml:space="preserve">TXN00058</t>
  </si>
  <si>
    <t xml:space="preserve">TXN00559</t>
  </si>
  <si>
    <t xml:space="preserve">TXN00560</t>
  </si>
  <si>
    <t xml:space="preserve">TXN00460</t>
  </si>
  <si>
    <t xml:space="preserve">TXN00181</t>
  </si>
  <si>
    <t xml:space="preserve">TXN00473</t>
  </si>
  <si>
    <t xml:space="preserve">TXN00372</t>
  </si>
  <si>
    <t xml:space="preserve">TXN00094</t>
  </si>
  <si>
    <t xml:space="preserve">TXN00019</t>
  </si>
  <si>
    <t xml:space="preserve">TXN00607</t>
  </si>
  <si>
    <t xml:space="preserve">TXN00091</t>
  </si>
  <si>
    <t xml:space="preserve">TXN00532</t>
  </si>
  <si>
    <t xml:space="preserve">TXN00521</t>
  </si>
  <si>
    <t xml:space="preserve">TXN00437</t>
  </si>
  <si>
    <t xml:space="preserve">TXN00045</t>
  </si>
  <si>
    <t xml:space="preserve">TXN00131</t>
  </si>
  <si>
    <t xml:space="preserve">TXN00396</t>
  </si>
  <si>
    <t xml:space="preserve">TXN00141</t>
  </si>
  <si>
    <t xml:space="preserve">TXN00253</t>
  </si>
  <si>
    <t xml:space="preserve">TXN00571</t>
  </si>
  <si>
    <t xml:space="preserve">TXN00503</t>
  </si>
  <si>
    <t xml:space="preserve">TXN00247</t>
  </si>
  <si>
    <t xml:space="preserve">TXN00111</t>
  </si>
  <si>
    <t xml:space="preserve">TXN00089</t>
  </si>
  <si>
    <t xml:space="preserve">TXN00158</t>
  </si>
  <si>
    <t xml:space="preserve">TXN00064</t>
  </si>
  <si>
    <t xml:space="preserve">TXN00587</t>
  </si>
  <si>
    <t xml:space="preserve">TXN00275</t>
  </si>
  <si>
    <t xml:space="preserve">TXN00428</t>
  </si>
  <si>
    <t xml:space="preserve">TXN00010</t>
  </si>
  <si>
    <t xml:space="preserve">TXN00085</t>
  </si>
  <si>
    <t xml:space="preserve">TXN00263</t>
  </si>
  <si>
    <t xml:space="preserve">TXN00266</t>
  </si>
  <si>
    <t xml:space="preserve">TXN00156</t>
  </si>
  <si>
    <t xml:space="preserve">TXN00084</t>
  </si>
  <si>
    <t xml:space="preserve">TXN00254</t>
  </si>
  <si>
    <t xml:space="preserve">TXN00448</t>
  </si>
  <si>
    <t xml:space="preserve">TXN00394</t>
  </si>
  <si>
    <t xml:space="preserve">TXN00159</t>
  </si>
  <si>
    <t xml:space="preserve">TXN00595</t>
  </si>
  <si>
    <t xml:space="preserve">TXN00243</t>
  </si>
  <si>
    <t xml:space="preserve">TXN00284</t>
  </si>
  <si>
    <t xml:space="preserve">TXN00129</t>
  </si>
  <si>
    <t xml:space="preserve">TXN00281</t>
  </si>
  <si>
    <t xml:space="preserve">TXN00412</t>
  </si>
  <si>
    <t xml:space="preserve">TXN00134</t>
  </si>
  <si>
    <t xml:space="preserve">TXN00204</t>
  </si>
  <si>
    <t xml:space="preserve">TXN00133</t>
  </si>
  <si>
    <t xml:space="preserve">TXN00023</t>
  </si>
  <si>
    <t xml:space="preserve">TXN00167</t>
  </si>
  <si>
    <t xml:space="preserve">TXN00162</t>
  </si>
  <si>
    <t xml:space="preserve">TXN00290</t>
  </si>
  <si>
    <t xml:space="preserve">TXN00225</t>
  </si>
  <si>
    <t xml:space="preserve">TXN00265</t>
  </si>
  <si>
    <t xml:space="preserve">TXN00427</t>
  </si>
  <si>
    <t xml:space="preserve">TXN00340</t>
  </si>
  <si>
    <t xml:space="preserve">TXN00600</t>
  </si>
  <si>
    <t xml:space="preserve">TXN00061</t>
  </si>
  <si>
    <t xml:space="preserve">TXN00334</t>
  </si>
  <si>
    <t xml:space="preserve">TXN00239</t>
  </si>
  <si>
    <t xml:space="preserve">TXN00048</t>
  </si>
  <si>
    <t xml:space="preserve">TXN00434</t>
  </si>
  <si>
    <t xml:space="preserve">TXN00388</t>
  </si>
  <si>
    <t xml:space="preserve">TXN00416</t>
  </si>
  <si>
    <t xml:space="preserve">TXN00320</t>
  </si>
  <si>
    <t xml:space="preserve">TXN00040</t>
  </si>
  <si>
    <t xml:space="preserve">TXN00086</t>
  </si>
  <si>
    <t xml:space="preserve">TXN00458</t>
  </si>
  <si>
    <t xml:space="preserve">TXN00384</t>
  </si>
  <si>
    <t xml:space="preserve">TXN00014</t>
  </si>
  <si>
    <t xml:space="preserve">TXN00471</t>
  </si>
  <si>
    <t xml:space="preserve">TXN00294</t>
  </si>
  <si>
    <t xml:space="preserve">TXN00553</t>
  </si>
  <si>
    <t xml:space="preserve">TXN00261</t>
  </si>
  <si>
    <t xml:space="preserve">TXN00393</t>
  </si>
  <si>
    <t xml:space="preserve">TXN00452</t>
  </si>
  <si>
    <t xml:space="preserve">TXN00336</t>
  </si>
  <si>
    <t xml:space="preserve">TXN00223</t>
  </si>
  <si>
    <t xml:space="preserve">TXN00244</t>
  </si>
  <si>
    <t xml:space="preserve">TXN00245</t>
  </si>
  <si>
    <t xml:space="preserve">TXN00547</t>
  </si>
  <si>
    <t xml:space="preserve">TXN00574</t>
  </si>
  <si>
    <t xml:space="preserve">TXN00302</t>
  </si>
  <si>
    <t xml:space="preserve">TXN00055</t>
  </si>
  <si>
    <t xml:space="preserve">TXN00100</t>
  </si>
  <si>
    <t xml:space="preserve">TXN00554</t>
  </si>
  <si>
    <t xml:space="preserve">TXN00481</t>
  </si>
  <si>
    <t xml:space="preserve">TXN00504</t>
  </si>
  <si>
    <t xml:space="preserve">TXN00615</t>
  </si>
  <si>
    <t xml:space="preserve">TXN00459</t>
  </si>
  <si>
    <t xml:space="preserve">TXN00489</t>
  </si>
  <si>
    <t xml:space="preserve">TXN00478</t>
  </si>
  <si>
    <t xml:space="preserve">TXN00399</t>
  </si>
  <si>
    <t xml:space="preserve">TXN00161</t>
  </si>
  <si>
    <t xml:space="preserve">TXN00147</t>
  </si>
  <si>
    <t xml:space="preserve">TXN00110</t>
  </si>
  <si>
    <t xml:space="preserve">TXN00130</t>
  </si>
  <si>
    <t xml:space="preserve">TXN00525</t>
  </si>
  <si>
    <t xml:space="preserve">TXN00556</t>
  </si>
  <si>
    <t xml:space="preserve">TXN00026</t>
  </si>
  <si>
    <t xml:space="preserve">TXN00392</t>
  </si>
  <si>
    <t xml:space="preserve">TXN00430</t>
  </si>
  <si>
    <t xml:space="preserve">TXN00411</t>
  </si>
  <si>
    <t xml:space="preserve">TXN00456</t>
  </si>
  <si>
    <t xml:space="preserve">TXN00567</t>
  </si>
  <si>
    <t xml:space="preserve">TXN00195</t>
  </si>
  <si>
    <t xml:space="preserve">TXN00046</t>
  </si>
  <si>
    <t xml:space="preserve">TXN00365</t>
  </si>
  <si>
    <t xml:space="preserve">TXN00073</t>
  </si>
  <si>
    <t xml:space="preserve">TXN00612</t>
  </si>
  <si>
    <t xml:space="preserve">TXN00400</t>
  </si>
  <si>
    <t xml:space="preserve">TXN00450</t>
  </si>
  <si>
    <t xml:space="preserve">TXN00309</t>
  </si>
  <si>
    <t xml:space="preserve">TXN00182</t>
  </si>
  <si>
    <t xml:space="preserve">TXN00024</t>
  </si>
  <si>
    <t xml:space="preserve">TXN00354</t>
  </si>
  <si>
    <t xml:space="preserve">TXN00561</t>
  </si>
  <si>
    <t xml:space="preserve">TXN00487</t>
  </si>
  <si>
    <t xml:space="preserve">TXN00079</t>
  </si>
  <si>
    <t xml:space="preserve">TXN00418</t>
  </si>
  <si>
    <t xml:space="preserve">TXN00328</t>
  </si>
  <si>
    <t xml:space="preserve">TXN00364</t>
  </si>
  <si>
    <t xml:space="preserve">TXN00277</t>
  </si>
  <si>
    <t xml:space="preserve">TXN00304</t>
  </si>
  <si>
    <t xml:space="preserve">TXN00551</t>
  </si>
  <si>
    <t xml:space="preserve">TXN00537</t>
  </si>
  <si>
    <t xml:space="preserve">TXN00103</t>
  </si>
  <si>
    <t xml:space="preserve">TXN00146</t>
  </si>
  <si>
    <t xml:space="preserve">TXN00541</t>
  </si>
  <si>
    <t xml:space="preserve">TXN00185</t>
  </si>
  <si>
    <t xml:space="preserve">Pharmacy Sales Analysis</t>
  </si>
  <si>
    <t xml:space="preserve">Top-selling medicines, monthly growth, and branded vs. generic performance</t>
  </si>
  <si>
    <t xml:space="preserve">Top-Selling Medicines</t>
  </si>
  <si>
    <t xml:space="preserve">Units Sold</t>
  </si>
  <si>
    <t xml:space="preserve">Total Revenue</t>
  </si>
  <si>
    <t xml:space="preserve">% of Total Revenue</t>
  </si>
  <si>
    <t xml:space="preserve">Total</t>
  </si>
  <si>
    <t xml:space="preserve">Monthly Sales Trend</t>
  </si>
  <si>
    <t xml:space="preserve">Month</t>
  </si>
  <si>
    <t xml:space="preserve">Growth % (vs. prior month)</t>
  </si>
  <si>
    <t xml:space="preserve">Sep-2025</t>
  </si>
  <si>
    <t xml:space="preserve">—</t>
  </si>
  <si>
    <t xml:space="preserve">Oct-2025</t>
  </si>
  <si>
    <t xml:space="preserve">Nov-2025</t>
  </si>
  <si>
    <t xml:space="preserve">Dec-2025</t>
  </si>
  <si>
    <t xml:space="preserve">Jan-2026</t>
  </si>
  <si>
    <t xml:space="preserve">Feb-2026</t>
  </si>
  <si>
    <t xml:space="preserve">Mar-2026</t>
  </si>
  <si>
    <t xml:space="preserve">Apr-2026</t>
  </si>
  <si>
    <t xml:space="preserve">May-2026</t>
  </si>
  <si>
    <t xml:space="preserve">Jun-2026</t>
  </si>
  <si>
    <t xml:space="preserve">Jul-2026</t>
  </si>
  <si>
    <t xml:space="preserve">Aug-2026</t>
  </si>
  <si>
    <t xml:space="preserve">Branded vs. Generic Comparison</t>
  </si>
  <si>
    <t xml:space="preserve">Type</t>
  </si>
  <si>
    <t xml:space="preserve">Avg. Unit Price</t>
  </si>
</sst>
</file>

<file path=xl/styles.xml><?xml version="1.0" encoding="utf-8"?>
<styleSheet xmlns="http://schemas.openxmlformats.org/spreadsheetml/2006/main">
  <numFmts count="10">
    <numFmt numFmtId="164" formatCode="General"/>
    <numFmt numFmtId="165" formatCode="0"/>
    <numFmt numFmtId="166" formatCode="yyyy\-mm\-dd"/>
    <numFmt numFmtId="167" formatCode="General"/>
    <numFmt numFmtId="168" formatCode="0.0%"/>
    <numFmt numFmtId="169" formatCode="0.0"/>
    <numFmt numFmtId="170" formatCode="\₹#,##0.00"/>
    <numFmt numFmtId="171" formatCode="\₹#,##0"/>
    <numFmt numFmtId="172" formatCode="\+0.0%;\-0.0%"/>
    <numFmt numFmtId="173" formatCode="\₹#,##0.0"/>
  </numFmts>
  <fonts count="17">
    <font>
      <sz val="11"/>
      <color theme="1"/>
      <name val="Calibri"/>
      <family val="2"/>
      <charset val="1"/>
    </font>
    <font>
      <sz val="10"/>
      <name val="Arial"/>
      <family val="0"/>
    </font>
    <font>
      <sz val="10"/>
      <name val="Arial"/>
      <family val="0"/>
    </font>
    <font>
      <sz val="10"/>
      <name val="Arial"/>
      <family val="0"/>
    </font>
    <font>
      <b val="true"/>
      <sz val="16"/>
      <color rgb="FF1F4E78"/>
      <name val="Arial"/>
      <family val="0"/>
      <charset val="1"/>
    </font>
    <font>
      <i val="true"/>
      <sz val="11"/>
      <color rgb="FF555555"/>
      <name val="Arial"/>
      <family val="0"/>
      <charset val="1"/>
    </font>
    <font>
      <b val="true"/>
      <sz val="12"/>
      <color rgb="FF1F4E78"/>
      <name val="Arial"/>
      <family val="0"/>
      <charset val="1"/>
    </font>
    <font>
      <sz val="11"/>
      <color rgb="FF000000"/>
      <name val="Arial"/>
      <family val="0"/>
      <charset val="1"/>
    </font>
    <font>
      <b val="true"/>
      <sz val="11"/>
      <color rgb="FFFFFFFF"/>
      <name val="Arial"/>
      <family val="0"/>
      <charset val="1"/>
    </font>
    <font>
      <b val="true"/>
      <sz val="11"/>
      <color rgb="FF000000"/>
      <name val="Arial"/>
      <family val="0"/>
      <charset val="1"/>
    </font>
    <font>
      <b val="true"/>
      <sz val="12"/>
      <color rgb="FFFFFFFF"/>
      <name val="Arial"/>
      <family val="0"/>
      <charset val="1"/>
    </font>
    <font>
      <b val="true"/>
      <sz val="11"/>
      <color rgb="FF1F4E78"/>
      <name val="Arial"/>
      <family val="0"/>
      <charset val="1"/>
    </font>
    <font>
      <b val="true"/>
      <sz val="18"/>
      <color rgb="FF000000"/>
      <name val="Calibri"/>
      <family val="2"/>
    </font>
    <font>
      <sz val="10"/>
      <color rgb="FF000000"/>
      <name val="Calibri"/>
      <family val="2"/>
    </font>
    <font>
      <b val="true"/>
      <sz val="10"/>
      <color rgb="FF000000"/>
      <name val="Calibri"/>
      <family val="2"/>
    </font>
    <font>
      <b val="true"/>
      <sz val="14"/>
      <color rgb="FF1F4E78"/>
      <name val="Arial"/>
      <family val="0"/>
      <charset val="1"/>
    </font>
    <font>
      <i val="true"/>
      <sz val="10"/>
      <color rgb="FF555555"/>
      <name val="Arial"/>
      <family val="0"/>
      <charset val="1"/>
    </font>
  </fonts>
  <fills count="4">
    <fill>
      <patternFill patternType="none"/>
    </fill>
    <fill>
      <patternFill patternType="gray125"/>
    </fill>
    <fill>
      <patternFill patternType="solid">
        <fgColor rgb="FF2E86A6"/>
        <bgColor rgb="FF4F81BD"/>
      </patternFill>
    </fill>
    <fill>
      <patternFill patternType="solid">
        <fgColor rgb="FF1F4E78"/>
        <bgColor rgb="FF003366"/>
      </patternFill>
    </fill>
  </fills>
  <borders count="2">
    <border diagonalUp="false" diagonalDown="false">
      <left/>
      <right/>
      <top/>
      <bottom/>
      <diagonal/>
    </border>
    <border diagonalUp="false" diagonalDown="false">
      <left style="thin">
        <color rgb="FFB7B7B7"/>
      </left>
      <right style="thin">
        <color rgb="FFB7B7B7"/>
      </right>
      <top style="thin">
        <color rgb="FFB7B7B7"/>
      </top>
      <bottom style="thin">
        <color rgb="FFB7B7B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center" vertical="center" textRotation="0" wrapText="false" indent="0" shrinkToFit="false"/>
      <protection locked="true" hidden="false"/>
    </xf>
    <xf numFmtId="164" fontId="9" fillId="0" borderId="1" xfId="0" applyFont="true" applyBorder="true" applyAlignment="true" applyProtection="false">
      <alignment horizontal="general" vertical="center" textRotation="0" wrapText="tru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4" fontId="10" fillId="3" borderId="0" xfId="0" applyFont="true" applyBorder="true" applyAlignment="true" applyProtection="false">
      <alignment horizontal="general" vertical="center" textRotation="0" wrapText="false" indent="0" shrinkToFit="false"/>
      <protection locked="true" hidden="false"/>
    </xf>
    <xf numFmtId="167" fontId="11" fillId="0" borderId="0" xfId="0" applyFont="true" applyBorder="false" applyAlignment="true" applyProtection="false">
      <alignment horizontal="center"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8" fontId="7" fillId="0"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5" fontId="6" fillId="0" borderId="0" xfId="0" applyFont="true" applyBorder="false" applyAlignment="true" applyProtection="false">
      <alignment horizontal="center" vertical="bottom" textRotation="0" wrapText="false" indent="0" shrinkToFit="false"/>
      <protection locked="true" hidden="false"/>
    </xf>
    <xf numFmtId="169" fontId="6" fillId="0" borderId="0" xfId="0" applyFont="true" applyBorder="false" applyAlignment="true" applyProtection="false">
      <alignment horizontal="center"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true" applyAlignment="true" applyProtection="false">
      <alignment horizontal="general" vertical="top" textRotation="0" wrapText="true" indent="0" shrinkToFit="false"/>
      <protection locked="true" hidden="false"/>
    </xf>
    <xf numFmtId="170" fontId="7" fillId="0" borderId="0" xfId="0" applyFont="true" applyBorder="false" applyAlignment="false" applyProtection="false">
      <alignment horizontal="general" vertical="bottom" textRotation="0" wrapText="false" indent="0" shrinkToFit="false"/>
      <protection locked="true" hidden="false"/>
    </xf>
    <xf numFmtId="171" fontId="7" fillId="0" borderId="1"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71" fontId="9" fillId="0" borderId="1" xfId="0" applyFont="true" applyBorder="true" applyAlignment="false" applyProtection="false">
      <alignment horizontal="general" vertical="bottom" textRotation="0" wrapText="false" indent="0" shrinkToFit="false"/>
      <protection locked="true" hidden="false"/>
    </xf>
    <xf numFmtId="172" fontId="7" fillId="0" borderId="1" xfId="0" applyFont="true" applyBorder="true" applyAlignment="false" applyProtection="false">
      <alignment horizontal="general" vertical="bottom" textRotation="0" wrapText="false" indent="0" shrinkToFit="false"/>
      <protection locked="true" hidden="false"/>
    </xf>
    <xf numFmtId="173" fontId="7"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2E86A6"/>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ont>
        <b val="1"/>
        <color rgb="FF1E7B34"/>
      </font>
    </dxf>
    <dxf>
      <font>
        <b val="1"/>
        <color rgb="FFC00000"/>
      </font>
    </dxf>
  </dxfs>
  <colors>
    <indexedColors>
      <rgbColor rgb="FF000000"/>
      <rgbColor rgb="FFFFFFFF"/>
      <rgbColor rgb="FFC00000"/>
      <rgbColor rgb="FF00FF00"/>
      <rgbColor rgb="FF0000FF"/>
      <rgbColor rgb="FFFFFF00"/>
      <rgbColor rgb="FFFF00FF"/>
      <rgbColor rgb="FF00FFFF"/>
      <rgbColor rgb="FF800000"/>
      <rgbColor rgb="FF1E7B34"/>
      <rgbColor rgb="FF000080"/>
      <rgbColor rgb="FF808000"/>
      <rgbColor rgb="FF800080"/>
      <rgbColor rgb="FF008080"/>
      <rgbColor rgb="FFB7B7B7"/>
      <rgbColor rgb="FF878787"/>
      <rgbColor rgb="FF9999FF"/>
      <rgbColor rgb="FFBE4B48"/>
      <rgbColor rgb="FFF9F9F9"/>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BBB59"/>
      <rgbColor rgb="FFFFCC00"/>
      <rgbColor rgb="FFFF9900"/>
      <rgbColor rgb="FFFF6600"/>
      <rgbColor rgb="FF4F81BD"/>
      <rgbColor rgb="FF969696"/>
      <rgbColor rgb="FF003366"/>
      <rgbColor rgb="FF2E86A6"/>
      <rgbColor rgb="FF003300"/>
      <rgbColor rgb="FF333300"/>
      <rgbColor rgb="FF993300"/>
      <rgbColor rgb="FFC0504D"/>
      <rgbColor rgb="FF1F4E78"/>
      <rgbColor rgb="FF555555"/>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Most Common Diseases</a:t>
            </a:r>
          </a:p>
        </c:rich>
      </c:tx>
      <c:overlay val="0"/>
      <c:spPr>
        <a:noFill/>
        <a:ln w="0">
          <a:noFill/>
        </a:ln>
      </c:spPr>
    </c:title>
    <c:autoTitleDeleted val="0"/>
    <c:plotArea>
      <c:barChart>
        <c:barDir val="col"/>
        <c:grouping val="clustered"/>
        <c:varyColors val="0"/>
        <c:ser>
          <c:idx val="0"/>
          <c:order val="0"/>
          <c:tx>
            <c:strRef>
              <c:f>'Analysis Summary'!C20</c:f>
              <c:strCache>
                <c:ptCount val="1"/>
                <c:pt idx="0">
                  <c:v>Patient Count</c:v>
                </c:pt>
              </c:strCache>
            </c:strRef>
          </c:tx>
          <c:spPr>
            <a:solidFill>
              <a:srgbClr val="4f81bd"/>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'Analysis Summary'!$B$21:$B$35</c:f>
              <c:strCache>
                <c:ptCount val="15"/>
                <c:pt idx="0">
                  <c:v>Hypertension</c:v>
                </c:pt>
                <c:pt idx="1">
                  <c:v>Diabetes</c:v>
                </c:pt>
                <c:pt idx="2">
                  <c:v>Flu</c:v>
                </c:pt>
                <c:pt idx="3">
                  <c:v>Migraine</c:v>
                </c:pt>
                <c:pt idx="4">
                  <c:v>Asthma</c:v>
                </c:pt>
                <c:pt idx="5">
                  <c:v>Anemia</c:v>
                </c:pt>
                <c:pt idx="6">
                  <c:v>Arthritis</c:v>
                </c:pt>
                <c:pt idx="7">
                  <c:v>Bronchitis</c:v>
                </c:pt>
                <c:pt idx="8">
                  <c:v>Obesity</c:v>
                </c:pt>
                <c:pt idx="9">
                  <c:v>Allergy</c:v>
                </c:pt>
                <c:pt idx="10">
                  <c:v>Not Specified</c:v>
                </c:pt>
                <c:pt idx="11">
                  <c:v>Thyroid Disorder</c:v>
                </c:pt>
                <c:pt idx="12">
                  <c:v>Depression</c:v>
                </c:pt>
                <c:pt idx="13">
                  <c:v>Covid-19</c:v>
                </c:pt>
                <c:pt idx="14">
                  <c:v>Gastritis</c:v>
                </c:pt>
              </c:strCache>
            </c:strRef>
          </c:cat>
          <c:val>
            <c:numRef>
              <c:f>'Analysis Summary'!$C$21:$C$35</c:f>
              <c:numCache>
                <c:formatCode>General</c:formatCode>
                <c:ptCount val="15"/>
                <c:pt idx="0">
                  <c:v>43</c:v>
                </c:pt>
                <c:pt idx="1">
                  <c:v>30</c:v>
                </c:pt>
                <c:pt idx="2">
                  <c:v>22</c:v>
                </c:pt>
                <c:pt idx="3">
                  <c:v>19</c:v>
                </c:pt>
                <c:pt idx="4">
                  <c:v>18</c:v>
                </c:pt>
                <c:pt idx="5">
                  <c:v>16</c:v>
                </c:pt>
                <c:pt idx="6">
                  <c:v>14</c:v>
                </c:pt>
                <c:pt idx="7">
                  <c:v>14</c:v>
                </c:pt>
                <c:pt idx="8">
                  <c:v>12</c:v>
                </c:pt>
                <c:pt idx="9">
                  <c:v>10</c:v>
                </c:pt>
                <c:pt idx="10">
                  <c:v>9</c:v>
                </c:pt>
                <c:pt idx="11">
                  <c:v>8</c:v>
                </c:pt>
                <c:pt idx="12">
                  <c:v>7</c:v>
                </c:pt>
                <c:pt idx="13">
                  <c:v>5</c:v>
                </c:pt>
                <c:pt idx="14">
                  <c:v>3</c:v>
                </c:pt>
              </c:numCache>
            </c:numRef>
          </c:val>
        </c:ser>
        <c:gapWidth val="150"/>
        <c:overlap val="0"/>
        <c:axId val="25162670"/>
        <c:axId val="65884078"/>
      </c:barChart>
      <c:catAx>
        <c:axId val="25162670"/>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Disease</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5884078"/>
        <c:crosses val="autoZero"/>
        <c:auto val="1"/>
        <c:lblAlgn val="ctr"/>
        <c:lblOffset val="100"/>
        <c:noMultiLvlLbl val="0"/>
      </c:catAx>
      <c:valAx>
        <c:axId val="65884078"/>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Patient Count</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5162670"/>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Gender Distribution</a:t>
            </a:r>
          </a:p>
        </c:rich>
      </c:tx>
      <c:overlay val="0"/>
      <c:spPr>
        <a:noFill/>
        <a:ln w="0">
          <a:noFill/>
        </a:ln>
      </c:spPr>
    </c:title>
    <c:autoTitleDeleted val="0"/>
    <c:plotArea>
      <c:pieChart>
        <c:varyColors val="1"/>
        <c:ser>
          <c:idx val="0"/>
          <c:order val="0"/>
          <c:tx>
            <c:strRef>
              <c:f>'Analysis Summary'!C14</c:f>
              <c:strCache>
                <c:ptCount val="1"/>
                <c:pt idx="0">
                  <c:v>Patient Count</c:v>
                </c:pt>
              </c:strCache>
            </c:strRef>
          </c:tx>
          <c:spPr>
            <a:solidFill>
              <a:srgbClr val="4f81bd"/>
            </a:solidFill>
            <a:ln w="0">
              <a:noFill/>
            </a:ln>
          </c:spPr>
          <c:explosion val="0"/>
          <c:dPt>
            <c:idx val="0"/>
            <c:spPr>
              <a:solidFill>
                <a:srgbClr val="4f81bd"/>
              </a:solidFill>
              <a:ln w="0">
                <a:noFill/>
              </a:ln>
            </c:spPr>
          </c:dPt>
          <c:dPt>
            <c:idx val="1"/>
            <c:spPr>
              <a:solidFill>
                <a:srgbClr val="c0504d"/>
              </a:solidFill>
              <a:ln w="0">
                <a:noFill/>
              </a:ln>
            </c:spPr>
          </c:dPt>
          <c:dPt>
            <c:idx val="2"/>
            <c:spPr>
              <a:solidFill>
                <a:srgbClr val="9bbb59"/>
              </a:solidFill>
              <a:ln w="0">
                <a:noFill/>
              </a:ln>
            </c:spPr>
          </c:dPt>
          <c:dLbls>
            <c:dLbl>
              <c:idx val="0"/>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dLbl>
              <c:idx val="1"/>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dLbl>
              <c:idx val="2"/>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showLeaderLines val="1"/>
          </c:dLbls>
          <c:cat>
            <c:strRef>
              <c:f>'Analysis Summary'!$B$15:$B$17</c:f>
              <c:strCache>
                <c:ptCount val="3"/>
                <c:pt idx="0">
                  <c:v>Male</c:v>
                </c:pt>
                <c:pt idx="1">
                  <c:v>Female</c:v>
                </c:pt>
                <c:pt idx="2">
                  <c:v>Unknown</c:v>
                </c:pt>
              </c:strCache>
            </c:strRef>
          </c:cat>
          <c:val>
            <c:numRef>
              <c:f>'Analysis Summary'!$C$15:$C$17</c:f>
              <c:numCache>
                <c:formatCode>General</c:formatCode>
                <c:ptCount val="3"/>
                <c:pt idx="0">
                  <c:v>114</c:v>
                </c:pt>
                <c:pt idx="1">
                  <c:v>110</c:v>
                </c:pt>
                <c:pt idx="2">
                  <c:v>6</c:v>
                </c:pt>
              </c:numCache>
            </c:numRef>
          </c:val>
        </c:ser>
        <c:firstSliceAng val="0"/>
      </c:pieChart>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Disease Distribution</a:t>
            </a:r>
          </a:p>
        </c:rich>
      </c:tx>
      <c:overlay val="0"/>
      <c:spPr>
        <a:noFill/>
        <a:ln w="0">
          <a:noFill/>
        </a:ln>
      </c:spPr>
    </c:title>
    <c:autoTitleDeleted val="0"/>
    <c:plotArea>
      <c:barChart>
        <c:barDir val="col"/>
        <c:grouping val="clustered"/>
        <c:varyColors val="0"/>
        <c:ser>
          <c:idx val="0"/>
          <c:order val="0"/>
          <c:tx>
            <c:strRef>
              <c:f>Visualizations!C6</c:f>
              <c:strCache>
                <c:ptCount val="1"/>
                <c:pt idx="0">
                  <c:v>Patient Count</c:v>
                </c:pt>
              </c:strCache>
            </c:strRef>
          </c:tx>
          <c:spPr>
            <a:solidFill>
              <a:srgbClr val="4f81bd"/>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Visualizations!$B$7:$B$21</c:f>
              <c:strCache>
                <c:ptCount val="15"/>
                <c:pt idx="0">
                  <c:v>Hypertension</c:v>
                </c:pt>
                <c:pt idx="1">
                  <c:v>Diabetes</c:v>
                </c:pt>
                <c:pt idx="2">
                  <c:v>Flu</c:v>
                </c:pt>
                <c:pt idx="3">
                  <c:v>Migraine</c:v>
                </c:pt>
                <c:pt idx="4">
                  <c:v>Asthma</c:v>
                </c:pt>
                <c:pt idx="5">
                  <c:v>Anemia</c:v>
                </c:pt>
                <c:pt idx="6">
                  <c:v>Arthritis</c:v>
                </c:pt>
                <c:pt idx="7">
                  <c:v>Bronchitis</c:v>
                </c:pt>
                <c:pt idx="8">
                  <c:v>Obesity</c:v>
                </c:pt>
                <c:pt idx="9">
                  <c:v>Allergy</c:v>
                </c:pt>
                <c:pt idx="10">
                  <c:v>Not Specified</c:v>
                </c:pt>
                <c:pt idx="11">
                  <c:v>Thyroid Disorder</c:v>
                </c:pt>
                <c:pt idx="12">
                  <c:v>Depression</c:v>
                </c:pt>
                <c:pt idx="13">
                  <c:v>Covid-19</c:v>
                </c:pt>
                <c:pt idx="14">
                  <c:v>Gastritis</c:v>
                </c:pt>
              </c:strCache>
            </c:strRef>
          </c:cat>
          <c:val>
            <c:numRef>
              <c:f>Visualizations!$C$7:$C$21</c:f>
              <c:numCache>
                <c:formatCode>General</c:formatCode>
                <c:ptCount val="15"/>
                <c:pt idx="0">
                  <c:v>43</c:v>
                </c:pt>
                <c:pt idx="1">
                  <c:v>30</c:v>
                </c:pt>
                <c:pt idx="2">
                  <c:v>22</c:v>
                </c:pt>
                <c:pt idx="3">
                  <c:v>19</c:v>
                </c:pt>
                <c:pt idx="4">
                  <c:v>18</c:v>
                </c:pt>
                <c:pt idx="5">
                  <c:v>16</c:v>
                </c:pt>
                <c:pt idx="6">
                  <c:v>14</c:v>
                </c:pt>
                <c:pt idx="7">
                  <c:v>14</c:v>
                </c:pt>
                <c:pt idx="8">
                  <c:v>12</c:v>
                </c:pt>
                <c:pt idx="9">
                  <c:v>10</c:v>
                </c:pt>
                <c:pt idx="10">
                  <c:v>9</c:v>
                </c:pt>
                <c:pt idx="11">
                  <c:v>8</c:v>
                </c:pt>
                <c:pt idx="12">
                  <c:v>7</c:v>
                </c:pt>
                <c:pt idx="13">
                  <c:v>5</c:v>
                </c:pt>
                <c:pt idx="14">
                  <c:v>3</c:v>
                </c:pt>
              </c:numCache>
            </c:numRef>
          </c:val>
        </c:ser>
        <c:gapWidth val="150"/>
        <c:overlap val="0"/>
        <c:axId val="24851798"/>
        <c:axId val="41238823"/>
      </c:barChart>
      <c:catAx>
        <c:axId val="24851798"/>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1238823"/>
        <c:crosses val="autoZero"/>
        <c:auto val="1"/>
        <c:lblAlgn val="ctr"/>
        <c:lblOffset val="100"/>
        <c:noMultiLvlLbl val="0"/>
      </c:catAx>
      <c:valAx>
        <c:axId val="41238823"/>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Patient Count</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4851798"/>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Age Distribution</a:t>
            </a:r>
          </a:p>
        </c:rich>
      </c:tx>
      <c:overlay val="0"/>
      <c:spPr>
        <a:noFill/>
        <a:ln w="0">
          <a:noFill/>
        </a:ln>
      </c:spPr>
    </c:title>
    <c:autoTitleDeleted val="0"/>
    <c:plotArea>
      <c:barChart>
        <c:barDir val="col"/>
        <c:grouping val="clustered"/>
        <c:varyColors val="0"/>
        <c:ser>
          <c:idx val="0"/>
          <c:order val="0"/>
          <c:tx>
            <c:strRef>
              <c:f>Visualizations!C25</c:f>
              <c:strCache>
                <c:ptCount val="1"/>
                <c:pt idx="0">
                  <c:v>Patient Count</c:v>
                </c:pt>
              </c:strCache>
            </c:strRef>
          </c:tx>
          <c:spPr>
            <a:solidFill>
              <a:srgbClr val="4f81bd"/>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Visualizations!$B$26:$B$35</c:f>
              <c:strCache>
                <c:ptCount val="10"/>
                <c:pt idx="0">
                  <c:v>0-10</c:v>
                </c:pt>
                <c:pt idx="1">
                  <c:v>11-20</c:v>
                </c:pt>
                <c:pt idx="2">
                  <c:v>21-30</c:v>
                </c:pt>
                <c:pt idx="3">
                  <c:v>31-40</c:v>
                </c:pt>
                <c:pt idx="4">
                  <c:v>41-50</c:v>
                </c:pt>
                <c:pt idx="5">
                  <c:v>51-60</c:v>
                </c:pt>
                <c:pt idx="6">
                  <c:v>61-70</c:v>
                </c:pt>
                <c:pt idx="7">
                  <c:v>71-80</c:v>
                </c:pt>
                <c:pt idx="8">
                  <c:v>81-90</c:v>
                </c:pt>
                <c:pt idx="9">
                  <c:v>91-100</c:v>
                </c:pt>
              </c:strCache>
            </c:strRef>
          </c:cat>
          <c:val>
            <c:numRef>
              <c:f>Visualizations!$C$26:$C$35</c:f>
              <c:numCache>
                <c:formatCode>General</c:formatCode>
                <c:ptCount val="10"/>
                <c:pt idx="0">
                  <c:v>3</c:v>
                </c:pt>
                <c:pt idx="1">
                  <c:v>12</c:v>
                </c:pt>
                <c:pt idx="2">
                  <c:v>28</c:v>
                </c:pt>
                <c:pt idx="3">
                  <c:v>38</c:v>
                </c:pt>
                <c:pt idx="4">
                  <c:v>62</c:v>
                </c:pt>
                <c:pt idx="5">
                  <c:v>41</c:v>
                </c:pt>
                <c:pt idx="6">
                  <c:v>24</c:v>
                </c:pt>
                <c:pt idx="7">
                  <c:v>11</c:v>
                </c:pt>
                <c:pt idx="8">
                  <c:v>10</c:v>
                </c:pt>
                <c:pt idx="9">
                  <c:v>1</c:v>
                </c:pt>
              </c:numCache>
            </c:numRef>
          </c:val>
        </c:ser>
        <c:gapWidth val="150"/>
        <c:overlap val="0"/>
        <c:axId val="14097293"/>
        <c:axId val="50111524"/>
      </c:barChart>
      <c:catAx>
        <c:axId val="14097293"/>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Age Range (years)</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0111524"/>
        <c:crosses val="autoZero"/>
        <c:auto val="1"/>
        <c:lblAlgn val="ctr"/>
        <c:lblOffset val="100"/>
        <c:noMultiLvlLbl val="0"/>
      </c:catAx>
      <c:valAx>
        <c:axId val="50111524"/>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Patient Count</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4097293"/>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Gender Ratio</a:t>
            </a:r>
          </a:p>
        </c:rich>
      </c:tx>
      <c:overlay val="0"/>
      <c:spPr>
        <a:noFill/>
        <a:ln w="0">
          <a:noFill/>
        </a:ln>
      </c:spPr>
    </c:title>
    <c:autoTitleDeleted val="0"/>
    <c:plotArea>
      <c:pieChart>
        <c:varyColors val="1"/>
        <c:ser>
          <c:idx val="0"/>
          <c:order val="0"/>
          <c:tx>
            <c:strRef>
              <c:f>Visualizations!C39</c:f>
              <c:strCache>
                <c:ptCount val="1"/>
                <c:pt idx="0">
                  <c:v>Patient Count</c:v>
                </c:pt>
              </c:strCache>
            </c:strRef>
          </c:tx>
          <c:spPr>
            <a:solidFill>
              <a:srgbClr val="4f81bd"/>
            </a:solidFill>
            <a:ln w="0">
              <a:noFill/>
            </a:ln>
          </c:spPr>
          <c:explosion val="0"/>
          <c:dPt>
            <c:idx val="0"/>
            <c:spPr>
              <a:solidFill>
                <a:srgbClr val="4f81bd"/>
              </a:solidFill>
              <a:ln w="0">
                <a:noFill/>
              </a:ln>
            </c:spPr>
          </c:dPt>
          <c:dPt>
            <c:idx val="1"/>
            <c:spPr>
              <a:solidFill>
                <a:srgbClr val="c0504d"/>
              </a:solidFill>
              <a:ln w="0">
                <a:noFill/>
              </a:ln>
            </c:spPr>
          </c:dPt>
          <c:dPt>
            <c:idx val="2"/>
            <c:spPr>
              <a:solidFill>
                <a:srgbClr val="9bbb59"/>
              </a:solidFill>
              <a:ln w="0">
                <a:noFill/>
              </a:ln>
            </c:spPr>
          </c:dPt>
          <c:dLbls>
            <c:dLbl>
              <c:idx val="0"/>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dLbl>
              <c:idx val="1"/>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dLbl>
              <c:idx val="2"/>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showLeaderLines val="1"/>
          </c:dLbls>
          <c:cat>
            <c:strRef>
              <c:f>Visualizations!$B$40:$B$42</c:f>
              <c:strCache>
                <c:ptCount val="3"/>
                <c:pt idx="0">
                  <c:v>Male</c:v>
                </c:pt>
                <c:pt idx="1">
                  <c:v>Female</c:v>
                </c:pt>
                <c:pt idx="2">
                  <c:v>Unknown</c:v>
                </c:pt>
              </c:strCache>
            </c:strRef>
          </c:cat>
          <c:val>
            <c:numRef>
              <c:f>Visualizations!$C$40:$C$42</c:f>
              <c:numCache>
                <c:formatCode>General</c:formatCode>
                <c:ptCount val="3"/>
                <c:pt idx="0">
                  <c:v>114</c:v>
                </c:pt>
                <c:pt idx="1">
                  <c:v>110</c:v>
                </c:pt>
                <c:pt idx="2">
                  <c:v>6</c:v>
                </c:pt>
              </c:numCache>
            </c:numRef>
          </c:val>
        </c:ser>
        <c:firstSliceAng val="0"/>
      </c:pieChart>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Medication Usage</a:t>
            </a:r>
          </a:p>
        </c:rich>
      </c:tx>
      <c:overlay val="0"/>
      <c:spPr>
        <a:noFill/>
        <a:ln w="0">
          <a:noFill/>
        </a:ln>
      </c:spPr>
    </c:title>
    <c:autoTitleDeleted val="0"/>
    <c:plotArea>
      <c:barChart>
        <c:barDir val="bar"/>
        <c:grouping val="clustered"/>
        <c:varyColors val="0"/>
        <c:ser>
          <c:idx val="0"/>
          <c:order val="0"/>
          <c:tx>
            <c:strRef>
              <c:f>Visualizations!C46</c:f>
              <c:strCache>
                <c:ptCount val="1"/>
                <c:pt idx="0">
                  <c:v>Times Prescribed</c:v>
                </c:pt>
              </c:strCache>
            </c:strRef>
          </c:tx>
          <c:spPr>
            <a:solidFill>
              <a:srgbClr val="c0504d"/>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Visualizations!$B$47:$B$61</c:f>
              <c:strCache>
                <c:ptCount val="15"/>
                <c:pt idx="0">
                  <c:v>Amlodipine</c:v>
                </c:pt>
                <c:pt idx="1">
                  <c:v>Metformin</c:v>
                </c:pt>
                <c:pt idx="2">
                  <c:v>Sumatriptan</c:v>
                </c:pt>
                <c:pt idx="3">
                  <c:v>Paracetamol</c:v>
                </c:pt>
                <c:pt idx="4">
                  <c:v>Salbutamol</c:v>
                </c:pt>
                <c:pt idx="5">
                  <c:v>Ibuprofen</c:v>
                </c:pt>
                <c:pt idx="6">
                  <c:v>Ferrous Sulfate</c:v>
                </c:pt>
                <c:pt idx="7">
                  <c:v>Azithromycin</c:v>
                </c:pt>
                <c:pt idx="8">
                  <c:v>Not Specified</c:v>
                </c:pt>
                <c:pt idx="9">
                  <c:v>Orlistat</c:v>
                </c:pt>
                <c:pt idx="10">
                  <c:v>Cetirizine</c:v>
                </c:pt>
                <c:pt idx="11">
                  <c:v>Levothyroxine</c:v>
                </c:pt>
                <c:pt idx="12">
                  <c:v>Sertraline</c:v>
                </c:pt>
                <c:pt idx="13">
                  <c:v>Favipiravir</c:v>
                </c:pt>
                <c:pt idx="14">
                  <c:v>Omeprazole</c:v>
                </c:pt>
              </c:strCache>
            </c:strRef>
          </c:cat>
          <c:val>
            <c:numRef>
              <c:f>Visualizations!$C$47:$C$61</c:f>
              <c:numCache>
                <c:formatCode>General</c:formatCode>
                <c:ptCount val="15"/>
                <c:pt idx="0">
                  <c:v>42</c:v>
                </c:pt>
                <c:pt idx="1">
                  <c:v>30</c:v>
                </c:pt>
                <c:pt idx="2">
                  <c:v>21</c:v>
                </c:pt>
                <c:pt idx="3">
                  <c:v>19</c:v>
                </c:pt>
                <c:pt idx="4">
                  <c:v>18</c:v>
                </c:pt>
                <c:pt idx="5">
                  <c:v>16</c:v>
                </c:pt>
                <c:pt idx="6">
                  <c:v>16</c:v>
                </c:pt>
                <c:pt idx="7">
                  <c:v>13</c:v>
                </c:pt>
                <c:pt idx="8">
                  <c:v>11</c:v>
                </c:pt>
                <c:pt idx="9">
                  <c:v>11</c:v>
                </c:pt>
                <c:pt idx="10">
                  <c:v>10</c:v>
                </c:pt>
                <c:pt idx="11">
                  <c:v>8</c:v>
                </c:pt>
                <c:pt idx="12">
                  <c:v>7</c:v>
                </c:pt>
                <c:pt idx="13">
                  <c:v>5</c:v>
                </c:pt>
                <c:pt idx="14">
                  <c:v>3</c:v>
                </c:pt>
              </c:numCache>
            </c:numRef>
          </c:val>
        </c:ser>
        <c:gapWidth val="150"/>
        <c:overlap val="0"/>
        <c:axId val="69782396"/>
        <c:axId val="58008849"/>
      </c:barChart>
      <c:catAx>
        <c:axId val="69782396"/>
        <c:scaling>
          <c:orientation val="minMax"/>
        </c:scaling>
        <c:delete val="0"/>
        <c:axPos val="b"/>
        <c:title>
          <c:tx>
            <c:rich>
              <a:bodyPr rot="-5400000"/>
              <a:lstStyle/>
              <a:p>
                <a:pPr>
                  <a:defRPr b="1" sz="1000" spc="-1" strike="noStrike">
                    <a:solidFill>
                      <a:srgbClr val="000000"/>
                    </a:solidFill>
                    <a:latin typeface="Calibri"/>
                  </a:defRPr>
                </a:pPr>
                <a:r>
                  <a:rPr b="1" sz="1000" spc="-1" strike="noStrike">
                    <a:solidFill>
                      <a:srgbClr val="000000"/>
                    </a:solidFill>
                    <a:latin typeface="Calibri"/>
                  </a:rPr>
                  <a:t>Times Prescribed</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8008849"/>
        <c:crosses val="autoZero"/>
        <c:auto val="1"/>
        <c:lblAlgn val="ctr"/>
        <c:lblOffset val="100"/>
        <c:noMultiLvlLbl val="0"/>
      </c:catAx>
      <c:valAx>
        <c:axId val="58008849"/>
        <c:scaling>
          <c:orientation val="minMax"/>
        </c:scaling>
        <c:delete val="0"/>
        <c:axPos val="l"/>
        <c:majorGridlines>
          <c:spPr>
            <a:ln w="9360">
              <a:solidFill>
                <a:srgbClr val="878787"/>
              </a:solidFill>
              <a:round/>
            </a:ln>
          </c:spPr>
        </c:majorGridlines>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9782396"/>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Top-Selling Medicines by Revenue</a:t>
            </a:r>
          </a:p>
        </c:rich>
      </c:tx>
      <c:overlay val="0"/>
      <c:spPr>
        <a:noFill/>
        <a:ln w="0">
          <a:noFill/>
        </a:ln>
      </c:spPr>
    </c:title>
    <c:autoTitleDeleted val="0"/>
    <c:plotArea>
      <c:barChart>
        <c:barDir val="col"/>
        <c:grouping val="clustered"/>
        <c:varyColors val="0"/>
        <c:ser>
          <c:idx val="0"/>
          <c:order val="0"/>
          <c:tx>
            <c:strRef>
              <c:f>'Pharmacy Sales Analysis'!D6</c:f>
              <c:strCache>
                <c:ptCount val="1"/>
                <c:pt idx="0">
                  <c:v>Total Revenue</c:v>
                </c:pt>
              </c:strCache>
            </c:strRef>
          </c:tx>
          <c:spPr>
            <a:solidFill>
              <a:srgbClr val="4f81bd"/>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'Pharmacy Sales Analysis'!$B$7:$B$20</c:f>
              <c:strCache>
                <c:ptCount val="14"/>
                <c:pt idx="0">
                  <c:v>Sumatriptan</c:v>
                </c:pt>
                <c:pt idx="1">
                  <c:v>Orlistat</c:v>
                </c:pt>
                <c:pt idx="2">
                  <c:v>Salbutamol</c:v>
                </c:pt>
                <c:pt idx="3">
                  <c:v>Azithromycin</c:v>
                </c:pt>
                <c:pt idx="4">
                  <c:v>Amlodipine</c:v>
                </c:pt>
                <c:pt idx="5">
                  <c:v>Metformin</c:v>
                </c:pt>
                <c:pt idx="6">
                  <c:v>Sertraline</c:v>
                </c:pt>
                <c:pt idx="7">
                  <c:v>Favipiravir</c:v>
                </c:pt>
                <c:pt idx="8">
                  <c:v>Ferrous Sulfate</c:v>
                </c:pt>
                <c:pt idx="9">
                  <c:v>Ibuprofen</c:v>
                </c:pt>
                <c:pt idx="10">
                  <c:v>Paracetamol</c:v>
                </c:pt>
                <c:pt idx="11">
                  <c:v>Omeprazole</c:v>
                </c:pt>
                <c:pt idx="12">
                  <c:v>Cetirizine</c:v>
                </c:pt>
                <c:pt idx="13">
                  <c:v>Levothyroxine</c:v>
                </c:pt>
              </c:strCache>
            </c:strRef>
          </c:cat>
          <c:val>
            <c:numRef>
              <c:f>'Pharmacy Sales Analysis'!$D$7:$D$20</c:f>
              <c:numCache>
                <c:formatCode>\₹#,##0</c:formatCode>
                <c:ptCount val="14"/>
                <c:pt idx="0">
                  <c:v>22266.14</c:v>
                </c:pt>
                <c:pt idx="1">
                  <c:v>20085.71</c:v>
                </c:pt>
                <c:pt idx="2">
                  <c:v>15120.41</c:v>
                </c:pt>
                <c:pt idx="3">
                  <c:v>9182.09</c:v>
                </c:pt>
                <c:pt idx="4">
                  <c:v>8832.63</c:v>
                </c:pt>
                <c:pt idx="5">
                  <c:v>8424.16</c:v>
                </c:pt>
                <c:pt idx="6">
                  <c:v>8102.92</c:v>
                </c:pt>
                <c:pt idx="7">
                  <c:v>6788.02</c:v>
                </c:pt>
                <c:pt idx="8">
                  <c:v>4834.08</c:v>
                </c:pt>
                <c:pt idx="9">
                  <c:v>4332.04</c:v>
                </c:pt>
                <c:pt idx="10">
                  <c:v>3934.25</c:v>
                </c:pt>
                <c:pt idx="11">
                  <c:v>3059.99</c:v>
                </c:pt>
                <c:pt idx="12">
                  <c:v>1709.93</c:v>
                </c:pt>
                <c:pt idx="13">
                  <c:v>1210.71</c:v>
                </c:pt>
              </c:numCache>
            </c:numRef>
          </c:val>
        </c:ser>
        <c:gapWidth val="150"/>
        <c:overlap val="0"/>
        <c:axId val="59585137"/>
        <c:axId val="70405361"/>
      </c:barChart>
      <c:catAx>
        <c:axId val="59585137"/>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0405361"/>
        <c:crosses val="autoZero"/>
        <c:auto val="1"/>
        <c:lblAlgn val="ctr"/>
        <c:lblOffset val="100"/>
        <c:noMultiLvlLbl val="0"/>
      </c:catAx>
      <c:valAx>
        <c:axId val="70405361"/>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Revenue (₹)</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9585137"/>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Monthly Revenue Trend</a:t>
            </a:r>
          </a:p>
        </c:rich>
      </c:tx>
      <c:overlay val="0"/>
      <c:spPr>
        <a:noFill/>
        <a:ln w="0">
          <a:noFill/>
        </a:ln>
      </c:spPr>
    </c:title>
    <c:autoTitleDeleted val="0"/>
    <c:plotArea>
      <c:lineChart>
        <c:grouping val="standard"/>
        <c:varyColors val="0"/>
        <c:ser>
          <c:idx val="0"/>
          <c:order val="0"/>
          <c:tx>
            <c:strRef>
              <c:f>'Pharmacy Sales Analysis'!C25</c:f>
              <c:strCache>
                <c:ptCount val="1"/>
                <c:pt idx="0">
                  <c:v>Revenue</c:v>
                </c:pt>
              </c:strCache>
            </c:strRef>
          </c:tx>
          <c:spPr>
            <a:solidFill>
              <a:srgbClr val="be4b48"/>
            </a:solidFill>
            <a:ln w="47520">
              <a:solidFill>
                <a:srgbClr val="be4b48"/>
              </a:solidFill>
              <a:round/>
            </a:ln>
          </c:spPr>
          <c:marker>
            <c:symbol val="circle"/>
            <c:size val="6"/>
            <c:spPr>
              <a:solidFill>
                <a:srgbClr val="be4b48"/>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'Pharmacy Sales Analysis'!$B$26:$B$37</c:f>
              <c:strCache>
                <c:ptCount val="12"/>
                <c:pt idx="0">
                  <c:v>Sep-2025</c:v>
                </c:pt>
                <c:pt idx="1">
                  <c:v>Oct-2025</c:v>
                </c:pt>
                <c:pt idx="2">
                  <c:v>Nov-2025</c:v>
                </c:pt>
                <c:pt idx="3">
                  <c:v>Dec-2025</c:v>
                </c:pt>
                <c:pt idx="4">
                  <c:v>Jan-2026</c:v>
                </c:pt>
                <c:pt idx="5">
                  <c:v>Feb-2026</c:v>
                </c:pt>
                <c:pt idx="6">
                  <c:v>Mar-2026</c:v>
                </c:pt>
                <c:pt idx="7">
                  <c:v>Apr-2026</c:v>
                </c:pt>
                <c:pt idx="8">
                  <c:v>May-2026</c:v>
                </c:pt>
                <c:pt idx="9">
                  <c:v>Jun-2026</c:v>
                </c:pt>
                <c:pt idx="10">
                  <c:v>Jul-2026</c:v>
                </c:pt>
                <c:pt idx="11">
                  <c:v>Aug-2026</c:v>
                </c:pt>
              </c:strCache>
            </c:strRef>
          </c:cat>
          <c:val>
            <c:numRef>
              <c:f>'Pharmacy Sales Analysis'!$C$26:$C$37</c:f>
              <c:numCache>
                <c:formatCode>\₹#,##0</c:formatCode>
                <c:ptCount val="12"/>
                <c:pt idx="0">
                  <c:v>6151.24</c:v>
                </c:pt>
                <c:pt idx="1">
                  <c:v>5640.03</c:v>
                </c:pt>
                <c:pt idx="2">
                  <c:v>10409.97</c:v>
                </c:pt>
                <c:pt idx="3">
                  <c:v>6230.9</c:v>
                </c:pt>
                <c:pt idx="4">
                  <c:v>8785.45</c:v>
                </c:pt>
                <c:pt idx="5">
                  <c:v>9982.32</c:v>
                </c:pt>
                <c:pt idx="6">
                  <c:v>12241.83</c:v>
                </c:pt>
                <c:pt idx="7">
                  <c:v>10492.72</c:v>
                </c:pt>
                <c:pt idx="8">
                  <c:v>12543.01</c:v>
                </c:pt>
                <c:pt idx="9">
                  <c:v>11142.52</c:v>
                </c:pt>
                <c:pt idx="10">
                  <c:v>14877.2</c:v>
                </c:pt>
                <c:pt idx="11">
                  <c:v>9385.89</c:v>
                </c:pt>
              </c:numCache>
            </c:numRef>
          </c:val>
          <c:smooth val="0"/>
        </c:ser>
        <c:hiLowLines>
          <c:spPr>
            <a:ln w="0">
              <a:noFill/>
            </a:ln>
          </c:spPr>
        </c:hiLowLines>
        <c:marker val="1"/>
        <c:axId val="51358510"/>
        <c:axId val="3839443"/>
      </c:lineChart>
      <c:catAx>
        <c:axId val="51358510"/>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839443"/>
        <c:crosses val="autoZero"/>
        <c:auto val="1"/>
        <c:lblAlgn val="ctr"/>
        <c:lblOffset val="100"/>
        <c:noMultiLvlLbl val="0"/>
      </c:catAx>
      <c:valAx>
        <c:axId val="3839443"/>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Revenue (₹)</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1358510"/>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9.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Revenue Share: Branded vs. Generic</a:t>
            </a:r>
          </a:p>
        </c:rich>
      </c:tx>
      <c:overlay val="0"/>
      <c:spPr>
        <a:noFill/>
        <a:ln w="0">
          <a:noFill/>
        </a:ln>
      </c:spPr>
    </c:title>
    <c:autoTitleDeleted val="0"/>
    <c:plotArea>
      <c:pieChart>
        <c:varyColors val="1"/>
        <c:ser>
          <c:idx val="0"/>
          <c:order val="0"/>
          <c:tx>
            <c:strRef>
              <c:f>'Pharmacy Sales Analysis'!D40</c:f>
              <c:strCache>
                <c:ptCount val="1"/>
                <c:pt idx="0">
                  <c:v>Total Revenue</c:v>
                </c:pt>
              </c:strCache>
            </c:strRef>
          </c:tx>
          <c:spPr>
            <a:solidFill>
              <a:srgbClr val="4f81bd"/>
            </a:solidFill>
            <a:ln w="0">
              <a:noFill/>
            </a:ln>
          </c:spPr>
          <c:explosion val="0"/>
          <c:dPt>
            <c:idx val="0"/>
            <c:spPr>
              <a:solidFill>
                <a:srgbClr val="4f81bd"/>
              </a:solidFill>
              <a:ln w="0">
                <a:noFill/>
              </a:ln>
            </c:spPr>
          </c:dPt>
          <c:dPt>
            <c:idx val="1"/>
            <c:spPr>
              <a:solidFill>
                <a:srgbClr val="c0504d"/>
              </a:solidFill>
              <a:ln w="0">
                <a:noFill/>
              </a:ln>
            </c:spPr>
          </c:dPt>
          <c:dLbls>
            <c:dLbl>
              <c:idx val="0"/>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dLbl>
              <c:idx val="1"/>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showLeaderLines val="1"/>
          </c:dLbls>
          <c:cat>
            <c:strRef>
              <c:f>'Pharmacy Sales Analysis'!$B$41:$B$42</c:f>
              <c:strCache>
                <c:ptCount val="2"/>
                <c:pt idx="0">
                  <c:v>Branded</c:v>
                </c:pt>
                <c:pt idx="1">
                  <c:v>Generic</c:v>
                </c:pt>
              </c:strCache>
            </c:strRef>
          </c:cat>
          <c:val>
            <c:numRef>
              <c:f>'Pharmacy Sales Analysis'!$D$41:$D$42</c:f>
              <c:numCache>
                <c:formatCode>\₹#,##0</c:formatCode>
                <c:ptCount val="2"/>
                <c:pt idx="0">
                  <c:v>68008.99</c:v>
                </c:pt>
                <c:pt idx="1">
                  <c:v>49874.09</c:v>
                </c:pt>
              </c:numCache>
            </c:numRef>
          </c:val>
        </c:ser>
        <c:firstSliceAng val="0"/>
      </c:pieChart>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10.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Average Unit Price: Branded vs. Generic</a:t>
            </a:r>
          </a:p>
        </c:rich>
      </c:tx>
      <c:overlay val="0"/>
      <c:spPr>
        <a:noFill/>
        <a:ln w="0">
          <a:noFill/>
        </a:ln>
      </c:spPr>
    </c:title>
    <c:autoTitleDeleted val="0"/>
    <c:plotArea>
      <c:barChart>
        <c:barDir val="col"/>
        <c:grouping val="clustered"/>
        <c:varyColors val="0"/>
        <c:ser>
          <c:idx val="0"/>
          <c:order val="0"/>
          <c:tx>
            <c:strRef>
              <c:f>'Pharmacy Sales Analysis'!F40</c:f>
              <c:strCache>
                <c:ptCount val="1"/>
                <c:pt idx="0">
                  <c:v>Avg. Unit Price</c:v>
                </c:pt>
              </c:strCache>
            </c:strRef>
          </c:tx>
          <c:spPr>
            <a:solidFill>
              <a:srgbClr val="4f81bd"/>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'Pharmacy Sales Analysis'!$B$41:$B$42</c:f>
              <c:strCache>
                <c:ptCount val="2"/>
                <c:pt idx="0">
                  <c:v>Branded</c:v>
                </c:pt>
                <c:pt idx="1">
                  <c:v>Generic</c:v>
                </c:pt>
              </c:strCache>
            </c:strRef>
          </c:cat>
          <c:val>
            <c:numRef>
              <c:f>'Pharmacy Sales Analysis'!$F$41:$F$42</c:f>
              <c:numCache>
                <c:formatCode>\₹#,##0.0</c:formatCode>
                <c:ptCount val="2"/>
                <c:pt idx="0">
                  <c:v>88.4380701754386</c:v>
                </c:pt>
                <c:pt idx="1">
                  <c:v>39.1247422680412</c:v>
                </c:pt>
              </c:numCache>
            </c:numRef>
          </c:val>
        </c:ser>
        <c:gapWidth val="150"/>
        <c:overlap val="0"/>
        <c:axId val="13482709"/>
        <c:axId val="82389487"/>
      </c:barChart>
      <c:catAx>
        <c:axId val="13482709"/>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2389487"/>
        <c:crosses val="autoZero"/>
        <c:auto val="1"/>
        <c:lblAlgn val="ctr"/>
        <c:lblOffset val="100"/>
        <c:noMultiLvlLbl val="0"/>
      </c:catAx>
      <c:valAx>
        <c:axId val="82389487"/>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Avg. Unit Price (₹)</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3482709"/>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_rels/drawing2.xml.rels><?xml version="1.0" encoding="UTF-8"?>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Relationship Id="rId3" Type="http://schemas.openxmlformats.org/officeDocument/2006/relationships/chart" Target="../charts/chart5.xml"/><Relationship Id="rId4" Type="http://schemas.openxmlformats.org/officeDocument/2006/relationships/chart" Target="../charts/chart6.xml"/>
</Relationships>
</file>

<file path=xl/drawings/_rels/drawing3.xml.rels><?xml version="1.0" encoding="UTF-8"?>
<Relationships xmlns="http://schemas.openxmlformats.org/package/2006/relationships"><Relationship Id="rId1" Type="http://schemas.openxmlformats.org/officeDocument/2006/relationships/chart" Target="../charts/chart7.xml"/><Relationship Id="rId2" Type="http://schemas.openxmlformats.org/officeDocument/2006/relationships/chart" Target="../charts/chart8.xml"/><Relationship Id="rId3" Type="http://schemas.openxmlformats.org/officeDocument/2006/relationships/chart" Target="../charts/chart9.xml"/><Relationship Id="rId4" Type="http://schemas.openxmlformats.org/officeDocument/2006/relationships/chart" Target="../charts/chart10.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6</xdr:col>
      <xdr:colOff>0</xdr:colOff>
      <xdr:row>4</xdr:row>
      <xdr:rowOff>131040</xdr:rowOff>
    </xdr:from>
    <xdr:to>
      <xdr:col>16</xdr:col>
      <xdr:colOff>364320</xdr:colOff>
      <xdr:row>21</xdr:row>
      <xdr:rowOff>132120</xdr:rowOff>
    </xdr:to>
    <xdr:graphicFrame>
      <xdr:nvGraphicFramePr>
        <xdr:cNvPr id="0" name="Chart 1"/>
        <xdr:cNvGraphicFramePr/>
      </xdr:nvGraphicFramePr>
      <xdr:xfrm>
        <a:off x="6814080" y="952560"/>
        <a:ext cx="647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0</xdr:colOff>
      <xdr:row>24</xdr:row>
      <xdr:rowOff>130680</xdr:rowOff>
    </xdr:from>
    <xdr:to>
      <xdr:col>13</xdr:col>
      <xdr:colOff>38880</xdr:colOff>
      <xdr:row>41</xdr:row>
      <xdr:rowOff>131760</xdr:rowOff>
    </xdr:to>
    <xdr:graphicFrame>
      <xdr:nvGraphicFramePr>
        <xdr:cNvPr id="1" name="Chart 2"/>
        <xdr:cNvGraphicFramePr/>
      </xdr:nvGraphicFramePr>
      <xdr:xfrm>
        <a:off x="6814080" y="4762440"/>
        <a:ext cx="4319640" cy="323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7</xdr:col>
      <xdr:colOff>0</xdr:colOff>
      <xdr:row>3</xdr:row>
      <xdr:rowOff>131040</xdr:rowOff>
    </xdr:from>
    <xdr:to>
      <xdr:col>18</xdr:col>
      <xdr:colOff>113040</xdr:colOff>
      <xdr:row>20</xdr:row>
      <xdr:rowOff>132120</xdr:rowOff>
    </xdr:to>
    <xdr:graphicFrame>
      <xdr:nvGraphicFramePr>
        <xdr:cNvPr id="2" name="Chart 1"/>
        <xdr:cNvGraphicFramePr/>
      </xdr:nvGraphicFramePr>
      <xdr:xfrm>
        <a:off x="5852160" y="762120"/>
        <a:ext cx="683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23</xdr:row>
      <xdr:rowOff>130680</xdr:rowOff>
    </xdr:from>
    <xdr:to>
      <xdr:col>18</xdr:col>
      <xdr:colOff>113040</xdr:colOff>
      <xdr:row>40</xdr:row>
      <xdr:rowOff>132120</xdr:rowOff>
    </xdr:to>
    <xdr:graphicFrame>
      <xdr:nvGraphicFramePr>
        <xdr:cNvPr id="3" name="Chart 2"/>
        <xdr:cNvGraphicFramePr/>
      </xdr:nvGraphicFramePr>
      <xdr:xfrm>
        <a:off x="5852160" y="4572000"/>
        <a:ext cx="6839640" cy="323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7</xdr:col>
      <xdr:colOff>0</xdr:colOff>
      <xdr:row>43</xdr:row>
      <xdr:rowOff>130680</xdr:rowOff>
    </xdr:from>
    <xdr:to>
      <xdr:col>14</xdr:col>
      <xdr:colOff>399240</xdr:colOff>
      <xdr:row>60</xdr:row>
      <xdr:rowOff>131760</xdr:rowOff>
    </xdr:to>
    <xdr:graphicFrame>
      <xdr:nvGraphicFramePr>
        <xdr:cNvPr id="4" name="Chart 3"/>
        <xdr:cNvGraphicFramePr/>
      </xdr:nvGraphicFramePr>
      <xdr:xfrm>
        <a:off x="5852160" y="8381880"/>
        <a:ext cx="4679640" cy="323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7</xdr:col>
      <xdr:colOff>0</xdr:colOff>
      <xdr:row>63</xdr:row>
      <xdr:rowOff>131040</xdr:rowOff>
    </xdr:from>
    <xdr:to>
      <xdr:col>18</xdr:col>
      <xdr:colOff>113040</xdr:colOff>
      <xdr:row>82</xdr:row>
      <xdr:rowOff>111240</xdr:rowOff>
    </xdr:to>
    <xdr:graphicFrame>
      <xdr:nvGraphicFramePr>
        <xdr:cNvPr id="5" name="Chart 4"/>
        <xdr:cNvGraphicFramePr/>
      </xdr:nvGraphicFramePr>
      <xdr:xfrm>
        <a:off x="5852160" y="12192120"/>
        <a:ext cx="6839640" cy="35996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7</xdr:col>
      <xdr:colOff>0</xdr:colOff>
      <xdr:row>3</xdr:row>
      <xdr:rowOff>131040</xdr:rowOff>
    </xdr:from>
    <xdr:to>
      <xdr:col>18</xdr:col>
      <xdr:colOff>113040</xdr:colOff>
      <xdr:row>20</xdr:row>
      <xdr:rowOff>132120</xdr:rowOff>
    </xdr:to>
    <xdr:graphicFrame>
      <xdr:nvGraphicFramePr>
        <xdr:cNvPr id="6" name="Chart 1"/>
        <xdr:cNvGraphicFramePr/>
      </xdr:nvGraphicFramePr>
      <xdr:xfrm>
        <a:off x="7307640" y="762120"/>
        <a:ext cx="683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23</xdr:row>
      <xdr:rowOff>130680</xdr:rowOff>
    </xdr:from>
    <xdr:to>
      <xdr:col>18</xdr:col>
      <xdr:colOff>113040</xdr:colOff>
      <xdr:row>40</xdr:row>
      <xdr:rowOff>132120</xdr:rowOff>
    </xdr:to>
    <xdr:graphicFrame>
      <xdr:nvGraphicFramePr>
        <xdr:cNvPr id="7" name="Chart 2"/>
        <xdr:cNvGraphicFramePr/>
      </xdr:nvGraphicFramePr>
      <xdr:xfrm>
        <a:off x="7307640" y="4572000"/>
        <a:ext cx="6839640" cy="323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7</xdr:col>
      <xdr:colOff>0</xdr:colOff>
      <xdr:row>43</xdr:row>
      <xdr:rowOff>130680</xdr:rowOff>
    </xdr:from>
    <xdr:to>
      <xdr:col>14</xdr:col>
      <xdr:colOff>39240</xdr:colOff>
      <xdr:row>60</xdr:row>
      <xdr:rowOff>131760</xdr:rowOff>
    </xdr:to>
    <xdr:graphicFrame>
      <xdr:nvGraphicFramePr>
        <xdr:cNvPr id="8" name="Chart 3"/>
        <xdr:cNvGraphicFramePr/>
      </xdr:nvGraphicFramePr>
      <xdr:xfrm>
        <a:off x="7307640" y="8381880"/>
        <a:ext cx="4319640" cy="323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13</xdr:col>
      <xdr:colOff>0</xdr:colOff>
      <xdr:row>43</xdr:row>
      <xdr:rowOff>130680</xdr:rowOff>
    </xdr:from>
    <xdr:to>
      <xdr:col>18</xdr:col>
      <xdr:colOff>542160</xdr:colOff>
      <xdr:row>60</xdr:row>
      <xdr:rowOff>131760</xdr:rowOff>
    </xdr:to>
    <xdr:graphicFrame>
      <xdr:nvGraphicFramePr>
        <xdr:cNvPr id="9" name="Chart 4"/>
        <xdr:cNvGraphicFramePr/>
      </xdr:nvGraphicFramePr>
      <xdr:xfrm>
        <a:off x="10976760" y="8381880"/>
        <a:ext cx="3599640" cy="32396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ables/table1.xml><?xml version="1.0" encoding="utf-8"?>
<table xmlns="http://schemas.openxmlformats.org/spreadsheetml/2006/main" id="1" name="CleanedDataTable" displayName="CleanedDataTable" ref="A1:H231" headerRowCount="1" totalsRowCount="0" totalsRowShown="0">
  <autoFilter ref="A1:H231"/>
  <tableColumns count="8">
    <tableColumn id="1" name="PatientID"/>
    <tableColumn id="2" name="Name"/>
    <tableColumn id="3" name="Age"/>
    <tableColumn id="4" name="Gender"/>
    <tableColumn id="5" name="Disease"/>
    <tableColumn id="6" name="Medication"/>
    <tableColumn id="7" name="Dosage_mg"/>
    <tableColumn id="8" name="Admission_Date"/>
  </tableColumns>
</table>
</file>

<file path=xl/tables/table2.xml><?xml version="1.0" encoding="utf-8"?>
<table xmlns="http://schemas.openxmlformats.org/spreadsheetml/2006/main" id="2" name="PharmacySalesTable" displayName="PharmacySalesTable" ref="A4:H620" headerRowCount="1" totalsRowCount="0" totalsRowShown="0">
  <autoFilter ref="A4:H620"/>
  <tableColumns count="8">
    <tableColumn id="1" name="TransactionID"/>
    <tableColumn id="2" name="Sale_Date"/>
    <tableColumn id="3" name="Medicine"/>
    <tableColumn id="4" name="Brand_Type"/>
    <tableColumn id="5" name="Product_Name"/>
    <tableColumn id="6" name="Quantity_Sold"/>
    <tableColumn id="7" name="Unit_Price"/>
    <tableColumn id="8" name="Revenue"/>
  </tableColumns>
</table>
</file>

<file path=xl/tables/table3.xml><?xml version="1.0" encoding="utf-8"?>
<table xmlns="http://schemas.openxmlformats.org/spreadsheetml/2006/main" id="3" name="RawDataTable" displayName="RawDataTable" ref="A1:J251" headerRowCount="1" totalsRowCount="0" totalsRowShown="0">
  <autoFilter ref="A1:J251"/>
  <tableColumns count="10">
    <tableColumn id="1" name="PatientID"/>
    <tableColumn id="2" name="Name"/>
    <tableColumn id="3" name="Age"/>
    <tableColumn id="4" name="Gender"/>
    <tableColumn id="5" name="Disease"/>
    <tableColumn id="6" name="Medication"/>
    <tableColumn id="7" name="Dosage_mg"/>
    <tableColumn id="8" name="Admission_Date"/>
    <tableColumn id="9" name="RowKey (helper)"/>
    <tableColumn id="10" name="Duplicate_Flag"/>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table" Target="../tables/table3.xml"/>
</Relationships>
</file>

<file path=xl/worksheets/_rels/sheet5.xml.rels><?xml version="1.0" encoding="UTF-8"?>
<Relationships xmlns="http://schemas.openxmlformats.org/package/2006/relationships"><Relationship Id="rId1" Type="http://schemas.openxmlformats.org/officeDocument/2006/relationships/table" Target="../tables/table1.xml"/>
</Relationships>
</file>

<file path=xl/worksheets/_rels/sheet6.xml.rels><?xml version="1.0" encoding="UTF-8"?>
<Relationships xmlns="http://schemas.openxmlformats.org/package/2006/relationships"><Relationship Id="rId1" Type="http://schemas.openxmlformats.org/officeDocument/2006/relationships/drawing" Target="../drawings/drawing1.xml"/>
</Relationships>
</file>

<file path=xl/worksheets/_rels/sheet7.xml.rels><?xml version="1.0" encoding="UTF-8"?>
<Relationships xmlns="http://schemas.openxmlformats.org/package/2006/relationships"><Relationship Id="rId1" Type="http://schemas.openxmlformats.org/officeDocument/2006/relationships/drawing" Target="../drawings/drawing2.xml"/>
</Relationships>
</file>

<file path=xl/worksheets/_rels/sheet8.xml.rels><?xml version="1.0" encoding="UTF-8"?>
<Relationships xmlns="http://schemas.openxmlformats.org/package/2006/relationships"><Relationship Id="rId1" Type="http://schemas.openxmlformats.org/officeDocument/2006/relationships/table" Target="../tables/table2.xml"/>
</Relationships>
</file>

<file path=xl/worksheets/_rels/sheet9.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B2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00"/>
  </cols>
  <sheetData>
    <row r="2" customFormat="false" ht="19.7" hidden="false" customHeight="false" outlineLevel="0" collapsed="false">
      <c r="B2" s="1" t="s">
        <v>0</v>
      </c>
    </row>
    <row r="3" customFormat="false" ht="15" hidden="false" customHeight="false" outlineLevel="0" collapsed="false">
      <c r="B3" s="2" t="s">
        <v>1</v>
      </c>
    </row>
    <row r="5" customFormat="false" ht="15" hidden="false" customHeight="false" outlineLevel="0" collapsed="false">
      <c r="B5" s="3" t="s">
        <v>2</v>
      </c>
    </row>
    <row r="6" customFormat="false" ht="45" hidden="false" customHeight="true" outlineLevel="0" collapsed="false">
      <c r="B6" s="4" t="s">
        <v>3</v>
      </c>
    </row>
    <row r="8" customFormat="false" ht="15" hidden="false" customHeight="false" outlineLevel="0" collapsed="false">
      <c r="B8" s="3" t="s">
        <v>4</v>
      </c>
    </row>
    <row r="9" customFormat="false" ht="45" hidden="false" customHeight="true" outlineLevel="0" collapsed="false">
      <c r="B9" s="4" t="s">
        <v>5</v>
      </c>
    </row>
    <row r="11" customFormat="false" ht="15" hidden="false" customHeight="false" outlineLevel="0" collapsed="false">
      <c r="B11" s="3" t="s">
        <v>6</v>
      </c>
    </row>
    <row r="12" customFormat="false" ht="31.5" hidden="false" customHeight="true" outlineLevel="0" collapsed="false">
      <c r="B12" s="4" t="s">
        <v>7</v>
      </c>
    </row>
    <row r="13" customFormat="false" ht="31.5" hidden="false" customHeight="true" outlineLevel="0" collapsed="false">
      <c r="B13" s="4" t="s">
        <v>8</v>
      </c>
    </row>
    <row r="14" customFormat="false" ht="31.5" hidden="false" customHeight="true" outlineLevel="0" collapsed="false">
      <c r="B14" s="4" t="s">
        <v>9</v>
      </c>
    </row>
    <row r="15" customFormat="false" ht="31.5" hidden="false" customHeight="true" outlineLevel="0" collapsed="false">
      <c r="B15" s="4" t="s">
        <v>10</v>
      </c>
    </row>
    <row r="16" customFormat="false" ht="31.5" hidden="false" customHeight="true" outlineLevel="0" collapsed="false">
      <c r="B16" s="4" t="s">
        <v>11</v>
      </c>
    </row>
    <row r="18" customFormat="false" ht="15" hidden="false" customHeight="false" outlineLevel="0" collapsed="false">
      <c r="B18" s="3" t="s">
        <v>12</v>
      </c>
    </row>
    <row r="19" customFormat="false" ht="27.75" hidden="false" customHeight="true" outlineLevel="0" collapsed="false">
      <c r="B19" s="4" t="s">
        <v>13</v>
      </c>
    </row>
    <row r="20" customFormat="false" ht="27.75" hidden="false" customHeight="true" outlineLevel="0" collapsed="false">
      <c r="B20" s="4" t="s">
        <v>14</v>
      </c>
    </row>
    <row r="21" customFormat="false" ht="27.75" hidden="false" customHeight="true" outlineLevel="0" collapsed="false">
      <c r="B21" s="4" t="s">
        <v>15</v>
      </c>
    </row>
    <row r="22" customFormat="false" ht="27.75" hidden="false" customHeight="true" outlineLevel="0" collapsed="false">
      <c r="B22" s="4" t="s">
        <v>16</v>
      </c>
    </row>
    <row r="23" customFormat="false" ht="27.75" hidden="false" customHeight="true" outlineLevel="0" collapsed="false">
      <c r="B23" s="4" t="s">
        <v>17</v>
      </c>
    </row>
    <row r="24" customFormat="false" ht="27.75" hidden="false" customHeight="true" outlineLevel="0" collapsed="false">
      <c r="B24" s="4" t="s">
        <v>18</v>
      </c>
    </row>
    <row r="25" customFormat="false" ht="27.75" hidden="false" customHeight="true" outlineLevel="0" collapsed="false">
      <c r="B25" s="4" t="s">
        <v>19</v>
      </c>
    </row>
    <row r="27" customFormat="false" ht="15" hidden="false" customHeight="false" outlineLevel="0" collapsed="false">
      <c r="B27" s="3" t="s">
        <v>20</v>
      </c>
    </row>
    <row r="28" customFormat="false" ht="45" hidden="false" customHeight="true" outlineLevel="0" collapsed="false">
      <c r="B28" s="4" t="s">
        <v>21</v>
      </c>
    </row>
  </sheetData>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F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6"/>
    <col collapsed="false" customWidth="true" hidden="false" outlineLevel="0" max="4" min="3" style="0" width="20"/>
    <col collapsed="false" customWidth="true" hidden="false" outlineLevel="0" max="5" min="5" style="0" width="42"/>
    <col collapsed="false" customWidth="true" hidden="false" outlineLevel="0" max="6" min="6" style="0" width="20"/>
  </cols>
  <sheetData>
    <row r="2" customFormat="false" ht="19.7" hidden="false" customHeight="false" outlineLevel="0" collapsed="false">
      <c r="B2" s="1" t="s">
        <v>22</v>
      </c>
    </row>
    <row r="3" customFormat="false" ht="15" hidden="false" customHeight="false" outlineLevel="0" collapsed="false">
      <c r="B3" s="2" t="s">
        <v>23</v>
      </c>
    </row>
    <row r="5" customFormat="false" ht="15" hidden="false" customHeight="false" outlineLevel="0" collapsed="false">
      <c r="B5" s="5" t="s">
        <v>24</v>
      </c>
      <c r="C5" s="5" t="s">
        <v>25</v>
      </c>
      <c r="D5" s="5" t="s">
        <v>26</v>
      </c>
      <c r="E5" s="5" t="s">
        <v>27</v>
      </c>
      <c r="F5" s="5" t="s">
        <v>28</v>
      </c>
    </row>
    <row r="6" customFormat="false" ht="25.5" hidden="false" customHeight="true" outlineLevel="0" collapsed="false">
      <c r="B6" s="6" t="s">
        <v>29</v>
      </c>
      <c r="C6" s="7" t="s">
        <v>30</v>
      </c>
      <c r="D6" s="7" t="s">
        <v>31</v>
      </c>
      <c r="E6" s="7" t="s">
        <v>32</v>
      </c>
      <c r="F6" s="7" t="s">
        <v>33</v>
      </c>
    </row>
    <row r="7" customFormat="false" ht="25.5" hidden="false" customHeight="true" outlineLevel="0" collapsed="false">
      <c r="B7" s="6" t="s">
        <v>34</v>
      </c>
      <c r="C7" s="7" t="s">
        <v>35</v>
      </c>
      <c r="D7" s="7" t="s">
        <v>36</v>
      </c>
      <c r="E7" s="7" t="s">
        <v>37</v>
      </c>
      <c r="F7" s="7" t="s">
        <v>38</v>
      </c>
    </row>
    <row r="8" customFormat="false" ht="25.5" hidden="false" customHeight="true" outlineLevel="0" collapsed="false">
      <c r="B8" s="6" t="s">
        <v>39</v>
      </c>
      <c r="C8" s="7" t="s">
        <v>40</v>
      </c>
      <c r="D8" s="7" t="s">
        <v>41</v>
      </c>
      <c r="E8" s="7" t="s">
        <v>42</v>
      </c>
      <c r="F8" s="7" t="s">
        <v>43</v>
      </c>
    </row>
    <row r="9" customFormat="false" ht="25.5" hidden="false" customHeight="true" outlineLevel="0" collapsed="false">
      <c r="B9" s="6" t="s">
        <v>44</v>
      </c>
      <c r="C9" s="7" t="s">
        <v>35</v>
      </c>
      <c r="D9" s="7" t="s">
        <v>36</v>
      </c>
      <c r="E9" s="7" t="s">
        <v>45</v>
      </c>
      <c r="F9" s="7" t="s">
        <v>46</v>
      </c>
    </row>
    <row r="10" customFormat="false" ht="25.5" hidden="false" customHeight="true" outlineLevel="0" collapsed="false">
      <c r="B10" s="6" t="s">
        <v>47</v>
      </c>
      <c r="C10" s="7" t="s">
        <v>35</v>
      </c>
      <c r="D10" s="7" t="s">
        <v>36</v>
      </c>
      <c r="E10" s="7" t="s">
        <v>48</v>
      </c>
      <c r="F10" s="7" t="s">
        <v>49</v>
      </c>
    </row>
    <row r="11" customFormat="false" ht="25.5" hidden="false" customHeight="true" outlineLevel="0" collapsed="false">
      <c r="B11" s="6" t="s">
        <v>50</v>
      </c>
      <c r="C11" s="7" t="s">
        <v>35</v>
      </c>
      <c r="D11" s="7" t="s">
        <v>36</v>
      </c>
      <c r="E11" s="7" t="s">
        <v>51</v>
      </c>
      <c r="F11" s="7" t="s">
        <v>52</v>
      </c>
    </row>
    <row r="12" customFormat="false" ht="25.5" hidden="false" customHeight="true" outlineLevel="0" collapsed="false">
      <c r="B12" s="6" t="s">
        <v>53</v>
      </c>
      <c r="C12" s="7" t="s">
        <v>54</v>
      </c>
      <c r="D12" s="7" t="s">
        <v>55</v>
      </c>
      <c r="E12" s="7" t="s">
        <v>56</v>
      </c>
      <c r="F12" s="7" t="s">
        <v>57</v>
      </c>
    </row>
    <row r="13" customFormat="false" ht="25.5" hidden="false" customHeight="true" outlineLevel="0" collapsed="false">
      <c r="B13" s="6" t="s">
        <v>58</v>
      </c>
      <c r="C13" s="7" t="s">
        <v>59</v>
      </c>
      <c r="D13" s="7" t="s">
        <v>60</v>
      </c>
      <c r="E13" s="7" t="s">
        <v>61</v>
      </c>
      <c r="F13" s="7" t="s">
        <v>62</v>
      </c>
    </row>
  </sheetData>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2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8"/>
    <col collapsed="false" customWidth="true" hidden="false" outlineLevel="0" max="3" min="3" style="0" width="7"/>
    <col collapsed="false" customWidth="true" hidden="false" outlineLevel="0" max="4" min="4" style="0" width="10"/>
    <col collapsed="false" customWidth="true" hidden="false" outlineLevel="0" max="6" min="5" style="0" width="16"/>
    <col collapsed="false" customWidth="true" hidden="false" outlineLevel="0" max="7" min="7" style="0" width="11"/>
    <col collapsed="false" customWidth="true" hidden="false" outlineLevel="0" max="8" min="8" style="0" width="15"/>
    <col collapsed="false" customWidth="true" hidden="false" outlineLevel="0" max="9" min="9" style="0" width="40"/>
    <col collapsed="false" customWidth="true" hidden="false" outlineLevel="0" max="10" min="10" style="0" width="14"/>
  </cols>
  <sheetData>
    <row r="1" customFormat="false" ht="15" hidden="false" customHeight="false" outlineLevel="0" collapsed="false">
      <c r="A1" s="5" t="s">
        <v>29</v>
      </c>
      <c r="B1" s="5" t="s">
        <v>34</v>
      </c>
      <c r="C1" s="5" t="s">
        <v>39</v>
      </c>
      <c r="D1" s="5" t="s">
        <v>44</v>
      </c>
      <c r="E1" s="5" t="s">
        <v>47</v>
      </c>
      <c r="F1" s="5" t="s">
        <v>50</v>
      </c>
      <c r="G1" s="5" t="s">
        <v>53</v>
      </c>
      <c r="H1" s="5" t="s">
        <v>58</v>
      </c>
      <c r="I1" s="5" t="s">
        <v>63</v>
      </c>
      <c r="J1" s="5" t="s">
        <v>64</v>
      </c>
    </row>
    <row r="2" customFormat="false" ht="15" hidden="false" customHeight="false" outlineLevel="0" collapsed="false">
      <c r="A2" s="8" t="s">
        <v>65</v>
      </c>
      <c r="B2" s="8" t="s">
        <v>66</v>
      </c>
      <c r="C2" s="9" t="n">
        <v>58</v>
      </c>
      <c r="D2" s="8" t="s">
        <v>67</v>
      </c>
      <c r="E2" s="8" t="s">
        <v>68</v>
      </c>
      <c r="F2" s="8" t="s">
        <v>69</v>
      </c>
      <c r="G2" s="9" t="n">
        <v>320</v>
      </c>
      <c r="H2" s="10" t="n">
        <v>45731</v>
      </c>
      <c r="I2" s="8" t="str">
        <f aca="false">A2&amp;"|"&amp;B2&amp;"|"&amp;C2&amp;"|"&amp;D2&amp;"|"&amp;E2&amp;"|"&amp;F2&amp;"|"&amp;G2&amp;"|"&amp;H2</f>
        <v>PT0137|Rohit Nair|58|M|Arthritis|Ibuprofen|320|45731</v>
      </c>
      <c r="J2" s="8" t="str">
        <f aca="false">IF(COUNTIF($I$2:I2,I2)&gt;1,"Duplicate","Unique")</f>
        <v>Unique</v>
      </c>
    </row>
    <row r="3" customFormat="false" ht="15" hidden="false" customHeight="false" outlineLevel="0" collapsed="false">
      <c r="A3" s="8" t="s">
        <v>70</v>
      </c>
      <c r="B3" s="8" t="s">
        <v>71</v>
      </c>
      <c r="C3" s="9" t="n">
        <v>55</v>
      </c>
      <c r="D3" s="8" t="s">
        <v>46</v>
      </c>
      <c r="E3" s="8" t="s">
        <v>72</v>
      </c>
      <c r="F3" s="8" t="s">
        <v>73</v>
      </c>
      <c r="G3" s="9" t="n">
        <v>755</v>
      </c>
      <c r="H3" s="10" t="n">
        <v>45596</v>
      </c>
      <c r="I3" s="8" t="str">
        <f aca="false">A3&amp;"|"&amp;B3&amp;"|"&amp;C3&amp;"|"&amp;D3&amp;"|"&amp;E3&amp;"|"&amp;F3&amp;"|"&amp;G3&amp;"|"&amp;H3</f>
        <v>PT0035|Alok Mishra|55|Male|Diabetes| Metformin |755|45596</v>
      </c>
      <c r="J3" s="8" t="str">
        <f aca="false">IF(COUNTIF($I$2:I3,I3)&gt;1,"Duplicate","Unique")</f>
        <v>Unique</v>
      </c>
    </row>
    <row r="4" customFormat="false" ht="15" hidden="false" customHeight="false" outlineLevel="0" collapsed="false">
      <c r="A4" s="8" t="s">
        <v>74</v>
      </c>
      <c r="B4" s="8" t="s">
        <v>75</v>
      </c>
      <c r="C4" s="9" t="n">
        <v>50</v>
      </c>
      <c r="D4" s="8" t="s">
        <v>76</v>
      </c>
      <c r="E4" s="8" t="s">
        <v>77</v>
      </c>
      <c r="F4" s="8" t="s">
        <v>78</v>
      </c>
      <c r="G4" s="9" t="n">
        <v>75</v>
      </c>
      <c r="H4" s="10" t="n">
        <v>45690</v>
      </c>
      <c r="I4" s="8" t="str">
        <f aca="false">A4&amp;"|"&amp;B4&amp;"|"&amp;C4&amp;"|"&amp;D4&amp;"|"&amp;E4&amp;"|"&amp;F4&amp;"|"&amp;G4&amp;"|"&amp;H4</f>
        <v>PT0214|Vinod Chauhan|50| Male| Depression |SERTRALINE|75|45690</v>
      </c>
      <c r="J4" s="8" t="str">
        <f aca="false">IF(COUNTIF($I$2:I4,I4)&gt;1,"Duplicate","Unique")</f>
        <v>Unique</v>
      </c>
    </row>
    <row r="5" customFormat="false" ht="15" hidden="false" customHeight="false" outlineLevel="0" collapsed="false">
      <c r="A5" s="8" t="s">
        <v>79</v>
      </c>
      <c r="B5" s="8" t="s">
        <v>80</v>
      </c>
      <c r="C5" s="9" t="n">
        <v>58</v>
      </c>
      <c r="D5" s="8" t="s">
        <v>81</v>
      </c>
      <c r="E5" s="8" t="s">
        <v>82</v>
      </c>
      <c r="F5" s="8"/>
      <c r="G5" s="9" t="n">
        <v>765</v>
      </c>
      <c r="H5" s="10" t="n">
        <v>45794</v>
      </c>
      <c r="I5" s="8" t="str">
        <f aca="false">A5&amp;"|"&amp;B5&amp;"|"&amp;C5&amp;"|"&amp;D5&amp;"|"&amp;E5&amp;"|"&amp;F5&amp;"|"&amp;G5&amp;"|"&amp;H5</f>
        <v>PT0088|Payal Shukla|58|female|Diabetes  ||765|45794</v>
      </c>
      <c r="J5" s="8" t="str">
        <f aca="false">IF(COUNTIF($I$2:I5,I5)&gt;1,"Duplicate","Unique")</f>
        <v>Unique</v>
      </c>
    </row>
    <row r="6" customFormat="false" ht="15" hidden="false" customHeight="false" outlineLevel="0" collapsed="false">
      <c r="A6" s="8" t="s">
        <v>83</v>
      </c>
      <c r="B6" s="8" t="s">
        <v>84</v>
      </c>
      <c r="C6" s="9" t="n">
        <v>39</v>
      </c>
      <c r="D6" s="8" t="s">
        <v>85</v>
      </c>
      <c r="E6" s="8" t="s">
        <v>86</v>
      </c>
      <c r="F6" s="8" t="s">
        <v>87</v>
      </c>
      <c r="G6" s="9" t="n">
        <v>550</v>
      </c>
      <c r="H6" s="10" t="n">
        <v>45697</v>
      </c>
      <c r="I6" s="8" t="str">
        <f aca="false">A6&amp;"|"&amp;B6&amp;"|"&amp;C6&amp;"|"&amp;D6&amp;"|"&amp;E6&amp;"|"&amp;F6&amp;"|"&amp;G6&amp;"|"&amp;H6</f>
        <v>PT0198|Sanjay Shukla|39|MALE| Flu |Paracetamol  |550|45697</v>
      </c>
      <c r="J6" s="8" t="str">
        <f aca="false">IF(COUNTIF($I$2:I6,I6)&gt;1,"Duplicate","Unique")</f>
        <v>Unique</v>
      </c>
    </row>
    <row r="7" customFormat="false" ht="15" hidden="false" customHeight="false" outlineLevel="0" collapsed="false">
      <c r="A7" s="8" t="s">
        <v>88</v>
      </c>
      <c r="B7" s="8" t="s">
        <v>89</v>
      </c>
      <c r="C7" s="9" t="n">
        <v>55</v>
      </c>
      <c r="D7" s="8" t="s">
        <v>90</v>
      </c>
      <c r="E7" s="8" t="s">
        <v>91</v>
      </c>
      <c r="F7" s="8" t="s">
        <v>92</v>
      </c>
      <c r="G7" s="9" t="n">
        <v>820</v>
      </c>
      <c r="H7" s="10" t="n">
        <v>46152</v>
      </c>
      <c r="I7" s="8" t="str">
        <f aca="false">A7&amp;"|"&amp;B7&amp;"|"&amp;C7&amp;"|"&amp;D7&amp;"|"&amp;E7&amp;"|"&amp;F7&amp;"|"&amp;G7&amp;"|"&amp;H7</f>
        <v>PT0002|Priya Gupta|55|Female| Diabetes |metformin|820|46152</v>
      </c>
      <c r="J7" s="8" t="str">
        <f aca="false">IF(COUNTIF($I$2:I7,I7)&gt;1,"Duplicate","Unique")</f>
        <v>Unique</v>
      </c>
    </row>
    <row r="8" customFormat="false" ht="15" hidden="false" customHeight="false" outlineLevel="0" collapsed="false">
      <c r="A8" s="8" t="s">
        <v>93</v>
      </c>
      <c r="B8" s="8" t="s">
        <v>94</v>
      </c>
      <c r="C8" s="9" t="n">
        <v>74</v>
      </c>
      <c r="D8" s="8" t="s">
        <v>95</v>
      </c>
      <c r="E8" s="8" t="s">
        <v>96</v>
      </c>
      <c r="F8" s="8" t="s">
        <v>97</v>
      </c>
      <c r="G8" s="9" t="n">
        <v>10</v>
      </c>
      <c r="H8" s="10" t="n">
        <v>46258</v>
      </c>
      <c r="I8" s="8" t="str">
        <f aca="false">A8&amp;"|"&amp;B8&amp;"|"&amp;C8&amp;"|"&amp;D8&amp;"|"&amp;E8&amp;"|"&amp;F8&amp;"|"&amp;G8&amp;"|"&amp;H8</f>
        <v>PT0142|Ritu Pandey|74|F|HYPERTENSION|amlodipine|10|46258</v>
      </c>
      <c r="J8" s="8" t="str">
        <f aca="false">IF(COUNTIF($I$2:I8,I8)&gt;1,"Duplicate","Unique")</f>
        <v>Unique</v>
      </c>
    </row>
    <row r="9" customFormat="false" ht="15" hidden="false" customHeight="false" outlineLevel="0" collapsed="false">
      <c r="A9" s="8" t="s">
        <v>98</v>
      </c>
      <c r="B9" s="8" t="s">
        <v>99</v>
      </c>
      <c r="C9" s="9" t="n">
        <v>45</v>
      </c>
      <c r="D9" s="8"/>
      <c r="E9" s="8" t="s">
        <v>100</v>
      </c>
      <c r="F9" s="8" t="s">
        <v>101</v>
      </c>
      <c r="G9" s="9" t="n">
        <v>10</v>
      </c>
      <c r="H9" s="10" t="n">
        <v>45565</v>
      </c>
      <c r="I9" s="8" t="str">
        <f aca="false">A9&amp;"|"&amp;B9&amp;"|"&amp;C9&amp;"|"&amp;D9&amp;"|"&amp;E9&amp;"|"&amp;F9&amp;"|"&amp;G9&amp;"|"&amp;H9</f>
        <v>PT0150|Suresh Joshi|45||hypertension|AMLODIPINE|10|45565</v>
      </c>
      <c r="J9" s="8" t="str">
        <f aca="false">IF(COUNTIF($I$2:I9,I9)&gt;1,"Duplicate","Unique")</f>
        <v>Unique</v>
      </c>
    </row>
    <row r="10" customFormat="false" ht="15" hidden="false" customHeight="false" outlineLevel="0" collapsed="false">
      <c r="A10" s="8" t="s">
        <v>102</v>
      </c>
      <c r="B10" s="8" t="s">
        <v>103</v>
      </c>
      <c r="C10" s="9" t="n">
        <v>23</v>
      </c>
      <c r="D10" s="8" t="s">
        <v>104</v>
      </c>
      <c r="E10" s="8" t="s">
        <v>105</v>
      </c>
      <c r="F10" s="8" t="s">
        <v>106</v>
      </c>
      <c r="G10" s="9" t="n">
        <v>185</v>
      </c>
      <c r="H10" s="10" t="n">
        <v>45791</v>
      </c>
      <c r="I10" s="8" t="str">
        <f aca="false">A10&amp;"|"&amp;B10&amp;"|"&amp;C10&amp;"|"&amp;D10&amp;"|"&amp;E10&amp;"|"&amp;F10&amp;"|"&amp;G10&amp;"|"&amp;H10</f>
        <v>PT0074|Sarita Reddy|23| Female| Asthma |SALBUTAMOL|185|45791</v>
      </c>
      <c r="J10" s="8" t="str">
        <f aca="false">IF(COUNTIF($I$2:I10,I10)&gt;1,"Duplicate","Unique")</f>
        <v>Unique</v>
      </c>
    </row>
    <row r="11" customFormat="false" ht="15" hidden="false" customHeight="false" outlineLevel="0" collapsed="false">
      <c r="A11" s="8" t="s">
        <v>107</v>
      </c>
      <c r="B11" s="8" t="s">
        <v>108</v>
      </c>
      <c r="C11" s="9" t="n">
        <v>59</v>
      </c>
      <c r="D11" s="8" t="s">
        <v>109</v>
      </c>
      <c r="E11" s="8" t="s">
        <v>100</v>
      </c>
      <c r="F11" s="8" t="s">
        <v>110</v>
      </c>
      <c r="G11" s="9" t="n">
        <v>5</v>
      </c>
      <c r="H11" s="10" t="n">
        <v>45891</v>
      </c>
      <c r="I11" s="8" t="str">
        <f aca="false">A11&amp;"|"&amp;B11&amp;"|"&amp;C11&amp;"|"&amp;D11&amp;"|"&amp;E11&amp;"|"&amp;F11&amp;"|"&amp;G11&amp;"|"&amp;H11</f>
        <v>PT0095|Preeti Agarwal|59|f|hypertension| Amlodipine |5|45891</v>
      </c>
      <c r="J11" s="8" t="str">
        <f aca="false">IF(COUNTIF($I$2:I11,I11)&gt;1,"Duplicate","Unique")</f>
        <v>Unique</v>
      </c>
    </row>
    <row r="12" customFormat="false" ht="15" hidden="false" customHeight="false" outlineLevel="0" collapsed="false">
      <c r="A12" s="8" t="s">
        <v>111</v>
      </c>
      <c r="B12" s="8" t="s">
        <v>112</v>
      </c>
      <c r="C12" s="9" t="n">
        <v>48</v>
      </c>
      <c r="D12" s="8" t="s">
        <v>113</v>
      </c>
      <c r="E12" s="8" t="s">
        <v>114</v>
      </c>
      <c r="F12" s="8" t="s">
        <v>115</v>
      </c>
      <c r="G12" s="9" t="n">
        <v>265</v>
      </c>
      <c r="H12" s="10" t="n">
        <v>45770</v>
      </c>
      <c r="I12" s="8" t="str">
        <f aca="false">A12&amp;"|"&amp;B12&amp;"|"&amp;C12&amp;"|"&amp;D12&amp;"|"&amp;E12&amp;"|"&amp;F12&amp;"|"&amp;G12&amp;"|"&amp;H12</f>
        <v>PT0011|Gopal Rao|48|male|bronchitis|Azithromycin|265|45770</v>
      </c>
      <c r="J12" s="8" t="str">
        <f aca="false">IF(COUNTIF($I$2:I12,I12)&gt;1,"Duplicate","Unique")</f>
        <v>Unique</v>
      </c>
    </row>
    <row r="13" customFormat="false" ht="15" hidden="false" customHeight="false" outlineLevel="0" collapsed="false">
      <c r="A13" s="8" t="s">
        <v>116</v>
      </c>
      <c r="B13" s="8" t="s">
        <v>117</v>
      </c>
      <c r="C13" s="9" t="n">
        <v>57</v>
      </c>
      <c r="D13" s="8" t="s">
        <v>46</v>
      </c>
      <c r="E13" s="8"/>
      <c r="F13" s="8" t="s">
        <v>118</v>
      </c>
      <c r="G13" s="9"/>
      <c r="H13" s="10" t="n">
        <v>45584</v>
      </c>
      <c r="I13" s="8" t="str">
        <f aca="false">A13&amp;"|"&amp;B13&amp;"|"&amp;C13&amp;"|"&amp;D13&amp;"|"&amp;E13&amp;"|"&amp;F13&amp;"|"&amp;G13&amp;"|"&amp;H13</f>
        <v>PT0015|Arjun Rathore|57|Male||salbutamol||45584</v>
      </c>
      <c r="J13" s="8" t="str">
        <f aca="false">IF(COUNTIF($I$2:I13,I13)&gt;1,"Duplicate","Unique")</f>
        <v>Unique</v>
      </c>
    </row>
    <row r="14" customFormat="false" ht="15" hidden="false" customHeight="false" outlineLevel="0" collapsed="false">
      <c r="A14" s="8" t="s">
        <v>119</v>
      </c>
      <c r="B14" s="8" t="s">
        <v>120</v>
      </c>
      <c r="C14" s="9" t="n">
        <v>69</v>
      </c>
      <c r="D14" s="8" t="s">
        <v>121</v>
      </c>
      <c r="E14" s="8" t="s">
        <v>122</v>
      </c>
      <c r="F14" s="8" t="s">
        <v>52</v>
      </c>
      <c r="G14" s="9" t="n">
        <v>10</v>
      </c>
      <c r="H14" s="10" t="n">
        <v>45947</v>
      </c>
      <c r="I14" s="8" t="str">
        <f aca="false">A14&amp;"|"&amp;B14&amp;"|"&amp;C14&amp;"|"&amp;D14&amp;"|"&amp;E14&amp;"|"&amp;F14&amp;"|"&amp;G14&amp;"|"&amp;H14</f>
        <v>PT0182|Lata Sharma|69|FEMALE| Hypertension |Amlodipine|10|45947</v>
      </c>
      <c r="J14" s="8" t="str">
        <f aca="false">IF(COUNTIF($I$2:I14,I14)&gt;1,"Duplicate","Unique")</f>
        <v>Unique</v>
      </c>
    </row>
    <row r="15" customFormat="false" ht="15" hidden="false" customHeight="false" outlineLevel="0" collapsed="false">
      <c r="A15" s="8" t="s">
        <v>123</v>
      </c>
      <c r="B15" s="8" t="s">
        <v>124</v>
      </c>
      <c r="C15" s="9" t="n">
        <v>60</v>
      </c>
      <c r="D15" s="8" t="s">
        <v>81</v>
      </c>
      <c r="E15" s="8" t="s">
        <v>125</v>
      </c>
      <c r="F15" s="8" t="s">
        <v>126</v>
      </c>
      <c r="G15" s="9" t="n">
        <v>585</v>
      </c>
      <c r="H15" s="10" t="n">
        <v>45797</v>
      </c>
      <c r="I15" s="8" t="str">
        <f aca="false">A15&amp;"|"&amp;B15&amp;"|"&amp;C15&amp;"|"&amp;D15&amp;"|"&amp;E15&amp;"|"&amp;F15&amp;"|"&amp;G15&amp;"|"&amp;H15</f>
        <v>PT0203|Usha Verma|60|female|diabetes|Metformin  |585|45797</v>
      </c>
      <c r="J15" s="8" t="str">
        <f aca="false">IF(COUNTIF($I$2:I15,I15)&gt;1,"Duplicate","Unique")</f>
        <v>Unique</v>
      </c>
    </row>
    <row r="16" customFormat="false" ht="15" hidden="false" customHeight="false" outlineLevel="0" collapsed="false">
      <c r="A16" s="8" t="s">
        <v>127</v>
      </c>
      <c r="B16" s="8" t="s">
        <v>128</v>
      </c>
      <c r="C16" s="9" t="n">
        <v>56</v>
      </c>
      <c r="D16" s="8" t="s">
        <v>113</v>
      </c>
      <c r="E16" s="8" t="s">
        <v>100</v>
      </c>
      <c r="F16" s="8" t="s">
        <v>52</v>
      </c>
      <c r="G16" s="9" t="n">
        <v>10</v>
      </c>
      <c r="H16" s="10" t="n">
        <v>45647</v>
      </c>
      <c r="I16" s="8" t="str">
        <f aca="false">A16&amp;"|"&amp;B16&amp;"|"&amp;C16&amp;"|"&amp;D16&amp;"|"&amp;E16&amp;"|"&amp;F16&amp;"|"&amp;G16&amp;"|"&amp;H16</f>
        <v>PT0032|Gopal Singh|56|male|hypertension|Amlodipine|10|45647</v>
      </c>
      <c r="J16" s="8" t="str">
        <f aca="false">IF(COUNTIF($I$2:I16,I16)&gt;1,"Duplicate","Unique")</f>
        <v>Unique</v>
      </c>
    </row>
    <row r="17" customFormat="false" ht="15" hidden="false" customHeight="false" outlineLevel="0" collapsed="false">
      <c r="A17" s="8" t="s">
        <v>129</v>
      </c>
      <c r="B17" s="8" t="s">
        <v>130</v>
      </c>
      <c r="C17" s="9" t="n">
        <v>40</v>
      </c>
      <c r="D17" s="8" t="s">
        <v>131</v>
      </c>
      <c r="E17" s="8" t="s">
        <v>96</v>
      </c>
      <c r="F17" s="8"/>
      <c r="G17" s="9" t="n">
        <v>10</v>
      </c>
      <c r="H17" s="10"/>
      <c r="I17" s="8" t="str">
        <f aca="false">A17&amp;"|"&amp;B17&amp;"|"&amp;C17&amp;"|"&amp;D17&amp;"|"&amp;E17&amp;"|"&amp;F17&amp;"|"&amp;G17&amp;"|"&amp;H17</f>
        <v>PT0151|Swati Verma|40|Female |HYPERTENSION||10|</v>
      </c>
      <c r="J17" s="8" t="str">
        <f aca="false">IF(COUNTIF($I$2:I17,I17)&gt;1,"Duplicate","Unique")</f>
        <v>Unique</v>
      </c>
    </row>
    <row r="18" customFormat="false" ht="15" hidden="false" customHeight="false" outlineLevel="0" collapsed="false">
      <c r="A18" s="8" t="s">
        <v>132</v>
      </c>
      <c r="B18" s="8" t="s">
        <v>133</v>
      </c>
      <c r="C18" s="9" t="n">
        <v>37</v>
      </c>
      <c r="D18" s="8" t="s">
        <v>46</v>
      </c>
      <c r="E18" s="8" t="s">
        <v>134</v>
      </c>
      <c r="F18" s="8" t="s">
        <v>135</v>
      </c>
      <c r="G18" s="9" t="n">
        <v>75</v>
      </c>
      <c r="H18" s="10" t="n">
        <v>45631</v>
      </c>
      <c r="I18" s="8" t="str">
        <f aca="false">A18&amp;"|"&amp;B18&amp;"|"&amp;C18&amp;"|"&amp;D18&amp;"|"&amp;E18&amp;"|"&amp;F18&amp;"|"&amp;G18&amp;"|"&amp;H18</f>
        <v>PT0069|Karan Kumar|37|Male| Migraine |Sumatriptan  |75|45631</v>
      </c>
      <c r="J18" s="8" t="str">
        <f aca="false">IF(COUNTIF($I$2:I18,I18)&gt;1,"Duplicate","Unique")</f>
        <v>Unique</v>
      </c>
    </row>
    <row r="19" customFormat="false" ht="15" hidden="false" customHeight="false" outlineLevel="0" collapsed="false">
      <c r="A19" s="8" t="s">
        <v>136</v>
      </c>
      <c r="B19" s="8" t="s">
        <v>137</v>
      </c>
      <c r="C19" s="9" t="n">
        <v>43</v>
      </c>
      <c r="D19" s="8" t="s">
        <v>85</v>
      </c>
      <c r="E19" s="8" t="s">
        <v>138</v>
      </c>
      <c r="F19" s="8" t="s">
        <v>139</v>
      </c>
      <c r="G19" s="9" t="n">
        <v>75</v>
      </c>
      <c r="H19" s="10" t="n">
        <v>45638</v>
      </c>
      <c r="I19" s="8" t="str">
        <f aca="false">A19&amp;"|"&amp;B19&amp;"|"&amp;C19&amp;"|"&amp;D19&amp;"|"&amp;E19&amp;"|"&amp;F19&amp;"|"&amp;G19&amp;"|"&amp;H19</f>
        <v>PT0144|Ramesh Reddy|43|MALE|THYROID DISORDER| Levothyroxine |75|45638</v>
      </c>
      <c r="J19" s="8" t="str">
        <f aca="false">IF(COUNTIF($I$2:I19,I19)&gt;1,"Duplicate","Unique")</f>
        <v>Unique</v>
      </c>
    </row>
    <row r="20" customFormat="false" ht="15" hidden="false" customHeight="false" outlineLevel="0" collapsed="false">
      <c r="A20" s="8" t="s">
        <v>140</v>
      </c>
      <c r="B20" s="8" t="s">
        <v>141</v>
      </c>
      <c r="C20" s="9" t="n">
        <v>59</v>
      </c>
      <c r="D20" s="8" t="s">
        <v>121</v>
      </c>
      <c r="E20" s="8" t="s">
        <v>91</v>
      </c>
      <c r="F20" s="8" t="s">
        <v>126</v>
      </c>
      <c r="G20" s="9" t="n">
        <v>970</v>
      </c>
      <c r="H20" s="10" t="n">
        <v>46031</v>
      </c>
      <c r="I20" s="8" t="str">
        <f aca="false">A20&amp;"|"&amp;B20&amp;"|"&amp;C20&amp;"|"&amp;D20&amp;"|"&amp;E20&amp;"|"&amp;F20&amp;"|"&amp;G20&amp;"|"&amp;H20</f>
        <v>PT0108|Divya Kumar|59|FEMALE| Diabetes |Metformin  |970|46031</v>
      </c>
      <c r="J20" s="8" t="str">
        <f aca="false">IF(COUNTIF($I$2:I20,I20)&gt;1,"Duplicate","Unique")</f>
        <v>Unique</v>
      </c>
    </row>
    <row r="21" customFormat="false" ht="15" hidden="false" customHeight="false" outlineLevel="0" collapsed="false">
      <c r="A21" s="8" t="s">
        <v>142</v>
      </c>
      <c r="B21" s="8" t="s">
        <v>143</v>
      </c>
      <c r="C21" s="9" t="n">
        <v>31</v>
      </c>
      <c r="D21" s="8" t="s">
        <v>81</v>
      </c>
      <c r="E21" s="8" t="s">
        <v>144</v>
      </c>
      <c r="F21" s="8" t="s">
        <v>145</v>
      </c>
      <c r="G21" s="9" t="n">
        <v>75</v>
      </c>
      <c r="H21" s="10" t="n">
        <v>46155</v>
      </c>
      <c r="I21" s="8" t="str">
        <f aca="false">A21&amp;"|"&amp;B21&amp;"|"&amp;C21&amp;"|"&amp;D21&amp;"|"&amp;E21&amp;"|"&amp;F21&amp;"|"&amp;G21&amp;"|"&amp;H21</f>
        <v>PT0218|Swati Choudhary|31|female|MIGRAINE|Sumatriptan|75|46155</v>
      </c>
      <c r="J21" s="8" t="str">
        <f aca="false">IF(COUNTIF($I$2:I21,I21)&gt;1,"Duplicate","Unique")</f>
        <v>Unique</v>
      </c>
    </row>
    <row r="22" customFormat="false" ht="15" hidden="false" customHeight="false" outlineLevel="0" collapsed="false">
      <c r="A22" s="8" t="s">
        <v>146</v>
      </c>
      <c r="B22" s="8" t="s">
        <v>147</v>
      </c>
      <c r="C22" s="9" t="n">
        <v>52</v>
      </c>
      <c r="D22" s="8" t="s">
        <v>121</v>
      </c>
      <c r="E22" s="8" t="s">
        <v>148</v>
      </c>
      <c r="F22" s="8" t="s">
        <v>149</v>
      </c>
      <c r="G22" s="9" t="n">
        <v>80</v>
      </c>
      <c r="H22" s="10" t="n">
        <v>46079</v>
      </c>
      <c r="I22" s="8" t="str">
        <f aca="false">A22&amp;"|"&amp;B22&amp;"|"&amp;C22&amp;"|"&amp;D22&amp;"|"&amp;E22&amp;"|"&amp;F22&amp;"|"&amp;G22&amp;"|"&amp;H22</f>
        <v>PT0162|Pooja Rao|52|FEMALE|Depression| Sertraline |80|46079</v>
      </c>
      <c r="J22" s="8" t="str">
        <f aca="false">IF(COUNTIF($I$2:I22,I22)&gt;1,"Duplicate","Unique")</f>
        <v>Unique</v>
      </c>
    </row>
    <row r="23" customFormat="false" ht="15" hidden="false" customHeight="false" outlineLevel="0" collapsed="false">
      <c r="A23" s="8" t="s">
        <v>150</v>
      </c>
      <c r="B23" s="8" t="s">
        <v>151</v>
      </c>
      <c r="C23" s="9" t="n">
        <v>50</v>
      </c>
      <c r="D23" s="8" t="s">
        <v>109</v>
      </c>
      <c r="E23" s="8" t="s">
        <v>105</v>
      </c>
      <c r="F23" s="8" t="s">
        <v>106</v>
      </c>
      <c r="G23" s="9" t="n">
        <v>145</v>
      </c>
      <c r="H23" s="10" t="n">
        <v>45582</v>
      </c>
      <c r="I23" s="8" t="str">
        <f aca="false">A23&amp;"|"&amp;B23&amp;"|"&amp;C23&amp;"|"&amp;D23&amp;"|"&amp;E23&amp;"|"&amp;F23&amp;"|"&amp;G23&amp;"|"&amp;H23</f>
        <v>PT0202|Suman Choudhary|50|f| Asthma |SALBUTAMOL|145|45582</v>
      </c>
      <c r="J23" s="8" t="str">
        <f aca="false">IF(COUNTIF($I$2:I23,I23)&gt;1,"Duplicate","Unique")</f>
        <v>Unique</v>
      </c>
    </row>
    <row r="24" customFormat="false" ht="15" hidden="false" customHeight="false" outlineLevel="0" collapsed="false">
      <c r="A24" s="8" t="s">
        <v>152</v>
      </c>
      <c r="B24" s="8" t="s">
        <v>133</v>
      </c>
      <c r="C24" s="9" t="n">
        <v>48</v>
      </c>
      <c r="D24" s="8" t="s">
        <v>76</v>
      </c>
      <c r="E24" s="8" t="s">
        <v>153</v>
      </c>
      <c r="F24" s="8" t="s">
        <v>154</v>
      </c>
      <c r="G24" s="9" t="n">
        <v>250</v>
      </c>
      <c r="H24" s="10" t="n">
        <v>45957</v>
      </c>
      <c r="I24" s="8" t="str">
        <f aca="false">A24&amp;"|"&amp;B24&amp;"|"&amp;C24&amp;"|"&amp;D24&amp;"|"&amp;E24&amp;"|"&amp;F24&amp;"|"&amp;G24&amp;"|"&amp;H24</f>
        <v>PT0055|Karan Kumar|48| Male| Anemia |Ferrous Sulfate|250|45957</v>
      </c>
      <c r="J24" s="8" t="str">
        <f aca="false">IF(COUNTIF($I$2:I24,I24)&gt;1,"Duplicate","Unique")</f>
        <v>Unique</v>
      </c>
    </row>
    <row r="25" customFormat="false" ht="15" hidden="false" customHeight="false" outlineLevel="0" collapsed="false">
      <c r="A25" s="8" t="s">
        <v>155</v>
      </c>
      <c r="B25" s="8" t="s">
        <v>156</v>
      </c>
      <c r="C25" s="9" t="n">
        <v>33</v>
      </c>
      <c r="D25" s="8" t="s">
        <v>67</v>
      </c>
      <c r="E25" s="8" t="s">
        <v>144</v>
      </c>
      <c r="F25" s="8" t="s">
        <v>157</v>
      </c>
      <c r="G25" s="9" t="n">
        <v>30</v>
      </c>
      <c r="H25" s="10" t="n">
        <v>45852</v>
      </c>
      <c r="I25" s="8" t="str">
        <f aca="false">A25&amp;"|"&amp;B25&amp;"|"&amp;C25&amp;"|"&amp;D25&amp;"|"&amp;E25&amp;"|"&amp;F25&amp;"|"&amp;G25&amp;"|"&amp;H25</f>
        <v>PT0160|Dinesh Yadav|33|M|MIGRAINE|sumatriptan|30|45852</v>
      </c>
      <c r="J25" s="8" t="str">
        <f aca="false">IF(COUNTIF($I$2:I25,I25)&gt;1,"Duplicate","Unique")</f>
        <v>Unique</v>
      </c>
    </row>
    <row r="26" customFormat="false" ht="15" hidden="false" customHeight="false" outlineLevel="0" collapsed="false">
      <c r="A26" s="8" t="s">
        <v>158</v>
      </c>
      <c r="B26" s="8" t="s">
        <v>159</v>
      </c>
      <c r="C26" s="9" t="n">
        <v>34</v>
      </c>
      <c r="D26" s="8" t="s">
        <v>104</v>
      </c>
      <c r="E26" s="8" t="s">
        <v>82</v>
      </c>
      <c r="F26" s="8" t="s">
        <v>126</v>
      </c>
      <c r="G26" s="9" t="n">
        <v>635</v>
      </c>
      <c r="H26" s="10" t="n">
        <v>45595</v>
      </c>
      <c r="I26" s="8" t="str">
        <f aca="false">A26&amp;"|"&amp;B26&amp;"|"&amp;C26&amp;"|"&amp;D26&amp;"|"&amp;E26&amp;"|"&amp;F26&amp;"|"&amp;G26&amp;"|"&amp;H26</f>
        <v>PT0037|Sarita Rao|34| Female|Diabetes  |Metformin  |635|45595</v>
      </c>
      <c r="J26" s="8" t="str">
        <f aca="false">IF(COUNTIF($I$2:I26,I26)&gt;1,"Duplicate","Unique")</f>
        <v>Unique</v>
      </c>
    </row>
    <row r="27" customFormat="false" ht="15" hidden="false" customHeight="false" outlineLevel="0" collapsed="false">
      <c r="A27" s="8" t="s">
        <v>160</v>
      </c>
      <c r="B27" s="8" t="s">
        <v>161</v>
      </c>
      <c r="C27" s="9" t="n">
        <v>38</v>
      </c>
      <c r="D27" s="8" t="s">
        <v>95</v>
      </c>
      <c r="E27" s="8" t="s">
        <v>162</v>
      </c>
      <c r="F27" s="8" t="s">
        <v>52</v>
      </c>
      <c r="G27" s="9" t="n">
        <v>10</v>
      </c>
      <c r="H27" s="10" t="n">
        <v>46220</v>
      </c>
      <c r="I27" s="8" t="str">
        <f aca="false">A27&amp;"|"&amp;B27&amp;"|"&amp;C27&amp;"|"&amp;D27&amp;"|"&amp;E27&amp;"|"&amp;F27&amp;"|"&amp;G27&amp;"|"&amp;H27</f>
        <v>PT0084|Nisha Nair|38|F|Hypertension  |Amlodipine|10|46220</v>
      </c>
      <c r="J27" s="8" t="str">
        <f aca="false">IF(COUNTIF($I$2:I27,I27)&gt;1,"Duplicate","Unique")</f>
        <v>Unique</v>
      </c>
    </row>
    <row r="28" customFormat="false" ht="15" hidden="false" customHeight="false" outlineLevel="0" collapsed="false">
      <c r="A28" s="8" t="s">
        <v>163</v>
      </c>
      <c r="B28" s="8" t="s">
        <v>164</v>
      </c>
      <c r="C28" s="9" t="n">
        <v>53</v>
      </c>
      <c r="D28" s="8" t="s">
        <v>131</v>
      </c>
      <c r="E28" s="8" t="s">
        <v>165</v>
      </c>
      <c r="F28" s="8" t="s">
        <v>166</v>
      </c>
      <c r="G28" s="9" t="n">
        <v>95</v>
      </c>
      <c r="H28" s="10" t="n">
        <v>45894</v>
      </c>
      <c r="I28" s="8" t="str">
        <f aca="false">A28&amp;"|"&amp;B28&amp;"|"&amp;C28&amp;"|"&amp;D28&amp;"|"&amp;E28&amp;"|"&amp;F28&amp;"|"&amp;G28&amp;"|"&amp;H28</f>
        <v>PT0057|Ritu Verma|53|Female |OBESITY|Orlistat|95|45894</v>
      </c>
      <c r="J28" s="8" t="str">
        <f aca="false">IF(COUNTIF($I$2:I28,I28)&gt;1,"Duplicate","Unique")</f>
        <v>Unique</v>
      </c>
    </row>
    <row r="29" customFormat="false" ht="15" hidden="false" customHeight="false" outlineLevel="0" collapsed="false">
      <c r="A29" s="8" t="s">
        <v>167</v>
      </c>
      <c r="B29" s="8" t="s">
        <v>168</v>
      </c>
      <c r="C29" s="9" t="n">
        <v>10</v>
      </c>
      <c r="D29" s="8" t="s">
        <v>76</v>
      </c>
      <c r="E29" s="8" t="s">
        <v>91</v>
      </c>
      <c r="F29" s="8" t="s">
        <v>73</v>
      </c>
      <c r="G29" s="9" t="n">
        <v>740</v>
      </c>
      <c r="H29" s="10" t="n">
        <v>46194</v>
      </c>
      <c r="I29" s="8" t="str">
        <f aca="false">A29&amp;"|"&amp;B29&amp;"|"&amp;C29&amp;"|"&amp;D29&amp;"|"&amp;E29&amp;"|"&amp;F29&amp;"|"&amp;G29&amp;"|"&amp;H29</f>
        <v>PT0225|Arjun Yadav|10| Male| Diabetes | Metformin |740|46194</v>
      </c>
      <c r="J29" s="8" t="str">
        <f aca="false">IF(COUNTIF($I$2:I29,I29)&gt;1,"Duplicate","Unique")</f>
        <v>Unique</v>
      </c>
    </row>
    <row r="30" customFormat="false" ht="15" hidden="false" customHeight="false" outlineLevel="0" collapsed="false">
      <c r="A30" s="8" t="s">
        <v>169</v>
      </c>
      <c r="B30" s="8" t="s">
        <v>170</v>
      </c>
      <c r="C30" s="9" t="n">
        <v>27</v>
      </c>
      <c r="D30" s="8" t="s">
        <v>131</v>
      </c>
      <c r="E30" s="8" t="s">
        <v>171</v>
      </c>
      <c r="F30" s="8" t="s">
        <v>172</v>
      </c>
      <c r="G30" s="9" t="n">
        <v>85</v>
      </c>
      <c r="H30" s="10" t="n">
        <v>45626</v>
      </c>
      <c r="I30" s="8" t="str">
        <f aca="false">A30&amp;"|"&amp;B30&amp;"|"&amp;C30&amp;"|"&amp;D30&amp;"|"&amp;E30&amp;"|"&amp;F30&amp;"|"&amp;G30&amp;"|"&amp;H30</f>
        <v>PT0208|Usha Joshi|27|Female |obesity|orlistat|85|45626</v>
      </c>
      <c r="J30" s="8" t="str">
        <f aca="false">IF(COUNTIF($I$2:I30,I30)&gt;1,"Duplicate","Unique")</f>
        <v>Unique</v>
      </c>
    </row>
    <row r="31" customFormat="false" ht="15" hidden="false" customHeight="false" outlineLevel="0" collapsed="false">
      <c r="A31" s="8" t="s">
        <v>74</v>
      </c>
      <c r="B31" s="8" t="s">
        <v>75</v>
      </c>
      <c r="C31" s="9" t="n">
        <v>50</v>
      </c>
      <c r="D31" s="8" t="s">
        <v>76</v>
      </c>
      <c r="E31" s="8" t="s">
        <v>77</v>
      </c>
      <c r="F31" s="8" t="s">
        <v>78</v>
      </c>
      <c r="G31" s="9" t="n">
        <v>75</v>
      </c>
      <c r="H31" s="10" t="n">
        <v>45690</v>
      </c>
      <c r="I31" s="8" t="str">
        <f aca="false">A31&amp;"|"&amp;B31&amp;"|"&amp;C31&amp;"|"&amp;D31&amp;"|"&amp;E31&amp;"|"&amp;F31&amp;"|"&amp;G31&amp;"|"&amp;H31</f>
        <v>PT0214|Vinod Chauhan|50| Male| Depression |SERTRALINE|75|45690</v>
      </c>
      <c r="J31" s="8" t="str">
        <f aca="false">IF(COUNTIF($I$2:I31,I31)&gt;1,"Duplicate","Unique")</f>
        <v>Duplicate</v>
      </c>
    </row>
    <row r="32" customFormat="false" ht="15" hidden="false" customHeight="false" outlineLevel="0" collapsed="false">
      <c r="A32" s="8" t="s">
        <v>173</v>
      </c>
      <c r="B32" s="8" t="s">
        <v>174</v>
      </c>
      <c r="C32" s="9" t="n">
        <v>38</v>
      </c>
      <c r="D32" s="8" t="s">
        <v>113</v>
      </c>
      <c r="E32" s="8" t="s">
        <v>175</v>
      </c>
      <c r="F32" s="8" t="s">
        <v>69</v>
      </c>
      <c r="G32" s="9" t="n">
        <v>235</v>
      </c>
      <c r="H32" s="10" t="n">
        <v>45956</v>
      </c>
      <c r="I32" s="8" t="str">
        <f aca="false">A32&amp;"|"&amp;B32&amp;"|"&amp;C32&amp;"|"&amp;D32&amp;"|"&amp;E32&amp;"|"&amp;F32&amp;"|"&amp;G32&amp;"|"&amp;H32</f>
        <v>PT0190|Rakesh Rao|38|male|ARTHRITIS|Ibuprofen|235|45956</v>
      </c>
      <c r="J32" s="8" t="str">
        <f aca="false">IF(COUNTIF($I$2:I32,I32)&gt;1,"Duplicate","Unique")</f>
        <v>Unique</v>
      </c>
    </row>
    <row r="33" customFormat="false" ht="15" hidden="false" customHeight="false" outlineLevel="0" collapsed="false">
      <c r="A33" s="8" t="s">
        <v>176</v>
      </c>
      <c r="B33" s="8" t="s">
        <v>177</v>
      </c>
      <c r="C33" s="9" t="n">
        <v>61</v>
      </c>
      <c r="D33" s="8" t="s">
        <v>113</v>
      </c>
      <c r="E33" s="8" t="s">
        <v>178</v>
      </c>
      <c r="F33" s="8" t="s">
        <v>115</v>
      </c>
      <c r="G33" s="9" t="n">
        <v>290</v>
      </c>
      <c r="H33" s="10" t="n">
        <v>46147</v>
      </c>
      <c r="I33" s="8" t="str">
        <f aca="false">A33&amp;"|"&amp;B33&amp;"|"&amp;C33&amp;"|"&amp;D33&amp;"|"&amp;E33&amp;"|"&amp;F33&amp;"|"&amp;G33&amp;"|"&amp;H33</f>
        <v>PT0229|Nitin Reddy|61|male|Bronchitis  |Azithromycin|290|46147</v>
      </c>
      <c r="J33" s="8" t="str">
        <f aca="false">IF(COUNTIF($I$2:I33,I33)&gt;1,"Duplicate","Unique")</f>
        <v>Unique</v>
      </c>
    </row>
    <row r="34" customFormat="false" ht="15" hidden="false" customHeight="false" outlineLevel="0" collapsed="false">
      <c r="A34" s="8" t="s">
        <v>179</v>
      </c>
      <c r="B34" s="8" t="s">
        <v>180</v>
      </c>
      <c r="C34" s="9" t="n">
        <v>46</v>
      </c>
      <c r="D34" s="8" t="s">
        <v>81</v>
      </c>
      <c r="E34" s="8" t="s">
        <v>134</v>
      </c>
      <c r="F34" s="8" t="s">
        <v>135</v>
      </c>
      <c r="G34" s="9" t="n">
        <v>25</v>
      </c>
      <c r="H34" s="10" t="n">
        <v>45670</v>
      </c>
      <c r="I34" s="8" t="str">
        <f aca="false">A34&amp;"|"&amp;B34&amp;"|"&amp;C34&amp;"|"&amp;D34&amp;"|"&amp;E34&amp;"|"&amp;F34&amp;"|"&amp;G34&amp;"|"&amp;H34</f>
        <v>PT0178|Neha Singh|46|female| Migraine |Sumatriptan  |25|45670</v>
      </c>
      <c r="J34" s="8" t="str">
        <f aca="false">IF(COUNTIF($I$2:I34,I34)&gt;1,"Duplicate","Unique")</f>
        <v>Unique</v>
      </c>
    </row>
    <row r="35" customFormat="false" ht="15" hidden="false" customHeight="false" outlineLevel="0" collapsed="false">
      <c r="A35" s="8" t="s">
        <v>181</v>
      </c>
      <c r="B35" s="8" t="s">
        <v>182</v>
      </c>
      <c r="C35" s="9" t="n">
        <v>14</v>
      </c>
      <c r="D35" s="8" t="s">
        <v>104</v>
      </c>
      <c r="E35" s="8" t="s">
        <v>183</v>
      </c>
      <c r="F35" s="8"/>
      <c r="G35" s="9" t="n">
        <v>115</v>
      </c>
      <c r="H35" s="10" t="n">
        <v>45622</v>
      </c>
      <c r="I35" s="8" t="str">
        <f aca="false">A35&amp;"|"&amp;B35&amp;"|"&amp;C35&amp;"|"&amp;D35&amp;"|"&amp;E35&amp;"|"&amp;F35&amp;"|"&amp;G35&amp;"|"&amp;H35</f>
        <v>PT0219|Pooja Verma|14| Female|Obesity  ||115|45622</v>
      </c>
      <c r="J35" s="8" t="str">
        <f aca="false">IF(COUNTIF($I$2:I35,I35)&gt;1,"Duplicate","Unique")</f>
        <v>Unique</v>
      </c>
    </row>
    <row r="36" customFormat="false" ht="15" hidden="false" customHeight="false" outlineLevel="0" collapsed="false">
      <c r="A36" s="8" t="s">
        <v>184</v>
      </c>
      <c r="B36" s="8" t="s">
        <v>185</v>
      </c>
      <c r="C36" s="9" t="n">
        <v>52</v>
      </c>
      <c r="D36" s="8" t="s">
        <v>76</v>
      </c>
      <c r="E36" s="8" t="s">
        <v>186</v>
      </c>
      <c r="F36" s="8" t="s">
        <v>187</v>
      </c>
      <c r="G36" s="9" t="n">
        <v>5</v>
      </c>
      <c r="H36" s="10" t="n">
        <v>46011</v>
      </c>
      <c r="I36" s="8" t="str">
        <f aca="false">A36&amp;"|"&amp;B36&amp;"|"&amp;C36&amp;"|"&amp;D36&amp;"|"&amp;E36&amp;"|"&amp;F36&amp;"|"&amp;G36&amp;"|"&amp;H36</f>
        <v>PT0100|Vijay Tiwari|52| Male|Allergy|Cetirizine  |5|46011</v>
      </c>
      <c r="J36" s="8" t="str">
        <f aca="false">IF(COUNTIF($I$2:I36,I36)&gt;1,"Duplicate","Unique")</f>
        <v>Unique</v>
      </c>
    </row>
    <row r="37" customFormat="false" ht="15" hidden="false" customHeight="false" outlineLevel="0" collapsed="false">
      <c r="A37" s="8" t="s">
        <v>188</v>
      </c>
      <c r="B37" s="8" t="s">
        <v>189</v>
      </c>
      <c r="C37" s="9" t="n">
        <v>33</v>
      </c>
      <c r="D37" s="8" t="s">
        <v>190</v>
      </c>
      <c r="E37" s="8"/>
      <c r="F37" s="8" t="s">
        <v>135</v>
      </c>
      <c r="G37" s="9" t="n">
        <v>60</v>
      </c>
      <c r="H37" s="10" t="n">
        <v>45739</v>
      </c>
      <c r="I37" s="8" t="str">
        <f aca="false">A37&amp;"|"&amp;B37&amp;"|"&amp;C37&amp;"|"&amp;D37&amp;"|"&amp;E37&amp;"|"&amp;F37&amp;"|"&amp;G37&amp;"|"&amp;H37</f>
        <v>PT0070|Dinesh Mishra|33|Male ||Sumatriptan  |60|45739</v>
      </c>
      <c r="J37" s="8" t="str">
        <f aca="false">IF(COUNTIF($I$2:I37,I37)&gt;1,"Duplicate","Unique")</f>
        <v>Unique</v>
      </c>
    </row>
    <row r="38" customFormat="false" ht="15" hidden="false" customHeight="false" outlineLevel="0" collapsed="false">
      <c r="A38" s="8" t="s">
        <v>191</v>
      </c>
      <c r="B38" s="8" t="s">
        <v>192</v>
      </c>
      <c r="C38" s="9" t="n">
        <v>999</v>
      </c>
      <c r="D38" s="8" t="s">
        <v>90</v>
      </c>
      <c r="E38" s="8" t="s">
        <v>162</v>
      </c>
      <c r="F38" s="8" t="s">
        <v>193</v>
      </c>
      <c r="G38" s="9" t="n">
        <v>10</v>
      </c>
      <c r="H38" s="10" t="n">
        <v>45883</v>
      </c>
      <c r="I38" s="8" t="str">
        <f aca="false">A38&amp;"|"&amp;B38&amp;"|"&amp;C38&amp;"|"&amp;D38&amp;"|"&amp;E38&amp;"|"&amp;F38&amp;"|"&amp;G38&amp;"|"&amp;H38</f>
        <v>PT0209|Kavita Mishra|999|Female|Hypertension  |Amlodipine  |10|45883</v>
      </c>
      <c r="J38" s="8" t="str">
        <f aca="false">IF(COUNTIF($I$2:I38,I38)&gt;1,"Duplicate","Unique")</f>
        <v>Unique</v>
      </c>
    </row>
    <row r="39" customFormat="false" ht="15" hidden="false" customHeight="false" outlineLevel="0" collapsed="false">
      <c r="A39" s="8" t="s">
        <v>194</v>
      </c>
      <c r="B39" s="8" t="s">
        <v>195</v>
      </c>
      <c r="C39" s="9" t="n">
        <v>83</v>
      </c>
      <c r="D39" s="8" t="s">
        <v>85</v>
      </c>
      <c r="E39" s="8" t="s">
        <v>196</v>
      </c>
      <c r="F39" s="8" t="s">
        <v>87</v>
      </c>
      <c r="G39" s="9" t="n">
        <v>650</v>
      </c>
      <c r="H39" s="10" t="n">
        <v>46119</v>
      </c>
      <c r="I39" s="8" t="str">
        <f aca="false">A39&amp;"|"&amp;B39&amp;"|"&amp;C39&amp;"|"&amp;D39&amp;"|"&amp;E39&amp;"|"&amp;F39&amp;"|"&amp;G39&amp;"|"&amp;H39</f>
        <v>PT0040|Mahesh Mishra|83|MALE|FLU|Paracetamol  |650|46119</v>
      </c>
      <c r="J39" s="8" t="str">
        <f aca="false">IF(COUNTIF($I$2:I39,I39)&gt;1,"Duplicate","Unique")</f>
        <v>Unique</v>
      </c>
    </row>
    <row r="40" customFormat="false" ht="15" hidden="false" customHeight="false" outlineLevel="0" collapsed="false">
      <c r="A40" s="8" t="s">
        <v>197</v>
      </c>
      <c r="B40" s="8" t="s">
        <v>198</v>
      </c>
      <c r="C40" s="9" t="n">
        <v>82</v>
      </c>
      <c r="D40" s="8" t="s">
        <v>121</v>
      </c>
      <c r="E40" s="8" t="s">
        <v>199</v>
      </c>
      <c r="F40" s="8" t="s">
        <v>200</v>
      </c>
      <c r="G40" s="9" t="n">
        <v>395</v>
      </c>
      <c r="H40" s="10" t="n">
        <v>45762</v>
      </c>
      <c r="I40" s="8" t="str">
        <f aca="false">A40&amp;"|"&amp;B40&amp;"|"&amp;C40&amp;"|"&amp;D40&amp;"|"&amp;E40&amp;"|"&amp;F40&amp;"|"&amp;G40&amp;"|"&amp;H40</f>
        <v>PT0167|Rekha Nair|82|FEMALE|Arthritis  |Ibuprofen  |395|45762</v>
      </c>
      <c r="J40" s="8" t="str">
        <f aca="false">IF(COUNTIF($I$2:I40,I40)&gt;1,"Duplicate","Unique")</f>
        <v>Unique</v>
      </c>
    </row>
    <row r="41" customFormat="false" ht="15" hidden="false" customHeight="false" outlineLevel="0" collapsed="false">
      <c r="A41" s="8" t="s">
        <v>201</v>
      </c>
      <c r="B41" s="8" t="s">
        <v>202</v>
      </c>
      <c r="C41" s="9"/>
      <c r="D41" s="8" t="s">
        <v>203</v>
      </c>
      <c r="E41" s="8" t="s">
        <v>105</v>
      </c>
      <c r="F41" s="8" t="s">
        <v>118</v>
      </c>
      <c r="G41" s="9" t="n">
        <v>140</v>
      </c>
      <c r="H41" s="10" t="n">
        <v>45789</v>
      </c>
      <c r="I41" s="8" t="str">
        <f aca="false">A41&amp;"|"&amp;B41&amp;"|"&amp;C41&amp;"|"&amp;D41&amp;"|"&amp;E41&amp;"|"&amp;F41&amp;"|"&amp;G41&amp;"|"&amp;H41</f>
        <v>PT0077|Ashok Joshi||m| Asthma |salbutamol|140|45789</v>
      </c>
      <c r="J41" s="8" t="str">
        <f aca="false">IF(COUNTIF($I$2:I41,I41)&gt;1,"Duplicate","Unique")</f>
        <v>Unique</v>
      </c>
    </row>
    <row r="42" customFormat="false" ht="15" hidden="false" customHeight="false" outlineLevel="0" collapsed="false">
      <c r="A42" s="8" t="s">
        <v>204</v>
      </c>
      <c r="B42" s="8" t="s">
        <v>205</v>
      </c>
      <c r="C42" s="9" t="n">
        <v>49</v>
      </c>
      <c r="D42" s="8" t="s">
        <v>95</v>
      </c>
      <c r="E42" s="8" t="s">
        <v>100</v>
      </c>
      <c r="F42" s="8" t="s">
        <v>101</v>
      </c>
      <c r="G42" s="9" t="n">
        <v>5</v>
      </c>
      <c r="H42" s="10" t="n">
        <v>45695</v>
      </c>
      <c r="I42" s="8" t="str">
        <f aca="false">A42&amp;"|"&amp;B42&amp;"|"&amp;C42&amp;"|"&amp;D42&amp;"|"&amp;E42&amp;"|"&amp;F42&amp;"|"&amp;G42&amp;"|"&amp;H42</f>
        <v>PT0199|Vandana Chauhan|49|F|hypertension|AMLODIPINE|5|45695</v>
      </c>
      <c r="J42" s="8" t="str">
        <f aca="false">IF(COUNTIF($I$2:I42,I42)&gt;1,"Duplicate","Unique")</f>
        <v>Unique</v>
      </c>
    </row>
    <row r="43" customFormat="false" ht="15" hidden="false" customHeight="false" outlineLevel="0" collapsed="false">
      <c r="A43" s="8" t="s">
        <v>206</v>
      </c>
      <c r="B43" s="8" t="s">
        <v>207</v>
      </c>
      <c r="C43" s="9" t="n">
        <v>46</v>
      </c>
      <c r="D43" s="8" t="s">
        <v>76</v>
      </c>
      <c r="E43" s="8" t="s">
        <v>96</v>
      </c>
      <c r="F43" s="8" t="s">
        <v>110</v>
      </c>
      <c r="G43" s="9"/>
      <c r="H43" s="10" t="n">
        <v>46012</v>
      </c>
      <c r="I43" s="8" t="str">
        <f aca="false">A43&amp;"|"&amp;B43&amp;"|"&amp;C43&amp;"|"&amp;D43&amp;"|"&amp;E43&amp;"|"&amp;F43&amp;"|"&amp;G43&amp;"|"&amp;H43</f>
        <v>PT0091|Vinod Yadav|46| Male|HYPERTENSION| Amlodipine ||46012</v>
      </c>
      <c r="J43" s="8" t="str">
        <f aca="false">IF(COUNTIF($I$2:I43,I43)&gt;1,"Duplicate","Unique")</f>
        <v>Unique</v>
      </c>
    </row>
    <row r="44" customFormat="false" ht="15" hidden="false" customHeight="false" outlineLevel="0" collapsed="false">
      <c r="A44" s="8" t="s">
        <v>208</v>
      </c>
      <c r="B44" s="8" t="s">
        <v>209</v>
      </c>
      <c r="C44" s="9" t="n">
        <v>39</v>
      </c>
      <c r="D44" s="8" t="s">
        <v>76</v>
      </c>
      <c r="E44" s="8" t="s">
        <v>210</v>
      </c>
      <c r="F44" s="8" t="s">
        <v>211</v>
      </c>
      <c r="G44" s="9" t="n">
        <v>10</v>
      </c>
      <c r="H44" s="10" t="n">
        <v>45961</v>
      </c>
      <c r="I44" s="8" t="str">
        <f aca="false">A44&amp;"|"&amp;B44&amp;"|"&amp;C44&amp;"|"&amp;D44&amp;"|"&amp;E44&amp;"|"&amp;F44&amp;"|"&amp;G44&amp;"|"&amp;H44</f>
        <v>PT0161|Amit Choudhary|39| Male|allergy| Cetirizine |10|45961</v>
      </c>
      <c r="J44" s="8" t="str">
        <f aca="false">IF(COUNTIF($I$2:I44,I44)&gt;1,"Duplicate","Unique")</f>
        <v>Unique</v>
      </c>
    </row>
    <row r="45" customFormat="false" ht="15" hidden="false" customHeight="false" outlineLevel="0" collapsed="false">
      <c r="A45" s="8" t="s">
        <v>212</v>
      </c>
      <c r="B45" s="8" t="s">
        <v>213</v>
      </c>
      <c r="C45" s="9" t="n">
        <v>63</v>
      </c>
      <c r="D45" s="8" t="s">
        <v>109</v>
      </c>
      <c r="E45" s="8" t="s">
        <v>82</v>
      </c>
      <c r="F45" s="8" t="s">
        <v>214</v>
      </c>
      <c r="G45" s="9" t="n">
        <v>1000</v>
      </c>
      <c r="H45" s="10"/>
      <c r="I45" s="8" t="str">
        <f aca="false">A45&amp;"|"&amp;B45&amp;"|"&amp;C45&amp;"|"&amp;D45&amp;"|"&amp;E45&amp;"|"&amp;F45&amp;"|"&amp;G45&amp;"|"&amp;H45</f>
        <v>PT0036|Priya Shukla|63|f|Diabetes  |Metformin|1000|</v>
      </c>
      <c r="J45" s="8" t="str">
        <f aca="false">IF(COUNTIF($I$2:I45,I45)&gt;1,"Duplicate","Unique")</f>
        <v>Unique</v>
      </c>
    </row>
    <row r="46" customFormat="false" ht="15" hidden="false" customHeight="false" outlineLevel="0" collapsed="false">
      <c r="A46" s="8" t="s">
        <v>215</v>
      </c>
      <c r="B46" s="8" t="s">
        <v>216</v>
      </c>
      <c r="C46" s="9" t="n">
        <v>51</v>
      </c>
      <c r="D46" s="8" t="s">
        <v>203</v>
      </c>
      <c r="E46" s="8" t="s">
        <v>86</v>
      </c>
      <c r="F46" s="8" t="s">
        <v>217</v>
      </c>
      <c r="G46" s="9" t="n">
        <v>520</v>
      </c>
      <c r="H46" s="10" t="n">
        <v>46114</v>
      </c>
      <c r="I46" s="8" t="str">
        <f aca="false">A46&amp;"|"&amp;B46&amp;"|"&amp;C46&amp;"|"&amp;D46&amp;"|"&amp;E46&amp;"|"&amp;F46&amp;"|"&amp;G46&amp;"|"&amp;H46</f>
        <v>PT0175|Gopal Saxena|51|m| Flu |PARACETAMOL|520|46114</v>
      </c>
      <c r="J46" s="8" t="str">
        <f aca="false">IF(COUNTIF($I$2:I46,I46)&gt;1,"Duplicate","Unique")</f>
        <v>Unique</v>
      </c>
    </row>
    <row r="47" customFormat="false" ht="15" hidden="false" customHeight="false" outlineLevel="0" collapsed="false">
      <c r="A47" s="8" t="s">
        <v>218</v>
      </c>
      <c r="B47" s="8" t="s">
        <v>219</v>
      </c>
      <c r="C47" s="9" t="n">
        <v>34</v>
      </c>
      <c r="D47" s="8" t="s">
        <v>203</v>
      </c>
      <c r="E47" s="8" t="s">
        <v>220</v>
      </c>
      <c r="F47" s="8" t="s">
        <v>221</v>
      </c>
      <c r="G47" s="9" t="n">
        <v>575</v>
      </c>
      <c r="H47" s="10" t="n">
        <v>45753</v>
      </c>
      <c r="I47" s="8" t="str">
        <f aca="false">A47&amp;"|"&amp;B47&amp;"|"&amp;C47&amp;"|"&amp;D47&amp;"|"&amp;E47&amp;"|"&amp;F47&amp;"|"&amp;G47&amp;"|"&amp;H47</f>
        <v>PT0101|Mahesh Shukla|34|m|flu|paracetamol|575|45753</v>
      </c>
      <c r="J47" s="8" t="str">
        <f aca="false">IF(COUNTIF($I$2:I47,I47)&gt;1,"Duplicate","Unique")</f>
        <v>Unique</v>
      </c>
    </row>
    <row r="48" customFormat="false" ht="15" hidden="false" customHeight="false" outlineLevel="0" collapsed="false">
      <c r="A48" s="8" t="s">
        <v>222</v>
      </c>
      <c r="B48" s="8" t="s">
        <v>223</v>
      </c>
      <c r="C48" s="9" t="n">
        <v>42</v>
      </c>
      <c r="D48" s="8" t="s">
        <v>85</v>
      </c>
      <c r="E48" s="8" t="s">
        <v>224</v>
      </c>
      <c r="F48" s="8" t="s">
        <v>225</v>
      </c>
      <c r="G48" s="9" t="n">
        <v>20</v>
      </c>
      <c r="H48" s="10" t="n">
        <v>45803</v>
      </c>
      <c r="I48" s="8" t="str">
        <f aca="false">A48&amp;"|"&amp;B48&amp;"|"&amp;C48&amp;"|"&amp;D48&amp;"|"&amp;E48&amp;"|"&amp;F48&amp;"|"&amp;G48&amp;"|"&amp;H48</f>
        <v>PT0060|Ashok Chauhan|42|MALE|Gastritis|OMEPRAZOLE|20|45803</v>
      </c>
      <c r="J48" s="8" t="str">
        <f aca="false">IF(COUNTIF($I$2:I48,I48)&gt;1,"Duplicate","Unique")</f>
        <v>Unique</v>
      </c>
    </row>
    <row r="49" customFormat="false" ht="15" hidden="false" customHeight="false" outlineLevel="0" collapsed="false">
      <c r="A49" s="8" t="s">
        <v>226</v>
      </c>
      <c r="B49" s="8" t="s">
        <v>227</v>
      </c>
      <c r="C49" s="9" t="n">
        <v>73</v>
      </c>
      <c r="D49" s="8" t="s">
        <v>121</v>
      </c>
      <c r="E49" s="8" t="s">
        <v>228</v>
      </c>
      <c r="F49" s="8" t="s">
        <v>187</v>
      </c>
      <c r="G49" s="9" t="n">
        <v>10</v>
      </c>
      <c r="H49" s="10" t="n">
        <v>45760</v>
      </c>
      <c r="I49" s="8" t="str">
        <f aca="false">A49&amp;"|"&amp;B49&amp;"|"&amp;C49&amp;"|"&amp;D49&amp;"|"&amp;E49&amp;"|"&amp;F49&amp;"|"&amp;G49&amp;"|"&amp;H49</f>
        <v>PT0073|Pooja Sharma|73|FEMALE| Allergy |Cetirizine  |10|45760</v>
      </c>
      <c r="J49" s="8" t="str">
        <f aca="false">IF(COUNTIF($I$2:I49,I49)&gt;1,"Duplicate","Unique")</f>
        <v>Unique</v>
      </c>
    </row>
    <row r="50" customFormat="false" ht="15" hidden="false" customHeight="false" outlineLevel="0" collapsed="false">
      <c r="A50" s="8" t="s">
        <v>229</v>
      </c>
      <c r="B50" s="8" t="s">
        <v>230</v>
      </c>
      <c r="C50" s="9" t="n">
        <v>86</v>
      </c>
      <c r="D50" s="8" t="s">
        <v>90</v>
      </c>
      <c r="E50" s="8" t="s">
        <v>231</v>
      </c>
      <c r="F50" s="8" t="s">
        <v>232</v>
      </c>
      <c r="G50" s="9" t="n">
        <v>130</v>
      </c>
      <c r="H50" s="10" t="n">
        <v>45908</v>
      </c>
      <c r="I50" s="8" t="str">
        <f aca="false">A50&amp;"|"&amp;B50&amp;"|"&amp;C50&amp;"|"&amp;D50&amp;"|"&amp;E50&amp;"|"&amp;F50&amp;"|"&amp;G50&amp;"|"&amp;H50</f>
        <v>PT0063|Sarita Pandey|86|Female|asthma| Salbutamol |130|45908</v>
      </c>
      <c r="J50" s="8" t="str">
        <f aca="false">IF(COUNTIF($I$2:I50,I50)&gt;1,"Duplicate","Unique")</f>
        <v>Unique</v>
      </c>
    </row>
    <row r="51" customFormat="false" ht="15" hidden="false" customHeight="false" outlineLevel="0" collapsed="false">
      <c r="A51" s="8" t="s">
        <v>233</v>
      </c>
      <c r="B51" s="8" t="s">
        <v>234</v>
      </c>
      <c r="C51" s="9" t="n">
        <v>50</v>
      </c>
      <c r="D51" s="8" t="s">
        <v>190</v>
      </c>
      <c r="E51" s="8" t="s">
        <v>235</v>
      </c>
      <c r="F51" s="8" t="s">
        <v>236</v>
      </c>
      <c r="G51" s="9" t="n">
        <v>870</v>
      </c>
      <c r="H51" s="10" t="n">
        <v>45913</v>
      </c>
      <c r="I51" s="8" t="str">
        <f aca="false">A51&amp;"|"&amp;B51&amp;"|"&amp;C51&amp;"|"&amp;D51&amp;"|"&amp;E51&amp;"|"&amp;F51&amp;"|"&amp;G51&amp;"|"&amp;H51</f>
        <v>PT0105|Vijay Agarwal|50|Male |DIABETES|METFORMIN|870|45913</v>
      </c>
      <c r="J51" s="8" t="str">
        <f aca="false">IF(COUNTIF($I$2:I51,I51)&gt;1,"Duplicate","Unique")</f>
        <v>Unique</v>
      </c>
    </row>
    <row r="52" customFormat="false" ht="15" hidden="false" customHeight="false" outlineLevel="0" collapsed="false">
      <c r="A52" s="8" t="s">
        <v>237</v>
      </c>
      <c r="B52" s="8" t="s">
        <v>238</v>
      </c>
      <c r="C52" s="9" t="n">
        <v>54</v>
      </c>
      <c r="D52" s="8" t="s">
        <v>109</v>
      </c>
      <c r="E52" s="8" t="s">
        <v>239</v>
      </c>
      <c r="F52" s="8" t="s">
        <v>240</v>
      </c>
      <c r="G52" s="9" t="n">
        <v>35</v>
      </c>
      <c r="H52" s="10" t="n">
        <v>46159</v>
      </c>
      <c r="I52" s="8" t="str">
        <f aca="false">A52&amp;"|"&amp;B52&amp;"|"&amp;C52&amp;"|"&amp;D52&amp;"|"&amp;E52&amp;"|"&amp;F52&amp;"|"&amp;G52&amp;"|"&amp;H52</f>
        <v>PT0009|Shalini Rathore|54|f|Migraine  | Sumatriptan |35|46159</v>
      </c>
      <c r="J52" s="8" t="str">
        <f aca="false">IF(COUNTIF($I$2:I52,I52)&gt;1,"Duplicate","Unique")</f>
        <v>Unique</v>
      </c>
    </row>
    <row r="53" customFormat="false" ht="15" hidden="false" customHeight="false" outlineLevel="0" collapsed="false">
      <c r="A53" s="8" t="s">
        <v>241</v>
      </c>
      <c r="B53" s="8" t="s">
        <v>242</v>
      </c>
      <c r="C53" s="9" t="n">
        <v>73</v>
      </c>
      <c r="D53" s="8" t="s">
        <v>121</v>
      </c>
      <c r="E53" s="8" t="s">
        <v>175</v>
      </c>
      <c r="F53" s="8" t="s">
        <v>243</v>
      </c>
      <c r="G53" s="9" t="n">
        <v>335</v>
      </c>
      <c r="H53" s="10" t="n">
        <v>45666</v>
      </c>
      <c r="I53" s="8" t="str">
        <f aca="false">A53&amp;"|"&amp;B53&amp;"|"&amp;C53&amp;"|"&amp;D53&amp;"|"&amp;E53&amp;"|"&amp;F53&amp;"|"&amp;G53&amp;"|"&amp;H53</f>
        <v>PT0052|Shweta Choudhary|73|FEMALE|ARTHRITIS| Ibuprofen |335|45666</v>
      </c>
      <c r="J53" s="8" t="str">
        <f aca="false">IF(COUNTIF($I$2:I53,I53)&gt;1,"Duplicate","Unique")</f>
        <v>Unique</v>
      </c>
    </row>
    <row r="54" customFormat="false" ht="15" hidden="false" customHeight="false" outlineLevel="0" collapsed="false">
      <c r="A54" s="8" t="s">
        <v>244</v>
      </c>
      <c r="B54" s="8" t="s">
        <v>245</v>
      </c>
      <c r="C54" s="9" t="n">
        <v>24</v>
      </c>
      <c r="D54" s="8" t="s">
        <v>90</v>
      </c>
      <c r="E54" s="8" t="s">
        <v>91</v>
      </c>
      <c r="F54" s="8" t="s">
        <v>92</v>
      </c>
      <c r="G54" s="9" t="n">
        <v>920</v>
      </c>
      <c r="H54" s="10" t="n">
        <v>46029</v>
      </c>
      <c r="I54" s="8" t="str">
        <f aca="false">A54&amp;"|"&amp;B54&amp;"|"&amp;C54&amp;"|"&amp;D54&amp;"|"&amp;E54&amp;"|"&amp;F54&amp;"|"&amp;G54&amp;"|"&amp;H54</f>
        <v>PT0192|Manju Reddy|24|Female| Diabetes |metformin|920|46029</v>
      </c>
      <c r="J54" s="8" t="str">
        <f aca="false">IF(COUNTIF($I$2:I54,I54)&gt;1,"Duplicate","Unique")</f>
        <v>Unique</v>
      </c>
    </row>
    <row r="55" customFormat="false" ht="15" hidden="false" customHeight="false" outlineLevel="0" collapsed="false">
      <c r="A55" s="8" t="s">
        <v>246</v>
      </c>
      <c r="B55" s="8" t="s">
        <v>247</v>
      </c>
      <c r="C55" s="9" t="n">
        <v>46</v>
      </c>
      <c r="D55" s="8" t="s">
        <v>90</v>
      </c>
      <c r="E55" s="8" t="s">
        <v>153</v>
      </c>
      <c r="F55" s="8" t="s">
        <v>154</v>
      </c>
      <c r="G55" s="9" t="n">
        <v>315</v>
      </c>
      <c r="H55" s="10" t="n">
        <v>45805</v>
      </c>
      <c r="I55" s="8" t="str">
        <f aca="false">A55&amp;"|"&amp;B55&amp;"|"&amp;C55&amp;"|"&amp;D55&amp;"|"&amp;E55&amp;"|"&amp;F55&amp;"|"&amp;G55&amp;"|"&amp;H55</f>
        <v>PT0019|Suman Pandey|46|Female| Anemia |Ferrous Sulfate|315|45805</v>
      </c>
      <c r="J55" s="8" t="str">
        <f aca="false">IF(COUNTIF($I$2:I55,I55)&gt;1,"Duplicate","Unique")</f>
        <v>Unique</v>
      </c>
    </row>
    <row r="56" customFormat="false" ht="15" hidden="false" customHeight="false" outlineLevel="0" collapsed="false">
      <c r="A56" s="8" t="s">
        <v>248</v>
      </c>
      <c r="B56" s="8" t="s">
        <v>249</v>
      </c>
      <c r="C56" s="9" t="n">
        <v>16</v>
      </c>
      <c r="D56" s="8" t="s">
        <v>90</v>
      </c>
      <c r="E56" s="8" t="s">
        <v>250</v>
      </c>
      <c r="F56" s="8" t="s">
        <v>251</v>
      </c>
      <c r="G56" s="9" t="n">
        <v>220</v>
      </c>
      <c r="H56" s="10" t="n">
        <v>45816</v>
      </c>
      <c r="I56" s="8" t="str">
        <f aca="false">A56&amp;"|"&amp;B56&amp;"|"&amp;C56&amp;"|"&amp;D56&amp;"|"&amp;E56&amp;"|"&amp;F56&amp;"|"&amp;G56&amp;"|"&amp;H56</f>
        <v>PT0110|Suman Sharma|16|Female|anemia| Ferrous Sulfate |220|45816</v>
      </c>
      <c r="J56" s="8" t="str">
        <f aca="false">IF(COUNTIF($I$2:I56,I56)&gt;1,"Duplicate","Unique")</f>
        <v>Unique</v>
      </c>
    </row>
    <row r="57" customFormat="false" ht="15" hidden="false" customHeight="false" outlineLevel="0" collapsed="false">
      <c r="A57" s="8" t="s">
        <v>252</v>
      </c>
      <c r="B57" s="8" t="s">
        <v>253</v>
      </c>
      <c r="C57" s="9" t="n">
        <v>31</v>
      </c>
      <c r="D57" s="8" t="s">
        <v>76</v>
      </c>
      <c r="E57" s="8" t="s">
        <v>254</v>
      </c>
      <c r="F57" s="8" t="s">
        <v>255</v>
      </c>
      <c r="G57" s="9" t="n">
        <v>1790</v>
      </c>
      <c r="H57" s="10" t="n">
        <v>46164</v>
      </c>
      <c r="I57" s="8" t="str">
        <f aca="false">A57&amp;"|"&amp;B57&amp;"|"&amp;C57&amp;"|"&amp;D57&amp;"|"&amp;E57&amp;"|"&amp;F57&amp;"|"&amp;G57&amp;"|"&amp;H57</f>
        <v>PT0194|Alok Rao|31| Male|COVID-19| Favipiravir |1790|46164</v>
      </c>
      <c r="J57" s="8" t="str">
        <f aca="false">IF(COUNTIF($I$2:I57,I57)&gt;1,"Duplicate","Unique")</f>
        <v>Unique</v>
      </c>
    </row>
    <row r="58" customFormat="false" ht="15" hidden="false" customHeight="false" outlineLevel="0" collapsed="false">
      <c r="A58" s="8" t="s">
        <v>256</v>
      </c>
      <c r="B58" s="8" t="s">
        <v>257</v>
      </c>
      <c r="C58" s="9" t="n">
        <v>61</v>
      </c>
      <c r="D58" s="8" t="s">
        <v>109</v>
      </c>
      <c r="E58" s="8" t="s">
        <v>258</v>
      </c>
      <c r="F58" s="8" t="s">
        <v>154</v>
      </c>
      <c r="G58" s="9" t="n">
        <v>210</v>
      </c>
      <c r="H58" s="10" t="n">
        <v>45960</v>
      </c>
      <c r="I58" s="8" t="str">
        <f aca="false">A58&amp;"|"&amp;B58&amp;"|"&amp;C58&amp;"|"&amp;D58&amp;"|"&amp;E58&amp;"|"&amp;F58&amp;"|"&amp;G58&amp;"|"&amp;H58</f>
        <v>PT0080|Kiran Yadav|61|f|ANEMIA|Ferrous Sulfate|210|45960</v>
      </c>
      <c r="J58" s="8" t="str">
        <f aca="false">IF(COUNTIF($I$2:I58,I58)&gt;1,"Duplicate","Unique")</f>
        <v>Unique</v>
      </c>
    </row>
    <row r="59" customFormat="false" ht="15" hidden="false" customHeight="false" outlineLevel="0" collapsed="false">
      <c r="A59" s="8" t="s">
        <v>259</v>
      </c>
      <c r="B59" s="8" t="s">
        <v>260</v>
      </c>
      <c r="C59" s="9"/>
      <c r="D59" s="8" t="s">
        <v>76</v>
      </c>
      <c r="E59" s="8" t="s">
        <v>261</v>
      </c>
      <c r="F59" s="8" t="s">
        <v>262</v>
      </c>
      <c r="G59" s="9" t="n">
        <v>5</v>
      </c>
      <c r="H59" s="10" t="n">
        <v>45877</v>
      </c>
      <c r="I59" s="8" t="str">
        <f aca="false">A59&amp;"|"&amp;B59&amp;"|"&amp;C59&amp;"|"&amp;D59&amp;"|"&amp;E59&amp;"|"&amp;F59&amp;"|"&amp;G59&amp;"|"&amp;H59</f>
        <v>PT0223|Ajay Tiwari|| Male|ALLERGY|Cetirizine|5|45877</v>
      </c>
      <c r="J59" s="8" t="str">
        <f aca="false">IF(COUNTIF($I$2:I59,I59)&gt;1,"Duplicate","Unique")</f>
        <v>Unique</v>
      </c>
    </row>
    <row r="60" customFormat="false" ht="15" hidden="false" customHeight="false" outlineLevel="0" collapsed="false">
      <c r="A60" s="8" t="s">
        <v>263</v>
      </c>
      <c r="B60" s="8" t="s">
        <v>264</v>
      </c>
      <c r="C60" s="9" t="n">
        <v>61</v>
      </c>
      <c r="D60" s="8" t="s">
        <v>113</v>
      </c>
      <c r="E60" s="8" t="s">
        <v>72</v>
      </c>
      <c r="F60" s="8" t="s">
        <v>126</v>
      </c>
      <c r="G60" s="9" t="n">
        <v>500</v>
      </c>
      <c r="H60" s="10" t="n">
        <v>45877</v>
      </c>
      <c r="I60" s="8" t="str">
        <f aca="false">A60&amp;"|"&amp;B60&amp;"|"&amp;C60&amp;"|"&amp;D60&amp;"|"&amp;E60&amp;"|"&amp;F60&amp;"|"&amp;G60&amp;"|"&amp;H60</f>
        <v>PT0049|Manoj Verma|61|male|Diabetes|Metformin  |500|45877</v>
      </c>
      <c r="J60" s="8" t="str">
        <f aca="false">IF(COUNTIF($I$2:I60,I60)&gt;1,"Duplicate","Unique")</f>
        <v>Unique</v>
      </c>
    </row>
    <row r="61" customFormat="false" ht="15" hidden="false" customHeight="false" outlineLevel="0" collapsed="false">
      <c r="A61" s="8" t="s">
        <v>265</v>
      </c>
      <c r="B61" s="8" t="s">
        <v>266</v>
      </c>
      <c r="C61" s="9" t="n">
        <v>58</v>
      </c>
      <c r="D61" s="8" t="s">
        <v>90</v>
      </c>
      <c r="E61" s="8" t="s">
        <v>122</v>
      </c>
      <c r="F61" s="8" t="s">
        <v>110</v>
      </c>
      <c r="G61" s="9" t="n">
        <v>10</v>
      </c>
      <c r="H61" s="10" t="n">
        <v>46162</v>
      </c>
      <c r="I61" s="8" t="str">
        <f aca="false">A61&amp;"|"&amp;B61&amp;"|"&amp;C61&amp;"|"&amp;D61&amp;"|"&amp;E61&amp;"|"&amp;F61&amp;"|"&amp;G61&amp;"|"&amp;H61</f>
        <v>PT0045|Shweta Gupta|58|Female| Hypertension | Amlodipine |10|46162</v>
      </c>
      <c r="J61" s="8" t="str">
        <f aca="false">IF(COUNTIF($I$2:I61,I61)&gt;1,"Duplicate","Unique")</f>
        <v>Unique</v>
      </c>
    </row>
    <row r="62" customFormat="false" ht="15" hidden="false" customHeight="false" outlineLevel="0" collapsed="false">
      <c r="A62" s="8" t="s">
        <v>267</v>
      </c>
      <c r="B62" s="8"/>
      <c r="C62" s="9" t="n">
        <v>67</v>
      </c>
      <c r="D62" s="8" t="s">
        <v>90</v>
      </c>
      <c r="E62" s="8" t="s">
        <v>68</v>
      </c>
      <c r="F62" s="8" t="s">
        <v>268</v>
      </c>
      <c r="G62" s="9" t="n">
        <v>310</v>
      </c>
      <c r="H62" s="10" t="n">
        <v>45598</v>
      </c>
      <c r="I62" s="8" t="str">
        <f aca="false">A62&amp;"|"&amp;B62&amp;"|"&amp;C62&amp;"|"&amp;D62&amp;"|"&amp;E62&amp;"|"&amp;F62&amp;"|"&amp;G62&amp;"|"&amp;H62</f>
        <v>PT0173||67|Female|Arthritis|IBUPROFEN|310|45598</v>
      </c>
      <c r="J62" s="8" t="str">
        <f aca="false">IF(COUNTIF($I$2:I62,I62)&gt;1,"Duplicate","Unique")</f>
        <v>Unique</v>
      </c>
    </row>
    <row r="63" customFormat="false" ht="15" hidden="false" customHeight="false" outlineLevel="0" collapsed="false">
      <c r="A63" s="8" t="s">
        <v>269</v>
      </c>
      <c r="B63" s="8" t="s">
        <v>270</v>
      </c>
      <c r="C63" s="9" t="n">
        <v>40</v>
      </c>
      <c r="D63" s="8" t="s">
        <v>67</v>
      </c>
      <c r="E63" s="8" t="s">
        <v>100</v>
      </c>
      <c r="F63" s="8" t="s">
        <v>193</v>
      </c>
      <c r="G63" s="9" t="n">
        <v>5</v>
      </c>
      <c r="H63" s="10" t="n">
        <v>45868</v>
      </c>
      <c r="I63" s="8" t="str">
        <f aca="false">A63&amp;"|"&amp;B63&amp;"|"&amp;C63&amp;"|"&amp;D63&amp;"|"&amp;E63&amp;"|"&amp;F63&amp;"|"&amp;G63&amp;"|"&amp;H63</f>
        <v>PT0207|Rakesh Shukla|40|M|hypertension|Amlodipine  |5|45868</v>
      </c>
      <c r="J63" s="8" t="str">
        <f aca="false">IF(COUNTIF($I$2:I63,I63)&gt;1,"Duplicate","Unique")</f>
        <v>Unique</v>
      </c>
    </row>
    <row r="64" customFormat="false" ht="15" hidden="false" customHeight="false" outlineLevel="0" collapsed="false">
      <c r="A64" s="8" t="s">
        <v>271</v>
      </c>
      <c r="B64" s="8" t="s">
        <v>272</v>
      </c>
      <c r="C64" s="9" t="n">
        <v>75</v>
      </c>
      <c r="D64" s="8" t="s">
        <v>81</v>
      </c>
      <c r="E64" s="8" t="s">
        <v>196</v>
      </c>
      <c r="F64" s="8" t="s">
        <v>221</v>
      </c>
      <c r="G64" s="9" t="n">
        <v>515</v>
      </c>
      <c r="H64" s="10" t="n">
        <v>46184</v>
      </c>
      <c r="I64" s="8" t="str">
        <f aca="false">A64&amp;"|"&amp;B64&amp;"|"&amp;C64&amp;"|"&amp;D64&amp;"|"&amp;E64&amp;"|"&amp;F64&amp;"|"&amp;G64&amp;"|"&amp;H64</f>
        <v>PT0149|Lata Agarwal|75|female|FLU|paracetamol|515|46184</v>
      </c>
      <c r="J64" s="8" t="str">
        <f aca="false">IF(COUNTIF($I$2:I64,I64)&gt;1,"Duplicate","Unique")</f>
        <v>Unique</v>
      </c>
    </row>
    <row r="65" customFormat="false" ht="15" hidden="false" customHeight="false" outlineLevel="0" collapsed="false">
      <c r="A65" s="8" t="s">
        <v>273</v>
      </c>
      <c r="B65" s="8" t="s">
        <v>274</v>
      </c>
      <c r="C65" s="9" t="n">
        <v>40</v>
      </c>
      <c r="D65" s="8" t="s">
        <v>90</v>
      </c>
      <c r="E65" s="8" t="s">
        <v>228</v>
      </c>
      <c r="F65" s="8" t="s">
        <v>187</v>
      </c>
      <c r="G65" s="9" t="n">
        <v>5</v>
      </c>
      <c r="H65" s="10" t="n">
        <v>45611</v>
      </c>
      <c r="I65" s="8" t="str">
        <f aca="false">A65&amp;"|"&amp;B65&amp;"|"&amp;C65&amp;"|"&amp;D65&amp;"|"&amp;E65&amp;"|"&amp;F65&amp;"|"&amp;G65&amp;"|"&amp;H65</f>
        <v>PT0154|Priya Joshi|40|Female| Allergy |Cetirizine  |5|45611</v>
      </c>
      <c r="J65" s="8" t="str">
        <f aca="false">IF(COUNTIF($I$2:I65,I65)&gt;1,"Duplicate","Unique")</f>
        <v>Unique</v>
      </c>
    </row>
    <row r="66" customFormat="false" ht="15" hidden="false" customHeight="false" outlineLevel="0" collapsed="false">
      <c r="A66" s="8" t="s">
        <v>275</v>
      </c>
      <c r="B66" s="8" t="s">
        <v>276</v>
      </c>
      <c r="C66" s="9" t="n">
        <v>54</v>
      </c>
      <c r="D66" s="8" t="s">
        <v>85</v>
      </c>
      <c r="E66" s="8" t="s">
        <v>105</v>
      </c>
      <c r="F66" s="8" t="s">
        <v>277</v>
      </c>
      <c r="G66" s="9" t="n">
        <v>140</v>
      </c>
      <c r="H66" s="10" t="n">
        <v>46006</v>
      </c>
      <c r="I66" s="8" t="str">
        <f aca="false">A66&amp;"|"&amp;B66&amp;"|"&amp;C66&amp;"|"&amp;D66&amp;"|"&amp;E66&amp;"|"&amp;F66&amp;"|"&amp;G66&amp;"|"&amp;H66</f>
        <v>PT0153|Deepak Nair|54|MALE| Asthma |Salbutamol|140|46006</v>
      </c>
      <c r="J66" s="8" t="str">
        <f aca="false">IF(COUNTIF($I$2:I66,I66)&gt;1,"Duplicate","Unique")</f>
        <v>Unique</v>
      </c>
    </row>
    <row r="67" customFormat="false" ht="15" hidden="false" customHeight="false" outlineLevel="0" collapsed="false">
      <c r="A67" s="8" t="s">
        <v>278</v>
      </c>
      <c r="B67" s="8" t="s">
        <v>279</v>
      </c>
      <c r="C67" s="9" t="n">
        <v>32</v>
      </c>
      <c r="D67" s="8" t="s">
        <v>203</v>
      </c>
      <c r="E67" s="8" t="s">
        <v>125</v>
      </c>
      <c r="F67" s="8" t="s">
        <v>214</v>
      </c>
      <c r="G67" s="9" t="n">
        <v>750</v>
      </c>
      <c r="H67" s="10"/>
      <c r="I67" s="8" t="str">
        <f aca="false">A67&amp;"|"&amp;B67&amp;"|"&amp;C67&amp;"|"&amp;D67&amp;"|"&amp;E67&amp;"|"&amp;F67&amp;"|"&amp;G67&amp;"|"&amp;H67</f>
        <v>PT0042|Sanjay Chauhan|32|m|diabetes|Metformin|750|</v>
      </c>
      <c r="J67" s="8" t="str">
        <f aca="false">IF(COUNTIF($I$2:I67,I67)&gt;1,"Duplicate","Unique")</f>
        <v>Unique</v>
      </c>
    </row>
    <row r="68" customFormat="false" ht="15" hidden="false" customHeight="false" outlineLevel="0" collapsed="false">
      <c r="A68" s="8" t="s">
        <v>280</v>
      </c>
      <c r="B68" s="8" t="s">
        <v>281</v>
      </c>
      <c r="C68" s="9" t="n">
        <v>55</v>
      </c>
      <c r="D68" s="8" t="s">
        <v>76</v>
      </c>
      <c r="E68" s="8" t="s">
        <v>100</v>
      </c>
      <c r="F68" s="8" t="s">
        <v>101</v>
      </c>
      <c r="G68" s="9"/>
      <c r="H68" s="10" t="n">
        <v>46100</v>
      </c>
      <c r="I68" s="8" t="str">
        <f aca="false">A68&amp;"|"&amp;B68&amp;"|"&amp;C68&amp;"|"&amp;D68&amp;"|"&amp;E68&amp;"|"&amp;F68&amp;"|"&amp;G68&amp;"|"&amp;H68</f>
        <v>PT0050|Gopal Tiwari|55| Male|hypertension|AMLODIPINE||46100</v>
      </c>
      <c r="J68" s="8" t="str">
        <f aca="false">IF(COUNTIF($I$2:I68,I68)&gt;1,"Duplicate","Unique")</f>
        <v>Unique</v>
      </c>
    </row>
    <row r="69" customFormat="false" ht="15" hidden="false" customHeight="false" outlineLevel="0" collapsed="false">
      <c r="A69" s="8" t="s">
        <v>282</v>
      </c>
      <c r="B69" s="8" t="s">
        <v>283</v>
      </c>
      <c r="C69" s="9"/>
      <c r="D69" s="8" t="s">
        <v>76</v>
      </c>
      <c r="E69" s="8" t="s">
        <v>235</v>
      </c>
      <c r="F69" s="8" t="s">
        <v>214</v>
      </c>
      <c r="G69" s="9" t="n">
        <v>780</v>
      </c>
      <c r="H69" s="10" t="n">
        <v>45985</v>
      </c>
      <c r="I69" s="8" t="str">
        <f aca="false">A69&amp;"|"&amp;B69&amp;"|"&amp;C69&amp;"|"&amp;D69&amp;"|"&amp;E69&amp;"|"&amp;F69&amp;"|"&amp;G69&amp;"|"&amp;H69</f>
        <v>PT0220|Anil Verma|| Male|DIABETES|Metformin|780|45985</v>
      </c>
      <c r="J69" s="8" t="str">
        <f aca="false">IF(COUNTIF($I$2:I69,I69)&gt;1,"Duplicate","Unique")</f>
        <v>Unique</v>
      </c>
    </row>
    <row r="70" customFormat="false" ht="15" hidden="false" customHeight="false" outlineLevel="0" collapsed="false">
      <c r="A70" s="8" t="s">
        <v>142</v>
      </c>
      <c r="B70" s="8" t="s">
        <v>143</v>
      </c>
      <c r="C70" s="9" t="n">
        <v>31</v>
      </c>
      <c r="D70" s="8" t="s">
        <v>81</v>
      </c>
      <c r="E70" s="8" t="s">
        <v>144</v>
      </c>
      <c r="F70" s="8" t="s">
        <v>145</v>
      </c>
      <c r="G70" s="9" t="n">
        <v>75</v>
      </c>
      <c r="H70" s="10" t="n">
        <v>46155</v>
      </c>
      <c r="I70" s="8" t="str">
        <f aca="false">A70&amp;"|"&amp;B70&amp;"|"&amp;C70&amp;"|"&amp;D70&amp;"|"&amp;E70&amp;"|"&amp;F70&amp;"|"&amp;G70&amp;"|"&amp;H70</f>
        <v>PT0218|Swati Choudhary|31|female|MIGRAINE|Sumatriptan|75|46155</v>
      </c>
      <c r="J70" s="8" t="str">
        <f aca="false">IF(COUNTIF($I$2:I70,I70)&gt;1,"Duplicate","Unique")</f>
        <v>Duplicate</v>
      </c>
    </row>
    <row r="71" customFormat="false" ht="15" hidden="false" customHeight="false" outlineLevel="0" collapsed="false">
      <c r="A71" s="8" t="s">
        <v>284</v>
      </c>
      <c r="B71" s="8" t="s">
        <v>99</v>
      </c>
      <c r="C71" s="9" t="n">
        <v>58</v>
      </c>
      <c r="D71" s="8" t="s">
        <v>76</v>
      </c>
      <c r="E71" s="8" t="s">
        <v>105</v>
      </c>
      <c r="F71" s="8" t="s">
        <v>118</v>
      </c>
      <c r="G71" s="9" t="n">
        <v>185</v>
      </c>
      <c r="H71" s="10" t="n">
        <v>46145</v>
      </c>
      <c r="I71" s="8" t="str">
        <f aca="false">A71&amp;"|"&amp;B71&amp;"|"&amp;C71&amp;"|"&amp;D71&amp;"|"&amp;E71&amp;"|"&amp;F71&amp;"|"&amp;G71&amp;"|"&amp;H71</f>
        <v>PT0075|Suresh Joshi|58| Male| Asthma |salbutamol|185|46145</v>
      </c>
      <c r="J71" s="8" t="str">
        <f aca="false">IF(COUNTIF($I$2:I71,I71)&gt;1,"Duplicate","Unique")</f>
        <v>Unique</v>
      </c>
    </row>
    <row r="72" customFormat="false" ht="15" hidden="false" customHeight="false" outlineLevel="0" collapsed="false">
      <c r="A72" s="8" t="s">
        <v>285</v>
      </c>
      <c r="B72" s="8" t="s">
        <v>286</v>
      </c>
      <c r="C72" s="9" t="n">
        <v>89</v>
      </c>
      <c r="D72" s="8" t="s">
        <v>109</v>
      </c>
      <c r="E72" s="8" t="s">
        <v>100</v>
      </c>
      <c r="F72" s="8" t="s">
        <v>52</v>
      </c>
      <c r="G72" s="9" t="n">
        <v>10</v>
      </c>
      <c r="H72" s="10" t="n">
        <v>46121</v>
      </c>
      <c r="I72" s="8" t="str">
        <f aca="false">A72&amp;"|"&amp;B72&amp;"|"&amp;C72&amp;"|"&amp;D72&amp;"|"&amp;E72&amp;"|"&amp;F72&amp;"|"&amp;G72&amp;"|"&amp;H72</f>
        <v>PT0156|Kiran Nair|89|f|hypertension|Amlodipine|10|46121</v>
      </c>
      <c r="J72" s="8" t="str">
        <f aca="false">IF(COUNTIF($I$2:I72,I72)&gt;1,"Duplicate","Unique")</f>
        <v>Unique</v>
      </c>
    </row>
    <row r="73" customFormat="false" ht="15" hidden="false" customHeight="false" outlineLevel="0" collapsed="false">
      <c r="A73" s="8" t="s">
        <v>287</v>
      </c>
      <c r="B73" s="8" t="s">
        <v>288</v>
      </c>
      <c r="C73" s="9" t="n">
        <v>31</v>
      </c>
      <c r="D73" s="8" t="s">
        <v>104</v>
      </c>
      <c r="E73" s="8" t="s">
        <v>134</v>
      </c>
      <c r="F73" s="8" t="s">
        <v>157</v>
      </c>
      <c r="G73" s="9" t="n">
        <v>50</v>
      </c>
      <c r="H73" s="10" t="n">
        <v>46166</v>
      </c>
      <c r="I73" s="8" t="str">
        <f aca="false">A73&amp;"|"&amp;B73&amp;"|"&amp;C73&amp;"|"&amp;D73&amp;"|"&amp;E73&amp;"|"&amp;F73&amp;"|"&amp;G73&amp;"|"&amp;H73</f>
        <v>PT0066|Radha Shukla|31| Female| Migraine |sumatriptan|50|46166</v>
      </c>
      <c r="J73" s="8" t="str">
        <f aca="false">IF(COUNTIF($I$2:I73,I73)&gt;1,"Duplicate","Unique")</f>
        <v>Unique</v>
      </c>
    </row>
    <row r="74" customFormat="false" ht="15" hidden="false" customHeight="false" outlineLevel="0" collapsed="false">
      <c r="A74" s="8" t="s">
        <v>289</v>
      </c>
      <c r="B74" s="8" t="s">
        <v>290</v>
      </c>
      <c r="C74" s="9" t="n">
        <v>46</v>
      </c>
      <c r="D74" s="8" t="s">
        <v>121</v>
      </c>
      <c r="E74" s="8"/>
      <c r="F74" s="8" t="s">
        <v>118</v>
      </c>
      <c r="G74" s="9" t="n">
        <v>165</v>
      </c>
      <c r="H74" s="10" t="n">
        <v>45715</v>
      </c>
      <c r="I74" s="8" t="str">
        <f aca="false">A74&amp;"|"&amp;B74&amp;"|"&amp;C74&amp;"|"&amp;D74&amp;"|"&amp;E74&amp;"|"&amp;F74&amp;"|"&amp;G74&amp;"|"&amp;H74</f>
        <v>PT0204|Kavita Sharma|46|FEMALE||salbutamol|165|45715</v>
      </c>
      <c r="J74" s="8" t="str">
        <f aca="false">IF(COUNTIF($I$2:I74,I74)&gt;1,"Duplicate","Unique")</f>
        <v>Unique</v>
      </c>
    </row>
    <row r="75" customFormat="false" ht="15" hidden="false" customHeight="false" outlineLevel="0" collapsed="false">
      <c r="A75" s="8" t="s">
        <v>291</v>
      </c>
      <c r="B75" s="8" t="s">
        <v>71</v>
      </c>
      <c r="C75" s="9" t="n">
        <v>42</v>
      </c>
      <c r="D75" s="8" t="s">
        <v>85</v>
      </c>
      <c r="E75" s="8" t="s">
        <v>235</v>
      </c>
      <c r="F75" s="8" t="s">
        <v>214</v>
      </c>
      <c r="G75" s="9" t="n">
        <v>1000</v>
      </c>
      <c r="H75" s="10" t="n">
        <v>46254</v>
      </c>
      <c r="I75" s="8" t="str">
        <f aca="false">A75&amp;"|"&amp;B75&amp;"|"&amp;C75&amp;"|"&amp;D75&amp;"|"&amp;E75&amp;"|"&amp;F75&amp;"|"&amp;G75&amp;"|"&amp;H75</f>
        <v>PT0056|Alok Mishra|42|MALE|DIABETES|Metformin|1000|46254</v>
      </c>
      <c r="J75" s="8" t="str">
        <f aca="false">IF(COUNTIF($I$2:I75,I75)&gt;1,"Duplicate","Unique")</f>
        <v>Unique</v>
      </c>
    </row>
    <row r="76" customFormat="false" ht="15" hidden="false" customHeight="false" outlineLevel="0" collapsed="false">
      <c r="A76" s="8" t="s">
        <v>292</v>
      </c>
      <c r="B76" s="8" t="s">
        <v>293</v>
      </c>
      <c r="C76" s="9" t="n">
        <v>41</v>
      </c>
      <c r="D76" s="8" t="s">
        <v>121</v>
      </c>
      <c r="E76" s="8" t="s">
        <v>162</v>
      </c>
      <c r="F76" s="8" t="s">
        <v>52</v>
      </c>
      <c r="G76" s="9"/>
      <c r="H76" s="10" t="n">
        <v>46246</v>
      </c>
      <c r="I76" s="8" t="str">
        <f aca="false">A76&amp;"|"&amp;B76&amp;"|"&amp;C76&amp;"|"&amp;D76&amp;"|"&amp;E76&amp;"|"&amp;F76&amp;"|"&amp;G76&amp;"|"&amp;H76</f>
        <v>PT0129|Nisha Chauhan|41|FEMALE|Hypertension  |Amlodipine||46246</v>
      </c>
      <c r="J76" s="8" t="str">
        <f aca="false">IF(COUNTIF($I$2:I76,I76)&gt;1,"Duplicate","Unique")</f>
        <v>Unique</v>
      </c>
    </row>
    <row r="77" customFormat="false" ht="15" hidden="false" customHeight="false" outlineLevel="0" collapsed="false">
      <c r="A77" s="8" t="s">
        <v>294</v>
      </c>
      <c r="B77" s="8" t="s">
        <v>295</v>
      </c>
      <c r="C77" s="9" t="n">
        <v>20</v>
      </c>
      <c r="D77" s="8" t="s">
        <v>85</v>
      </c>
      <c r="E77" s="8" t="s">
        <v>162</v>
      </c>
      <c r="F77" s="8" t="s">
        <v>110</v>
      </c>
      <c r="G77" s="9" t="n">
        <v>5</v>
      </c>
      <c r="H77" s="10" t="n">
        <v>45832</v>
      </c>
      <c r="I77" s="8" t="str">
        <f aca="false">A77&amp;"|"&amp;B77&amp;"|"&amp;C77&amp;"|"&amp;D77&amp;"|"&amp;E77&amp;"|"&amp;F77&amp;"|"&amp;G77&amp;"|"&amp;H77</f>
        <v>PT0007|Alok Rathore|20|MALE|Hypertension  | Amlodipine |5|45832</v>
      </c>
      <c r="J77" s="8" t="str">
        <f aca="false">IF(COUNTIF($I$2:I77,I77)&gt;1,"Duplicate","Unique")</f>
        <v>Unique</v>
      </c>
    </row>
    <row r="78" customFormat="false" ht="15" hidden="false" customHeight="false" outlineLevel="0" collapsed="false">
      <c r="A78" s="8" t="s">
        <v>296</v>
      </c>
      <c r="B78" s="8" t="s">
        <v>297</v>
      </c>
      <c r="C78" s="9" t="n">
        <v>32</v>
      </c>
      <c r="D78" s="8" t="s">
        <v>190</v>
      </c>
      <c r="E78" s="8" t="s">
        <v>298</v>
      </c>
      <c r="F78" s="8" t="s">
        <v>299</v>
      </c>
      <c r="G78" s="9" t="n">
        <v>605</v>
      </c>
      <c r="H78" s="10" t="n">
        <v>45754</v>
      </c>
      <c r="I78" s="8" t="str">
        <f aca="false">A78&amp;"|"&amp;B78&amp;"|"&amp;C78&amp;"|"&amp;D78&amp;"|"&amp;E78&amp;"|"&amp;F78&amp;"|"&amp;G78&amp;"|"&amp;H78</f>
        <v>PT0068|Ravi Joshi|32|Male |Flu| Paracetamol |605|45754</v>
      </c>
      <c r="J78" s="8" t="str">
        <f aca="false">IF(COUNTIF($I$2:I78,I78)&gt;1,"Duplicate","Unique")</f>
        <v>Unique</v>
      </c>
    </row>
    <row r="79" customFormat="false" ht="15" hidden="false" customHeight="false" outlineLevel="0" collapsed="false">
      <c r="A79" s="8" t="s">
        <v>300</v>
      </c>
      <c r="B79" s="8" t="s">
        <v>301</v>
      </c>
      <c r="C79" s="9" t="n">
        <v>45</v>
      </c>
      <c r="D79" s="8" t="s">
        <v>121</v>
      </c>
      <c r="E79" s="8" t="s">
        <v>235</v>
      </c>
      <c r="F79" s="8" t="s">
        <v>126</v>
      </c>
      <c r="G79" s="9" t="n">
        <v>575</v>
      </c>
      <c r="H79" s="10" t="n">
        <v>46015</v>
      </c>
      <c r="I79" s="8" t="str">
        <f aca="false">A79&amp;"|"&amp;B79&amp;"|"&amp;C79&amp;"|"&amp;D79&amp;"|"&amp;E79&amp;"|"&amp;F79&amp;"|"&amp;G79&amp;"|"&amp;H79</f>
        <v>PT0123|Suman Saxena|45|FEMALE|DIABETES|Metformin  |575|46015</v>
      </c>
      <c r="J79" s="8" t="str">
        <f aca="false">IF(COUNTIF($I$2:I79,I79)&gt;1,"Duplicate","Unique")</f>
        <v>Unique</v>
      </c>
    </row>
    <row r="80" customFormat="false" ht="15" hidden="false" customHeight="false" outlineLevel="0" collapsed="false">
      <c r="A80" s="8" t="s">
        <v>302</v>
      </c>
      <c r="B80" s="8" t="s">
        <v>245</v>
      </c>
      <c r="C80" s="9" t="n">
        <v>4</v>
      </c>
      <c r="D80" s="8" t="s">
        <v>81</v>
      </c>
      <c r="E80" s="8" t="s">
        <v>183</v>
      </c>
      <c r="F80" s="8" t="s">
        <v>166</v>
      </c>
      <c r="G80" s="9" t="n">
        <v>80</v>
      </c>
      <c r="H80" s="10" t="n">
        <v>45768</v>
      </c>
      <c r="I80" s="8" t="str">
        <f aca="false">A80&amp;"|"&amp;B80&amp;"|"&amp;C80&amp;"|"&amp;D80&amp;"|"&amp;E80&amp;"|"&amp;F80&amp;"|"&amp;G80&amp;"|"&amp;H80</f>
        <v>PT0109|Manju Reddy|4|female|Obesity  |Orlistat|80|45768</v>
      </c>
      <c r="J80" s="8" t="str">
        <f aca="false">IF(COUNTIF($I$2:I80,I80)&gt;1,"Duplicate","Unique")</f>
        <v>Unique</v>
      </c>
    </row>
    <row r="81" customFormat="false" ht="15" hidden="false" customHeight="false" outlineLevel="0" collapsed="false">
      <c r="A81" s="8" t="s">
        <v>140</v>
      </c>
      <c r="B81" s="8" t="s">
        <v>141</v>
      </c>
      <c r="C81" s="9" t="n">
        <v>59</v>
      </c>
      <c r="D81" s="8" t="s">
        <v>121</v>
      </c>
      <c r="E81" s="8" t="s">
        <v>91</v>
      </c>
      <c r="F81" s="8" t="s">
        <v>126</v>
      </c>
      <c r="G81" s="9" t="n">
        <v>970</v>
      </c>
      <c r="H81" s="10" t="n">
        <v>46031</v>
      </c>
      <c r="I81" s="8" t="str">
        <f aca="false">A81&amp;"|"&amp;B81&amp;"|"&amp;C81&amp;"|"&amp;D81&amp;"|"&amp;E81&amp;"|"&amp;F81&amp;"|"&amp;G81&amp;"|"&amp;H81</f>
        <v>PT0108|Divya Kumar|59|FEMALE| Diabetes |Metformin  |970|46031</v>
      </c>
      <c r="J81" s="8" t="str">
        <f aca="false">IF(COUNTIF($I$2:I81,I81)&gt;1,"Duplicate","Unique")</f>
        <v>Duplicate</v>
      </c>
    </row>
    <row r="82" customFormat="false" ht="15" hidden="false" customHeight="false" outlineLevel="0" collapsed="false">
      <c r="A82" s="8" t="s">
        <v>303</v>
      </c>
      <c r="B82" s="8" t="s">
        <v>304</v>
      </c>
      <c r="C82" s="9" t="n">
        <v>37</v>
      </c>
      <c r="D82" s="8" t="s">
        <v>85</v>
      </c>
      <c r="E82" s="8" t="s">
        <v>258</v>
      </c>
      <c r="F82" s="8" t="s">
        <v>251</v>
      </c>
      <c r="G82" s="9" t="n">
        <v>285</v>
      </c>
      <c r="H82" s="10" t="n">
        <v>45666</v>
      </c>
      <c r="I82" s="8" t="str">
        <f aca="false">A82&amp;"|"&amp;B82&amp;"|"&amp;C82&amp;"|"&amp;D82&amp;"|"&amp;E82&amp;"|"&amp;F82&amp;"|"&amp;G82&amp;"|"&amp;H82</f>
        <v>PT0065|Praveen Agarwal|37|MALE|ANEMIA| Ferrous Sulfate |285|45666</v>
      </c>
      <c r="J82" s="8" t="str">
        <f aca="false">IF(COUNTIF($I$2:I82,I82)&gt;1,"Duplicate","Unique")</f>
        <v>Unique</v>
      </c>
    </row>
    <row r="83" customFormat="false" ht="15" hidden="false" customHeight="false" outlineLevel="0" collapsed="false">
      <c r="A83" s="8" t="s">
        <v>305</v>
      </c>
      <c r="B83" s="8" t="s">
        <v>306</v>
      </c>
      <c r="C83" s="9" t="n">
        <v>11</v>
      </c>
      <c r="D83" s="8" t="s">
        <v>85</v>
      </c>
      <c r="E83" s="8" t="s">
        <v>307</v>
      </c>
      <c r="F83" s="8" t="s">
        <v>240</v>
      </c>
      <c r="G83" s="9" t="n">
        <v>35</v>
      </c>
      <c r="H83" s="10" t="n">
        <v>46194</v>
      </c>
      <c r="I83" s="8" t="str">
        <f aca="false">A83&amp;"|"&amp;B83&amp;"|"&amp;C83&amp;"|"&amp;D83&amp;"|"&amp;E83&amp;"|"&amp;F83&amp;"|"&amp;G83&amp;"|"&amp;H83</f>
        <v>PT0086|Rakesh Choudhary|11|MALE|migraine| Sumatriptan |35|46194</v>
      </c>
      <c r="J83" s="8" t="str">
        <f aca="false">IF(COUNTIF($I$2:I83,I83)&gt;1,"Duplicate","Unique")</f>
        <v>Unique</v>
      </c>
    </row>
    <row r="84" customFormat="false" ht="15" hidden="false" customHeight="false" outlineLevel="0" collapsed="false">
      <c r="A84" s="8" t="s">
        <v>308</v>
      </c>
      <c r="B84" s="8" t="s">
        <v>309</v>
      </c>
      <c r="C84" s="9"/>
      <c r="D84" s="8"/>
      <c r="E84" s="8" t="s">
        <v>100</v>
      </c>
      <c r="F84" s="8" t="s">
        <v>101</v>
      </c>
      <c r="G84" s="9" t="n">
        <v>10</v>
      </c>
      <c r="H84" s="10" t="n">
        <v>45829</v>
      </c>
      <c r="I84" s="8" t="str">
        <f aca="false">A84&amp;"|"&amp;B84&amp;"|"&amp;C84&amp;"|"&amp;D84&amp;"|"&amp;E84&amp;"|"&amp;F84&amp;"|"&amp;G84&amp;"|"&amp;H84</f>
        <v>PT0216|Seema Joshi|||hypertension|AMLODIPINE|10|45829</v>
      </c>
      <c r="J84" s="8" t="str">
        <f aca="false">IF(COUNTIF($I$2:I84,I84)&gt;1,"Duplicate","Unique")</f>
        <v>Unique</v>
      </c>
    </row>
    <row r="85" customFormat="false" ht="15" hidden="false" customHeight="false" outlineLevel="0" collapsed="false">
      <c r="A85" s="8" t="s">
        <v>310</v>
      </c>
      <c r="B85" s="8" t="s">
        <v>311</v>
      </c>
      <c r="C85" s="9" t="n">
        <v>32</v>
      </c>
      <c r="D85" s="8" t="s">
        <v>203</v>
      </c>
      <c r="E85" s="8" t="s">
        <v>114</v>
      </c>
      <c r="F85" s="8" t="s">
        <v>312</v>
      </c>
      <c r="G85" s="9" t="n">
        <v>285</v>
      </c>
      <c r="H85" s="10" t="n">
        <v>45889</v>
      </c>
      <c r="I85" s="8" t="str">
        <f aca="false">A85&amp;"|"&amp;B85&amp;"|"&amp;C85&amp;"|"&amp;D85&amp;"|"&amp;E85&amp;"|"&amp;F85&amp;"|"&amp;G85&amp;"|"&amp;H85</f>
        <v>PT0201|Naveen Saxena|32|m|bronchitis|azithromycin|285|45889</v>
      </c>
      <c r="J85" s="8" t="str">
        <f aca="false">IF(COUNTIF($I$2:I85,I85)&gt;1,"Duplicate","Unique")</f>
        <v>Unique</v>
      </c>
    </row>
    <row r="86" customFormat="false" ht="15" hidden="false" customHeight="false" outlineLevel="0" collapsed="false">
      <c r="A86" s="8" t="s">
        <v>313</v>
      </c>
      <c r="B86" s="8" t="s">
        <v>314</v>
      </c>
      <c r="C86" s="9" t="n">
        <v>79</v>
      </c>
      <c r="D86" s="8" t="s">
        <v>113</v>
      </c>
      <c r="E86" s="8" t="s">
        <v>100</v>
      </c>
      <c r="F86" s="8" t="s">
        <v>193</v>
      </c>
      <c r="G86" s="9" t="n">
        <v>5</v>
      </c>
      <c r="H86" s="10" t="n">
        <v>46228</v>
      </c>
      <c r="I86" s="8" t="str">
        <f aca="false">A86&amp;"|"&amp;B86&amp;"|"&amp;C86&amp;"|"&amp;D86&amp;"|"&amp;E86&amp;"|"&amp;F86&amp;"|"&amp;G86&amp;"|"&amp;H86</f>
        <v>PT0164|Sandeep Gupta|79|male|hypertension|Amlodipine  |5|46228</v>
      </c>
      <c r="J86" s="8" t="str">
        <f aca="false">IF(COUNTIF($I$2:I86,I86)&gt;1,"Duplicate","Unique")</f>
        <v>Unique</v>
      </c>
    </row>
    <row r="87" customFormat="false" ht="15" hidden="false" customHeight="false" outlineLevel="0" collapsed="false">
      <c r="A87" s="8" t="s">
        <v>315</v>
      </c>
      <c r="B87" s="8" t="s">
        <v>316</v>
      </c>
      <c r="C87" s="9" t="n">
        <v>60</v>
      </c>
      <c r="D87" s="8" t="s">
        <v>95</v>
      </c>
      <c r="E87" s="8" t="s">
        <v>68</v>
      </c>
      <c r="F87" s="8" t="s">
        <v>317</v>
      </c>
      <c r="G87" s="9" t="n">
        <v>360</v>
      </c>
      <c r="H87" s="10" t="n">
        <v>45972</v>
      </c>
      <c r="I87" s="8" t="str">
        <f aca="false">A87&amp;"|"&amp;B87&amp;"|"&amp;C87&amp;"|"&amp;D87&amp;"|"&amp;E87&amp;"|"&amp;F87&amp;"|"&amp;G87&amp;"|"&amp;H87</f>
        <v>PT0076|Preeti Joshi|60|F|Arthritis|ibuprofen|360|45972</v>
      </c>
      <c r="J87" s="8" t="str">
        <f aca="false">IF(COUNTIF($I$2:I87,I87)&gt;1,"Duplicate","Unique")</f>
        <v>Unique</v>
      </c>
    </row>
    <row r="88" customFormat="false" ht="15" hidden="false" customHeight="false" outlineLevel="0" collapsed="false">
      <c r="A88" s="8" t="s">
        <v>318</v>
      </c>
      <c r="B88" s="8" t="s">
        <v>319</v>
      </c>
      <c r="C88" s="9" t="n">
        <v>22</v>
      </c>
      <c r="D88" s="8" t="s">
        <v>109</v>
      </c>
      <c r="E88" s="8" t="s">
        <v>235</v>
      </c>
      <c r="F88" s="8" t="s">
        <v>92</v>
      </c>
      <c r="G88" s="9" t="n">
        <v>645</v>
      </c>
      <c r="H88" s="10" t="n">
        <v>45831</v>
      </c>
      <c r="I88" s="8" t="str">
        <f aca="false">A88&amp;"|"&amp;B88&amp;"|"&amp;C88&amp;"|"&amp;D88&amp;"|"&amp;E88&amp;"|"&amp;F88&amp;"|"&amp;G88&amp;"|"&amp;H88</f>
        <v>PT0119|Priya Pandey|22|f|DIABETES|metformin|645|45831</v>
      </c>
      <c r="J88" s="8" t="str">
        <f aca="false">IF(COUNTIF($I$2:I88,I88)&gt;1,"Duplicate","Unique")</f>
        <v>Unique</v>
      </c>
    </row>
    <row r="89" customFormat="false" ht="15" hidden="false" customHeight="false" outlineLevel="0" collapsed="false">
      <c r="A89" s="8" t="s">
        <v>320</v>
      </c>
      <c r="B89" s="8" t="s">
        <v>108</v>
      </c>
      <c r="C89" s="9" t="n">
        <v>28</v>
      </c>
      <c r="D89" s="8" t="s">
        <v>131</v>
      </c>
      <c r="E89" s="8"/>
      <c r="F89" s="8"/>
      <c r="G89" s="9" t="n">
        <v>30</v>
      </c>
      <c r="H89" s="10" t="n">
        <v>45542</v>
      </c>
      <c r="I89" s="8" t="str">
        <f aca="false">A89&amp;"|"&amp;B89&amp;"|"&amp;C89&amp;"|"&amp;D89&amp;"|"&amp;E89&amp;"|"&amp;F89&amp;"|"&amp;G89&amp;"|"&amp;H89</f>
        <v>PT0196|Preeti Agarwal|28|Female |||30|45542</v>
      </c>
      <c r="J89" s="8" t="str">
        <f aca="false">IF(COUNTIF($I$2:I89,I89)&gt;1,"Duplicate","Unique")</f>
        <v>Unique</v>
      </c>
    </row>
    <row r="90" customFormat="false" ht="15" hidden="false" customHeight="false" outlineLevel="0" collapsed="false">
      <c r="A90" s="8" t="s">
        <v>321</v>
      </c>
      <c r="B90" s="8" t="s">
        <v>322</v>
      </c>
      <c r="C90" s="9" t="n">
        <v>38</v>
      </c>
      <c r="D90" s="8" t="s">
        <v>190</v>
      </c>
      <c r="E90" s="8" t="s">
        <v>254</v>
      </c>
      <c r="F90" s="8" t="s">
        <v>323</v>
      </c>
      <c r="G90" s="9" t="n">
        <v>595</v>
      </c>
      <c r="H90" s="10" t="n">
        <v>45778</v>
      </c>
      <c r="I90" s="8" t="str">
        <f aca="false">A90&amp;"|"&amp;B90&amp;"|"&amp;C90&amp;"|"&amp;D90&amp;"|"&amp;E90&amp;"|"&amp;F90&amp;"|"&amp;G90&amp;"|"&amp;H90</f>
        <v>PT0054|Harish Pandey|38|Male |COVID-19|Favipiravir|595|45778</v>
      </c>
      <c r="J90" s="8" t="str">
        <f aca="false">IF(COUNTIF($I$2:I90,I90)&gt;1,"Duplicate","Unique")</f>
        <v>Unique</v>
      </c>
    </row>
    <row r="91" customFormat="false" ht="15" hidden="false" customHeight="false" outlineLevel="0" collapsed="false">
      <c r="A91" s="8" t="s">
        <v>324</v>
      </c>
      <c r="B91" s="8" t="s">
        <v>325</v>
      </c>
      <c r="C91" s="9" t="n">
        <v>63</v>
      </c>
      <c r="D91" s="8" t="s">
        <v>131</v>
      </c>
      <c r="E91" s="8" t="s">
        <v>235</v>
      </c>
      <c r="F91" s="8" t="s">
        <v>236</v>
      </c>
      <c r="G91" s="9" t="n">
        <v>880</v>
      </c>
      <c r="H91" s="10"/>
      <c r="I91" s="8" t="str">
        <f aca="false">A91&amp;"|"&amp;B91&amp;"|"&amp;C91&amp;"|"&amp;D91&amp;"|"&amp;E91&amp;"|"&amp;F91&amp;"|"&amp;G91&amp;"|"&amp;H91</f>
        <v>PT0102|Geeta Chauhan|63|Female |DIABETES|METFORMIN|880|</v>
      </c>
      <c r="J91" s="8" t="str">
        <f aca="false">IF(COUNTIF($I$2:I91,I91)&gt;1,"Duplicate","Unique")</f>
        <v>Unique</v>
      </c>
    </row>
    <row r="92" customFormat="false" ht="15" hidden="false" customHeight="false" outlineLevel="0" collapsed="false">
      <c r="A92" s="8" t="s">
        <v>326</v>
      </c>
      <c r="B92" s="8" t="s">
        <v>327</v>
      </c>
      <c r="C92" s="9" t="n">
        <v>46</v>
      </c>
      <c r="D92" s="8" t="s">
        <v>85</v>
      </c>
      <c r="E92" s="8" t="s">
        <v>328</v>
      </c>
      <c r="F92" s="8" t="s">
        <v>217</v>
      </c>
      <c r="G92" s="9" t="n">
        <v>575</v>
      </c>
      <c r="H92" s="10" t="n">
        <v>45889</v>
      </c>
      <c r="I92" s="8" t="str">
        <f aca="false">A92&amp;"|"&amp;B92&amp;"|"&amp;C92&amp;"|"&amp;D92&amp;"|"&amp;E92&amp;"|"&amp;F92&amp;"|"&amp;G92&amp;"|"&amp;H92</f>
        <v>PT0140|Naveen Yadav|46|MALE|Flu  |PARACETAMOL|575|45889</v>
      </c>
      <c r="J92" s="8" t="str">
        <f aca="false">IF(COUNTIF($I$2:I92,I92)&gt;1,"Duplicate","Unique")</f>
        <v>Unique</v>
      </c>
    </row>
    <row r="93" customFormat="false" ht="15" hidden="false" customHeight="false" outlineLevel="0" collapsed="false">
      <c r="A93" s="8" t="s">
        <v>329</v>
      </c>
      <c r="B93" s="8" t="s">
        <v>330</v>
      </c>
      <c r="C93" s="9" t="n">
        <v>52</v>
      </c>
      <c r="D93" s="8" t="s">
        <v>113</v>
      </c>
      <c r="E93" s="8" t="s">
        <v>96</v>
      </c>
      <c r="F93" s="8" t="s">
        <v>97</v>
      </c>
      <c r="G93" s="9" t="n">
        <v>5</v>
      </c>
      <c r="H93" s="10" t="n">
        <v>45806</v>
      </c>
      <c r="I93" s="8" t="str">
        <f aca="false">A93&amp;"|"&amp;B93&amp;"|"&amp;C93&amp;"|"&amp;D93&amp;"|"&amp;E93&amp;"|"&amp;F93&amp;"|"&amp;G93&amp;"|"&amp;H93</f>
        <v>PT0120|Sunil Joshi|52|male|HYPERTENSION|amlodipine|5|45806</v>
      </c>
      <c r="J93" s="8" t="str">
        <f aca="false">IF(COUNTIF($I$2:I93,I93)&gt;1,"Duplicate","Unique")</f>
        <v>Unique</v>
      </c>
    </row>
    <row r="94" customFormat="false" ht="15" hidden="false" customHeight="false" outlineLevel="0" collapsed="false">
      <c r="A94" s="8" t="s">
        <v>331</v>
      </c>
      <c r="B94" s="8" t="s">
        <v>332</v>
      </c>
      <c r="C94" s="9" t="n">
        <v>49</v>
      </c>
      <c r="D94" s="8" t="s">
        <v>203</v>
      </c>
      <c r="E94" s="8" t="s">
        <v>162</v>
      </c>
      <c r="F94" s="8" t="s">
        <v>110</v>
      </c>
      <c r="G94" s="9" t="n">
        <v>10</v>
      </c>
      <c r="H94" s="10" t="n">
        <v>45669</v>
      </c>
      <c r="I94" s="8" t="str">
        <f aca="false">A94&amp;"|"&amp;B94&amp;"|"&amp;C94&amp;"|"&amp;D94&amp;"|"&amp;E94&amp;"|"&amp;F94&amp;"|"&amp;G94&amp;"|"&amp;H94</f>
        <v>PT0189|Vijay Gupta|49|m|Hypertension  | Amlodipine |10|45669</v>
      </c>
      <c r="J94" s="8" t="str">
        <f aca="false">IF(COUNTIF($I$2:I94,I94)&gt;1,"Duplicate","Unique")</f>
        <v>Unique</v>
      </c>
    </row>
    <row r="95" customFormat="false" ht="15" hidden="false" customHeight="false" outlineLevel="0" collapsed="false">
      <c r="A95" s="8" t="s">
        <v>333</v>
      </c>
      <c r="B95" s="8" t="s">
        <v>334</v>
      </c>
      <c r="C95" s="9" t="n">
        <v>59</v>
      </c>
      <c r="D95" s="8" t="s">
        <v>95</v>
      </c>
      <c r="E95" s="8"/>
      <c r="F95" s="8" t="s">
        <v>240</v>
      </c>
      <c r="G95" s="9" t="n">
        <v>85</v>
      </c>
      <c r="H95" s="10" t="n">
        <v>46231</v>
      </c>
      <c r="I95" s="8" t="str">
        <f aca="false">A95&amp;"|"&amp;B95&amp;"|"&amp;C95&amp;"|"&amp;D95&amp;"|"&amp;E95&amp;"|"&amp;F95&amp;"|"&amp;G95&amp;"|"&amp;H95</f>
        <v>PT0059|Geeta Gupta|59|F|| Sumatriptan |85|46231</v>
      </c>
      <c r="J95" s="8" t="str">
        <f aca="false">IF(COUNTIF($I$2:I95,I95)&gt;1,"Duplicate","Unique")</f>
        <v>Unique</v>
      </c>
    </row>
    <row r="96" customFormat="false" ht="15" hidden="false" customHeight="false" outlineLevel="0" collapsed="false">
      <c r="A96" s="8" t="s">
        <v>335</v>
      </c>
      <c r="B96" s="8" t="s">
        <v>336</v>
      </c>
      <c r="C96" s="9" t="n">
        <v>49</v>
      </c>
      <c r="D96" s="8" t="s">
        <v>46</v>
      </c>
      <c r="E96" s="8" t="s">
        <v>49</v>
      </c>
      <c r="F96" s="8" t="s">
        <v>97</v>
      </c>
      <c r="G96" s="9" t="n">
        <v>5</v>
      </c>
      <c r="H96" s="10" t="n">
        <v>45770</v>
      </c>
      <c r="I96" s="8" t="str">
        <f aca="false">A96&amp;"|"&amp;B96&amp;"|"&amp;C96&amp;"|"&amp;D96&amp;"|"&amp;E96&amp;"|"&amp;F96&amp;"|"&amp;G96&amp;"|"&amp;H96</f>
        <v>PT0028|Rakesh Mishra|49|Male|Hypertension|amlodipine|5|45770</v>
      </c>
      <c r="J96" s="8" t="str">
        <f aca="false">IF(COUNTIF($I$2:I96,I96)&gt;1,"Duplicate","Unique")</f>
        <v>Unique</v>
      </c>
    </row>
    <row r="97" customFormat="false" ht="15" hidden="false" customHeight="false" outlineLevel="0" collapsed="false">
      <c r="A97" s="8" t="s">
        <v>337</v>
      </c>
      <c r="B97" s="8" t="s">
        <v>338</v>
      </c>
      <c r="C97" s="9" t="n">
        <v>78</v>
      </c>
      <c r="D97" s="8" t="s">
        <v>46</v>
      </c>
      <c r="E97" s="8" t="s">
        <v>250</v>
      </c>
      <c r="F97" s="8" t="s">
        <v>339</v>
      </c>
      <c r="G97" s="9" t="n">
        <v>220</v>
      </c>
      <c r="H97" s="10" t="n">
        <v>46094</v>
      </c>
      <c r="I97" s="8" t="str">
        <f aca="false">A97&amp;"|"&amp;B97&amp;"|"&amp;C97&amp;"|"&amp;D97&amp;"|"&amp;E97&amp;"|"&amp;F97&amp;"|"&amp;G97&amp;"|"&amp;H97</f>
        <v>PT0051|Ashok Sharma|78|Male|anemia|Ferrous Sulfate  |220|46094</v>
      </c>
      <c r="J97" s="8" t="str">
        <f aca="false">IF(COUNTIF($I$2:I97,I97)&gt;1,"Duplicate","Unique")</f>
        <v>Unique</v>
      </c>
    </row>
    <row r="98" customFormat="false" ht="15" hidden="false" customHeight="false" outlineLevel="0" collapsed="false">
      <c r="A98" s="8" t="s">
        <v>340</v>
      </c>
      <c r="B98" s="8" t="s">
        <v>341</v>
      </c>
      <c r="C98" s="9" t="n">
        <v>52</v>
      </c>
      <c r="D98" s="8" t="s">
        <v>67</v>
      </c>
      <c r="E98" s="8" t="s">
        <v>250</v>
      </c>
      <c r="F98" s="8" t="s">
        <v>339</v>
      </c>
      <c r="G98" s="9" t="n">
        <v>230</v>
      </c>
      <c r="H98" s="10" t="n">
        <v>45976</v>
      </c>
      <c r="I98" s="8" t="str">
        <f aca="false">A98&amp;"|"&amp;B98&amp;"|"&amp;C98&amp;"|"&amp;D98&amp;"|"&amp;E98&amp;"|"&amp;F98&amp;"|"&amp;G98&amp;"|"&amp;H98</f>
        <v>PT0186|Dinesh Rao|52|M|anemia|Ferrous Sulfate  |230|45976</v>
      </c>
      <c r="J98" s="8" t="str">
        <f aca="false">IF(COUNTIF($I$2:I98,I98)&gt;1,"Duplicate","Unique")</f>
        <v>Unique</v>
      </c>
    </row>
    <row r="99" customFormat="false" ht="15" hidden="false" customHeight="false" outlineLevel="0" collapsed="false">
      <c r="A99" s="8" t="s">
        <v>342</v>
      </c>
      <c r="B99" s="8" t="s">
        <v>343</v>
      </c>
      <c r="C99" s="9" t="n">
        <v>52</v>
      </c>
      <c r="D99" s="8" t="s">
        <v>95</v>
      </c>
      <c r="E99" s="8" t="s">
        <v>122</v>
      </c>
      <c r="F99" s="8" t="s">
        <v>97</v>
      </c>
      <c r="G99" s="9" t="n">
        <v>5</v>
      </c>
      <c r="H99" s="10" t="n">
        <v>46079</v>
      </c>
      <c r="I99" s="8" t="str">
        <f aca="false">A99&amp;"|"&amp;B99&amp;"|"&amp;C99&amp;"|"&amp;D99&amp;"|"&amp;E99&amp;"|"&amp;F99&amp;"|"&amp;G99&amp;"|"&amp;H99</f>
        <v>PT0210|Preeti Kumar|52|F| Hypertension |amlodipine|5|46079</v>
      </c>
      <c r="J99" s="8" t="str">
        <f aca="false">IF(COUNTIF($I$2:I99,I99)&gt;1,"Duplicate","Unique")</f>
        <v>Unique</v>
      </c>
    </row>
    <row r="100" customFormat="false" ht="15" hidden="false" customHeight="false" outlineLevel="0" collapsed="false">
      <c r="A100" s="8" t="s">
        <v>344</v>
      </c>
      <c r="B100" s="8" t="s">
        <v>345</v>
      </c>
      <c r="C100" s="9" t="n">
        <v>64</v>
      </c>
      <c r="D100" s="8" t="s">
        <v>76</v>
      </c>
      <c r="E100" s="8" t="s">
        <v>258</v>
      </c>
      <c r="F100" s="8" t="s">
        <v>251</v>
      </c>
      <c r="G100" s="9" t="n">
        <v>260</v>
      </c>
      <c r="H100" s="10" t="n">
        <v>46223</v>
      </c>
      <c r="I100" s="8" t="str">
        <f aca="false">A100&amp;"|"&amp;B100&amp;"|"&amp;C100&amp;"|"&amp;D100&amp;"|"&amp;E100&amp;"|"&amp;F100&amp;"|"&amp;G100&amp;"|"&amp;H100</f>
        <v>PT0026|Sunil Patel|64| Male|ANEMIA| Ferrous Sulfate |260|46223</v>
      </c>
      <c r="J100" s="8" t="str">
        <f aca="false">IF(COUNTIF($I$2:I100,I100)&gt;1,"Duplicate","Unique")</f>
        <v>Unique</v>
      </c>
    </row>
    <row r="101" customFormat="false" ht="15" hidden="false" customHeight="false" outlineLevel="0" collapsed="false">
      <c r="A101" s="8" t="s">
        <v>346</v>
      </c>
      <c r="B101" s="8"/>
      <c r="C101" s="9" t="n">
        <v>47</v>
      </c>
      <c r="D101" s="8" t="s">
        <v>104</v>
      </c>
      <c r="E101" s="8" t="s">
        <v>228</v>
      </c>
      <c r="F101" s="8" t="s">
        <v>347</v>
      </c>
      <c r="G101" s="9" t="n">
        <v>5</v>
      </c>
      <c r="H101" s="10" t="n">
        <v>45677</v>
      </c>
      <c r="I101" s="8" t="str">
        <f aca="false">A101&amp;"|"&amp;B101&amp;"|"&amp;C101&amp;"|"&amp;D101&amp;"|"&amp;E101&amp;"|"&amp;F101&amp;"|"&amp;G101&amp;"|"&amp;H101</f>
        <v>PT0079||47| Female| Allergy |cetirizine|5|45677</v>
      </c>
      <c r="J101" s="8" t="str">
        <f aca="false">IF(COUNTIF($I$2:I101,I101)&gt;1,"Duplicate","Unique")</f>
        <v>Unique</v>
      </c>
    </row>
    <row r="102" customFormat="false" ht="15" hidden="false" customHeight="false" outlineLevel="0" collapsed="false">
      <c r="A102" s="8" t="s">
        <v>348</v>
      </c>
      <c r="B102" s="8" t="s">
        <v>349</v>
      </c>
      <c r="C102" s="9" t="n">
        <v>27</v>
      </c>
      <c r="D102" s="8" t="s">
        <v>90</v>
      </c>
      <c r="E102" s="8" t="s">
        <v>235</v>
      </c>
      <c r="F102" s="8" t="s">
        <v>73</v>
      </c>
      <c r="G102" s="9" t="n">
        <v>655</v>
      </c>
      <c r="H102" s="10" t="n">
        <v>45613</v>
      </c>
      <c r="I102" s="8" t="str">
        <f aca="false">A102&amp;"|"&amp;B102&amp;"|"&amp;C102&amp;"|"&amp;D102&amp;"|"&amp;E102&amp;"|"&amp;F102&amp;"|"&amp;G102&amp;"|"&amp;H102</f>
        <v>PT0033|Meena Rao|27|Female|DIABETES| Metformin |655|45613</v>
      </c>
      <c r="J102" s="8" t="str">
        <f aca="false">IF(COUNTIF($I$2:I102,I102)&gt;1,"Duplicate","Unique")</f>
        <v>Unique</v>
      </c>
    </row>
    <row r="103" customFormat="false" ht="15" hidden="false" customHeight="false" outlineLevel="0" collapsed="false">
      <c r="A103" s="8" t="s">
        <v>350</v>
      </c>
      <c r="B103" s="8" t="s">
        <v>351</v>
      </c>
      <c r="C103" s="9" t="n">
        <v>87</v>
      </c>
      <c r="D103" s="8" t="s">
        <v>67</v>
      </c>
      <c r="E103" s="8" t="s">
        <v>105</v>
      </c>
      <c r="F103" s="8" t="s">
        <v>352</v>
      </c>
      <c r="G103" s="9" t="n">
        <v>170</v>
      </c>
      <c r="H103" s="10" t="n">
        <v>45884</v>
      </c>
      <c r="I103" s="8" t="str">
        <f aca="false">A103&amp;"|"&amp;B103&amp;"|"&amp;C103&amp;"|"&amp;D103&amp;"|"&amp;E103&amp;"|"&amp;F103&amp;"|"&amp;G103&amp;"|"&amp;H103</f>
        <v>PT0112|Rakesh Agarwal|87|M| Asthma |Salbutamol  |170|45884</v>
      </c>
      <c r="J103" s="8" t="str">
        <f aca="false">IF(COUNTIF($I$2:I103,I103)&gt;1,"Duplicate","Unique")</f>
        <v>Unique</v>
      </c>
    </row>
    <row r="104" customFormat="false" ht="15" hidden="false" customHeight="false" outlineLevel="0" collapsed="false">
      <c r="A104" s="8" t="s">
        <v>353</v>
      </c>
      <c r="B104" s="8" t="s">
        <v>354</v>
      </c>
      <c r="C104" s="9" t="n">
        <v>45</v>
      </c>
      <c r="D104" s="8" t="s">
        <v>95</v>
      </c>
      <c r="E104" s="8" t="s">
        <v>153</v>
      </c>
      <c r="F104" s="8" t="s">
        <v>355</v>
      </c>
      <c r="G104" s="9" t="n">
        <v>290</v>
      </c>
      <c r="H104" s="10" t="n">
        <v>46129</v>
      </c>
      <c r="I104" s="8" t="str">
        <f aca="false">A104&amp;"|"&amp;B104&amp;"|"&amp;C104&amp;"|"&amp;D104&amp;"|"&amp;E104&amp;"|"&amp;F104&amp;"|"&amp;G104&amp;"|"&amp;H104</f>
        <v>PT0139|Swati Reddy|45|F| Anemia |FERROUS SULFATE|290|46129</v>
      </c>
      <c r="J104" s="8" t="str">
        <f aca="false">IF(COUNTIF($I$2:I104,I104)&gt;1,"Duplicate","Unique")</f>
        <v>Unique</v>
      </c>
    </row>
    <row r="105" customFormat="false" ht="15" hidden="false" customHeight="false" outlineLevel="0" collapsed="false">
      <c r="A105" s="8" t="s">
        <v>356</v>
      </c>
      <c r="B105" s="8" t="s">
        <v>357</v>
      </c>
      <c r="C105" s="9" t="n">
        <v>60</v>
      </c>
      <c r="D105" s="8" t="s">
        <v>46</v>
      </c>
      <c r="E105" s="8" t="s">
        <v>307</v>
      </c>
      <c r="F105" s="8" t="s">
        <v>157</v>
      </c>
      <c r="G105" s="9" t="n">
        <v>85</v>
      </c>
      <c r="H105" s="10" t="n">
        <v>45942</v>
      </c>
      <c r="I105" s="8" t="str">
        <f aca="false">A105&amp;"|"&amp;B105&amp;"|"&amp;C105&amp;"|"&amp;D105&amp;"|"&amp;E105&amp;"|"&amp;F105&amp;"|"&amp;G105&amp;"|"&amp;H105</f>
        <v>PT0093|Suresh Choudhary|60|Male|migraine|sumatriptan|85|45942</v>
      </c>
      <c r="J105" s="8" t="str">
        <f aca="false">IF(COUNTIF($I$2:I105,I105)&gt;1,"Duplicate","Unique")</f>
        <v>Unique</v>
      </c>
    </row>
    <row r="106" customFormat="false" ht="15" hidden="false" customHeight="false" outlineLevel="0" collapsed="false">
      <c r="A106" s="8" t="s">
        <v>358</v>
      </c>
      <c r="B106" s="8" t="s">
        <v>359</v>
      </c>
      <c r="C106" s="9" t="n">
        <v>180</v>
      </c>
      <c r="D106" s="8" t="s">
        <v>113</v>
      </c>
      <c r="E106" s="8" t="s">
        <v>49</v>
      </c>
      <c r="F106" s="8" t="s">
        <v>101</v>
      </c>
      <c r="G106" s="9" t="n">
        <v>10</v>
      </c>
      <c r="H106" s="10" t="n">
        <v>45548</v>
      </c>
      <c r="I106" s="8" t="str">
        <f aca="false">A106&amp;"|"&amp;B106&amp;"|"&amp;C106&amp;"|"&amp;D106&amp;"|"&amp;E106&amp;"|"&amp;F106&amp;"|"&amp;G106&amp;"|"&amp;H106</f>
        <v>PT0096|Mahesh Rathore|180|male|Hypertension|AMLODIPINE|10|45548</v>
      </c>
      <c r="J106" s="8" t="str">
        <f aca="false">IF(COUNTIF($I$2:I106,I106)&gt;1,"Duplicate","Unique")</f>
        <v>Unique</v>
      </c>
    </row>
    <row r="107" customFormat="false" ht="15" hidden="false" customHeight="false" outlineLevel="0" collapsed="false">
      <c r="A107" s="8" t="s">
        <v>360</v>
      </c>
      <c r="B107" s="8" t="s">
        <v>361</v>
      </c>
      <c r="C107" s="9" t="n">
        <v>51</v>
      </c>
      <c r="D107" s="8" t="s">
        <v>104</v>
      </c>
      <c r="E107" s="8" t="s">
        <v>199</v>
      </c>
      <c r="F107" s="8" t="s">
        <v>200</v>
      </c>
      <c r="G107" s="9" t="n">
        <v>275</v>
      </c>
      <c r="H107" s="10" t="n">
        <v>46020</v>
      </c>
      <c r="I107" s="8" t="str">
        <f aca="false">A107&amp;"|"&amp;B107&amp;"|"&amp;C107&amp;"|"&amp;D107&amp;"|"&amp;E107&amp;"|"&amp;F107&amp;"|"&amp;G107&amp;"|"&amp;H107</f>
        <v>PT0030|Komal Choudhary|51| Female|Arthritis  |Ibuprofen  |275|46020</v>
      </c>
      <c r="J107" s="8" t="str">
        <f aca="false">IF(COUNTIF($I$2:I107,I107)&gt;1,"Duplicate","Unique")</f>
        <v>Unique</v>
      </c>
    </row>
    <row r="108" customFormat="false" ht="15" hidden="false" customHeight="false" outlineLevel="0" collapsed="false">
      <c r="A108" s="8" t="s">
        <v>362</v>
      </c>
      <c r="B108" s="8" t="s">
        <v>363</v>
      </c>
      <c r="C108" s="9" t="n">
        <v>50</v>
      </c>
      <c r="D108" s="8" t="s">
        <v>203</v>
      </c>
      <c r="E108" s="8" t="s">
        <v>228</v>
      </c>
      <c r="F108" s="8" t="s">
        <v>347</v>
      </c>
      <c r="G108" s="9" t="n">
        <v>10</v>
      </c>
      <c r="H108" s="10" t="n">
        <v>45829</v>
      </c>
      <c r="I108" s="8" t="str">
        <f aca="false">A108&amp;"|"&amp;B108&amp;"|"&amp;C108&amp;"|"&amp;D108&amp;"|"&amp;E108&amp;"|"&amp;F108&amp;"|"&amp;G108&amp;"|"&amp;H108</f>
        <v>PT0158|Dinesh Verma|50|m| Allergy |cetirizine|10|45829</v>
      </c>
      <c r="J108" s="8" t="str">
        <f aca="false">IF(COUNTIF($I$2:I108,I108)&gt;1,"Duplicate","Unique")</f>
        <v>Unique</v>
      </c>
    </row>
    <row r="109" customFormat="false" ht="15" hidden="false" customHeight="false" outlineLevel="0" collapsed="false">
      <c r="A109" s="8" t="s">
        <v>364</v>
      </c>
      <c r="B109" s="8" t="s">
        <v>365</v>
      </c>
      <c r="C109" s="9" t="n">
        <v>44</v>
      </c>
      <c r="D109" s="8" t="s">
        <v>113</v>
      </c>
      <c r="E109" s="8" t="s">
        <v>366</v>
      </c>
      <c r="F109" s="8" t="s">
        <v>312</v>
      </c>
      <c r="G109" s="9" t="n">
        <v>495</v>
      </c>
      <c r="H109" s="10" t="n">
        <v>46192</v>
      </c>
      <c r="I109" s="8" t="str">
        <f aca="false">A109&amp;"|"&amp;B109&amp;"|"&amp;C109&amp;"|"&amp;D109&amp;"|"&amp;E109&amp;"|"&amp;F109&amp;"|"&amp;G109&amp;"|"&amp;H109</f>
        <v>PT0018|Mahesh Rao|44|male| Bronchitis |azithromycin|495|46192</v>
      </c>
      <c r="J109" s="8" t="str">
        <f aca="false">IF(COUNTIF($I$2:I109,I109)&gt;1,"Duplicate","Unique")</f>
        <v>Unique</v>
      </c>
    </row>
    <row r="110" customFormat="false" ht="15" hidden="false" customHeight="false" outlineLevel="0" collapsed="false">
      <c r="A110" s="8" t="s">
        <v>367</v>
      </c>
      <c r="B110" s="8" t="s">
        <v>368</v>
      </c>
      <c r="C110" s="9" t="n">
        <v>55</v>
      </c>
      <c r="D110" s="8" t="s">
        <v>95</v>
      </c>
      <c r="E110" s="8" t="s">
        <v>369</v>
      </c>
      <c r="F110" s="8"/>
      <c r="G110" s="9" t="n">
        <v>430</v>
      </c>
      <c r="H110" s="10" t="n">
        <v>45767</v>
      </c>
      <c r="I110" s="8" t="str">
        <f aca="false">A110&amp;"|"&amp;B110&amp;"|"&amp;C110&amp;"|"&amp;D110&amp;"|"&amp;E110&amp;"|"&amp;F110&amp;"|"&amp;G110&amp;"|"&amp;H110</f>
        <v>PT0193|Kavita Rathore|55|F|BRONCHITIS||430|45767</v>
      </c>
      <c r="J110" s="8" t="str">
        <f aca="false">IF(COUNTIF($I$2:I110,I110)&gt;1,"Duplicate","Unique")</f>
        <v>Unique</v>
      </c>
    </row>
    <row r="111" customFormat="false" ht="15" hidden="false" customHeight="false" outlineLevel="0" collapsed="false">
      <c r="A111" s="8" t="s">
        <v>370</v>
      </c>
      <c r="B111" s="8" t="s">
        <v>75</v>
      </c>
      <c r="C111" s="9" t="n">
        <v>38</v>
      </c>
      <c r="D111" s="8" t="s">
        <v>85</v>
      </c>
      <c r="E111" s="8" t="s">
        <v>371</v>
      </c>
      <c r="F111" s="8" t="s">
        <v>277</v>
      </c>
      <c r="G111" s="9" t="n">
        <v>115</v>
      </c>
      <c r="H111" s="10" t="n">
        <v>45907</v>
      </c>
      <c r="I111" s="8" t="str">
        <f aca="false">A111&amp;"|"&amp;B111&amp;"|"&amp;C111&amp;"|"&amp;D111&amp;"|"&amp;E111&amp;"|"&amp;F111&amp;"|"&amp;G111&amp;"|"&amp;H111</f>
        <v>PT0022|Vinod Chauhan|38|MALE|ASTHMA|Salbutamol|115|45907</v>
      </c>
      <c r="J111" s="8" t="str">
        <f aca="false">IF(COUNTIF($I$2:I111,I111)&gt;1,"Duplicate","Unique")</f>
        <v>Unique</v>
      </c>
    </row>
    <row r="112" customFormat="false" ht="15" hidden="false" customHeight="false" outlineLevel="0" collapsed="false">
      <c r="A112" s="8" t="s">
        <v>372</v>
      </c>
      <c r="B112" s="8" t="s">
        <v>373</v>
      </c>
      <c r="C112" s="9" t="n">
        <v>25</v>
      </c>
      <c r="D112" s="8" t="s">
        <v>85</v>
      </c>
      <c r="E112" s="8" t="s">
        <v>122</v>
      </c>
      <c r="F112" s="8" t="s">
        <v>101</v>
      </c>
      <c r="G112" s="9" t="n">
        <v>10</v>
      </c>
      <c r="H112" s="10"/>
      <c r="I112" s="8" t="str">
        <f aca="false">A112&amp;"|"&amp;B112&amp;"|"&amp;C112&amp;"|"&amp;D112&amp;"|"&amp;E112&amp;"|"&amp;F112&amp;"|"&amp;G112&amp;"|"&amp;H112</f>
        <v>PT0006|Puneet Shukla|25|MALE| Hypertension |AMLODIPINE|10|</v>
      </c>
      <c r="J112" s="8" t="str">
        <f aca="false">IF(COUNTIF($I$2:I112,I112)&gt;1,"Duplicate","Unique")</f>
        <v>Unique</v>
      </c>
    </row>
    <row r="113" customFormat="false" ht="15" hidden="false" customHeight="false" outlineLevel="0" collapsed="false">
      <c r="A113" s="8" t="s">
        <v>374</v>
      </c>
      <c r="B113" s="8" t="s">
        <v>375</v>
      </c>
      <c r="C113" s="9" t="n">
        <v>18</v>
      </c>
      <c r="D113" s="8" t="s">
        <v>190</v>
      </c>
      <c r="E113" s="8" t="s">
        <v>144</v>
      </c>
      <c r="F113" s="8" t="s">
        <v>157</v>
      </c>
      <c r="G113" s="9" t="n">
        <v>45</v>
      </c>
      <c r="H113" s="10" t="n">
        <v>45777</v>
      </c>
      <c r="I113" s="8" t="str">
        <f aca="false">A113&amp;"|"&amp;B113&amp;"|"&amp;C113&amp;"|"&amp;D113&amp;"|"&amp;E113&amp;"|"&amp;F113&amp;"|"&amp;G113&amp;"|"&amp;H113</f>
        <v>PT0211|Harish Rathore|18|Male |MIGRAINE|sumatriptan|45|45777</v>
      </c>
      <c r="J113" s="8" t="str">
        <f aca="false">IF(COUNTIF($I$2:I113,I113)&gt;1,"Duplicate","Unique")</f>
        <v>Unique</v>
      </c>
    </row>
    <row r="114" customFormat="false" ht="15" hidden="false" customHeight="false" outlineLevel="0" collapsed="false">
      <c r="A114" s="8" t="s">
        <v>376</v>
      </c>
      <c r="B114" s="8" t="s">
        <v>377</v>
      </c>
      <c r="C114" s="9" t="n">
        <v>39</v>
      </c>
      <c r="D114" s="8" t="s">
        <v>81</v>
      </c>
      <c r="E114" s="8" t="s">
        <v>378</v>
      </c>
      <c r="F114" s="8" t="s">
        <v>115</v>
      </c>
      <c r="G114" s="9" t="n">
        <v>325</v>
      </c>
      <c r="H114" s="10" t="n">
        <v>45740</v>
      </c>
      <c r="I114" s="8" t="str">
        <f aca="false">A114&amp;"|"&amp;B114&amp;"|"&amp;C114&amp;"|"&amp;D114&amp;"|"&amp;E114&amp;"|"&amp;F114&amp;"|"&amp;G114&amp;"|"&amp;H114</f>
        <v>PT0090|Lata Verma|39|female|Bronchitis|Azithromycin|325|45740</v>
      </c>
      <c r="J114" s="8" t="str">
        <f aca="false">IF(COUNTIF($I$2:I114,I114)&gt;1,"Duplicate","Unique")</f>
        <v>Unique</v>
      </c>
    </row>
    <row r="115" customFormat="false" ht="15" hidden="false" customHeight="false" outlineLevel="0" collapsed="false">
      <c r="A115" s="8" t="s">
        <v>379</v>
      </c>
      <c r="B115" s="8" t="s">
        <v>380</v>
      </c>
      <c r="C115" s="9" t="n">
        <v>83</v>
      </c>
      <c r="D115" s="8" t="s">
        <v>131</v>
      </c>
      <c r="E115" s="8" t="s">
        <v>72</v>
      </c>
      <c r="F115" s="8" t="s">
        <v>92</v>
      </c>
      <c r="G115" s="9" t="n">
        <v>905</v>
      </c>
      <c r="H115" s="10" t="n">
        <v>45806</v>
      </c>
      <c r="I115" s="8" t="str">
        <f aca="false">A115&amp;"|"&amp;B115&amp;"|"&amp;C115&amp;"|"&amp;D115&amp;"|"&amp;E115&amp;"|"&amp;F115&amp;"|"&amp;G115&amp;"|"&amp;H115</f>
        <v>PT0048|Meena Chauhan|83|Female |Diabetes|metformin|905|45806</v>
      </c>
      <c r="J115" s="8" t="str">
        <f aca="false">IF(COUNTIF($I$2:I115,I115)&gt;1,"Duplicate","Unique")</f>
        <v>Unique</v>
      </c>
    </row>
    <row r="116" customFormat="false" ht="15" hidden="false" customHeight="false" outlineLevel="0" collapsed="false">
      <c r="A116" s="8" t="s">
        <v>381</v>
      </c>
      <c r="B116" s="8" t="s">
        <v>382</v>
      </c>
      <c r="C116" s="9" t="n">
        <v>51</v>
      </c>
      <c r="D116" s="8" t="s">
        <v>104</v>
      </c>
      <c r="E116" s="8" t="s">
        <v>162</v>
      </c>
      <c r="F116" s="8" t="s">
        <v>110</v>
      </c>
      <c r="G116" s="9" t="n">
        <v>5</v>
      </c>
      <c r="H116" s="10" t="n">
        <v>45631</v>
      </c>
      <c r="I116" s="8" t="str">
        <f aca="false">A116&amp;"|"&amp;B116&amp;"|"&amp;C116&amp;"|"&amp;D116&amp;"|"&amp;E116&amp;"|"&amp;F116&amp;"|"&amp;G116&amp;"|"&amp;H116</f>
        <v>PT0034|Ritu Rao|51| Female|Hypertension  | Amlodipine |5|45631</v>
      </c>
      <c r="J116" s="8" t="str">
        <f aca="false">IF(COUNTIF($I$2:I116,I116)&gt;1,"Duplicate","Unique")</f>
        <v>Unique</v>
      </c>
    </row>
    <row r="117" customFormat="false" ht="15" hidden="false" customHeight="false" outlineLevel="0" collapsed="false">
      <c r="A117" s="8" t="s">
        <v>383</v>
      </c>
      <c r="B117" s="8" t="s">
        <v>384</v>
      </c>
      <c r="C117" s="9" t="n">
        <v>70</v>
      </c>
      <c r="D117" s="8" t="s">
        <v>121</v>
      </c>
      <c r="E117" s="8" t="s">
        <v>114</v>
      </c>
      <c r="F117" s="8" t="s">
        <v>115</v>
      </c>
      <c r="G117" s="9" t="n">
        <v>395</v>
      </c>
      <c r="H117" s="10" t="n">
        <v>45960</v>
      </c>
      <c r="I117" s="8" t="str">
        <f aca="false">A117&amp;"|"&amp;B117&amp;"|"&amp;C117&amp;"|"&amp;D117&amp;"|"&amp;E117&amp;"|"&amp;F117&amp;"|"&amp;G117&amp;"|"&amp;H117</f>
        <v>PT0071|Sunita Mishra|70|FEMALE|bronchitis|Azithromycin|395|45960</v>
      </c>
      <c r="J117" s="8" t="str">
        <f aca="false">IF(COUNTIF($I$2:I117,I117)&gt;1,"Duplicate","Unique")</f>
        <v>Unique</v>
      </c>
    </row>
    <row r="118" customFormat="false" ht="15" hidden="false" customHeight="false" outlineLevel="0" collapsed="false">
      <c r="A118" s="8" t="s">
        <v>385</v>
      </c>
      <c r="B118" s="8" t="s">
        <v>386</v>
      </c>
      <c r="C118" s="9" t="n">
        <v>27</v>
      </c>
      <c r="D118" s="8" t="s">
        <v>113</v>
      </c>
      <c r="E118" s="8" t="s">
        <v>369</v>
      </c>
      <c r="F118" s="8" t="s">
        <v>312</v>
      </c>
      <c r="G118" s="9" t="n">
        <v>265</v>
      </c>
      <c r="H118" s="10" t="n">
        <v>45587</v>
      </c>
      <c r="I118" s="8" t="str">
        <f aca="false">A118&amp;"|"&amp;B118&amp;"|"&amp;C118&amp;"|"&amp;D118&amp;"|"&amp;E118&amp;"|"&amp;F118&amp;"|"&amp;G118&amp;"|"&amp;H118</f>
        <v>PT0038|Ashok Verma|27|male|BRONCHITIS|azithromycin|265|45587</v>
      </c>
      <c r="J118" s="8" t="str">
        <f aca="false">IF(COUNTIF($I$2:I118,I118)&gt;1,"Duplicate","Unique")</f>
        <v>Unique</v>
      </c>
    </row>
    <row r="119" customFormat="false" ht="15" hidden="false" customHeight="false" outlineLevel="0" collapsed="false">
      <c r="A119" s="8" t="s">
        <v>387</v>
      </c>
      <c r="B119" s="8" t="s">
        <v>338</v>
      </c>
      <c r="C119" s="9" t="n">
        <v>33</v>
      </c>
      <c r="D119" s="8" t="s">
        <v>190</v>
      </c>
      <c r="E119" s="8" t="s">
        <v>125</v>
      </c>
      <c r="F119" s="8" t="s">
        <v>126</v>
      </c>
      <c r="G119" s="9" t="n">
        <v>760</v>
      </c>
      <c r="H119" s="10" t="n">
        <v>46036</v>
      </c>
      <c r="I119" s="8" t="str">
        <f aca="false">A119&amp;"|"&amp;B119&amp;"|"&amp;C119&amp;"|"&amp;D119&amp;"|"&amp;E119&amp;"|"&amp;F119&amp;"|"&amp;G119&amp;"|"&amp;H119</f>
        <v>PT0103|Ashok Sharma|33|Male |diabetes|Metformin  |760|46036</v>
      </c>
      <c r="J119" s="8" t="str">
        <f aca="false">IF(COUNTIF($I$2:I119,I119)&gt;1,"Duplicate","Unique")</f>
        <v>Unique</v>
      </c>
    </row>
    <row r="120" customFormat="false" ht="15" hidden="false" customHeight="false" outlineLevel="0" collapsed="false">
      <c r="A120" s="8" t="s">
        <v>388</v>
      </c>
      <c r="B120" s="8" t="s">
        <v>389</v>
      </c>
      <c r="C120" s="9" t="n">
        <v>51</v>
      </c>
      <c r="D120" s="8" t="s">
        <v>46</v>
      </c>
      <c r="E120" s="8" t="s">
        <v>196</v>
      </c>
      <c r="F120" s="8" t="s">
        <v>390</v>
      </c>
      <c r="G120" s="9" t="n">
        <v>500</v>
      </c>
      <c r="H120" s="10" t="n">
        <v>45896</v>
      </c>
      <c r="I120" s="8" t="str">
        <f aca="false">A120&amp;"|"&amp;B120&amp;"|"&amp;C120&amp;"|"&amp;D120&amp;"|"&amp;E120&amp;"|"&amp;F120&amp;"|"&amp;G120&amp;"|"&amp;H120</f>
        <v>PT0082|Rahul Choudhary|51|Male|FLU|Paracetamol|500|45896</v>
      </c>
      <c r="J120" s="8" t="str">
        <f aca="false">IF(COUNTIF($I$2:I120,I120)&gt;1,"Duplicate","Unique")</f>
        <v>Unique</v>
      </c>
    </row>
    <row r="121" customFormat="false" ht="15" hidden="false" customHeight="false" outlineLevel="0" collapsed="false">
      <c r="A121" s="8" t="s">
        <v>391</v>
      </c>
      <c r="B121" s="8" t="s">
        <v>392</v>
      </c>
      <c r="C121" s="9" t="n">
        <v>60</v>
      </c>
      <c r="D121" s="8" t="s">
        <v>85</v>
      </c>
      <c r="E121" s="8" t="s">
        <v>393</v>
      </c>
      <c r="F121" s="8" t="s">
        <v>394</v>
      </c>
      <c r="G121" s="9" t="n">
        <v>75</v>
      </c>
      <c r="H121" s="10" t="n">
        <v>46033</v>
      </c>
      <c r="I121" s="8" t="str">
        <f aca="false">A121&amp;"|"&amp;B121&amp;"|"&amp;C121&amp;"|"&amp;D121&amp;"|"&amp;E121&amp;"|"&amp;F121&amp;"|"&amp;G121&amp;"|"&amp;H121</f>
        <v>PT0227|Praveen Rathore|60|MALE|thyroid disorder|Levothyroxine|75|46033</v>
      </c>
      <c r="J121" s="8" t="str">
        <f aca="false">IF(COUNTIF($I$2:I121,I121)&gt;1,"Duplicate","Unique")</f>
        <v>Unique</v>
      </c>
    </row>
    <row r="122" customFormat="false" ht="15" hidden="false" customHeight="false" outlineLevel="0" collapsed="false">
      <c r="A122" s="8" t="s">
        <v>395</v>
      </c>
      <c r="B122" s="8" t="s">
        <v>396</v>
      </c>
      <c r="C122" s="9" t="n">
        <v>33</v>
      </c>
      <c r="D122" s="8" t="s">
        <v>46</v>
      </c>
      <c r="E122" s="8" t="s">
        <v>122</v>
      </c>
      <c r="F122" s="8" t="s">
        <v>97</v>
      </c>
      <c r="G122" s="9" t="n">
        <v>10</v>
      </c>
      <c r="H122" s="10" t="n">
        <v>46215</v>
      </c>
      <c r="I122" s="8" t="str">
        <f aca="false">A122&amp;"|"&amp;B122&amp;"|"&amp;C122&amp;"|"&amp;D122&amp;"|"&amp;E122&amp;"|"&amp;F122&amp;"|"&amp;G122&amp;"|"&amp;H122</f>
        <v>PT0046|Karan Reddy|33|Male| Hypertension |amlodipine|10|46215</v>
      </c>
      <c r="J122" s="8" t="str">
        <f aca="false">IF(COUNTIF($I$2:I122,I122)&gt;1,"Duplicate","Unique")</f>
        <v>Unique</v>
      </c>
    </row>
    <row r="123" customFormat="false" ht="15" hidden="false" customHeight="false" outlineLevel="0" collapsed="false">
      <c r="A123" s="8" t="s">
        <v>397</v>
      </c>
      <c r="B123" s="8" t="s">
        <v>398</v>
      </c>
      <c r="C123" s="9" t="n">
        <v>72</v>
      </c>
      <c r="D123" s="8" t="s">
        <v>190</v>
      </c>
      <c r="E123" s="8" t="s">
        <v>399</v>
      </c>
      <c r="F123" s="8" t="s">
        <v>352</v>
      </c>
      <c r="G123" s="9" t="n">
        <v>180</v>
      </c>
      <c r="H123" s="10" t="n">
        <v>45807</v>
      </c>
      <c r="I123" s="8" t="str">
        <f aca="false">A123&amp;"|"&amp;B123&amp;"|"&amp;C123&amp;"|"&amp;D123&amp;"|"&amp;E123&amp;"|"&amp;F123&amp;"|"&amp;G123&amp;"|"&amp;H123</f>
        <v>PT0044|Suresh Gupta|72|Male |Asthma  |Salbutamol  |180|45807</v>
      </c>
      <c r="J123" s="8" t="str">
        <f aca="false">IF(COUNTIF($I$2:I123,I123)&gt;1,"Duplicate","Unique")</f>
        <v>Unique</v>
      </c>
    </row>
    <row r="124" customFormat="false" ht="15" hidden="false" customHeight="false" outlineLevel="0" collapsed="false">
      <c r="A124" s="8" t="s">
        <v>300</v>
      </c>
      <c r="B124" s="8" t="s">
        <v>301</v>
      </c>
      <c r="C124" s="9" t="n">
        <v>45</v>
      </c>
      <c r="D124" s="8" t="s">
        <v>121</v>
      </c>
      <c r="E124" s="8" t="s">
        <v>235</v>
      </c>
      <c r="F124" s="8" t="s">
        <v>126</v>
      </c>
      <c r="G124" s="9" t="n">
        <v>575</v>
      </c>
      <c r="H124" s="10" t="n">
        <v>46015</v>
      </c>
      <c r="I124" s="8" t="str">
        <f aca="false">A124&amp;"|"&amp;B124&amp;"|"&amp;C124&amp;"|"&amp;D124&amp;"|"&amp;E124&amp;"|"&amp;F124&amp;"|"&amp;G124&amp;"|"&amp;H124</f>
        <v>PT0123|Suman Saxena|45|FEMALE|DIABETES|Metformin  |575|46015</v>
      </c>
      <c r="J124" s="8" t="str">
        <f aca="false">IF(COUNTIF($I$2:I124,I124)&gt;1,"Duplicate","Unique")</f>
        <v>Duplicate</v>
      </c>
    </row>
    <row r="125" customFormat="false" ht="15" hidden="false" customHeight="false" outlineLevel="0" collapsed="false">
      <c r="A125" s="8" t="s">
        <v>400</v>
      </c>
      <c r="B125" s="8" t="s">
        <v>401</v>
      </c>
      <c r="C125" s="9" t="n">
        <v>75</v>
      </c>
      <c r="D125" s="8" t="s">
        <v>76</v>
      </c>
      <c r="E125" s="8" t="s">
        <v>122</v>
      </c>
      <c r="F125" s="8" t="s">
        <v>52</v>
      </c>
      <c r="G125" s="9" t="n">
        <v>5</v>
      </c>
      <c r="H125" s="10" t="n">
        <v>46107</v>
      </c>
      <c r="I125" s="8" t="str">
        <f aca="false">A125&amp;"|"&amp;B125&amp;"|"&amp;C125&amp;"|"&amp;D125&amp;"|"&amp;E125&amp;"|"&amp;F125&amp;"|"&amp;G125&amp;"|"&amp;H125</f>
        <v>PT0222|Amit Chauhan|75| Male| Hypertension |Amlodipine|5|46107</v>
      </c>
      <c r="J125" s="8" t="str">
        <f aca="false">IF(COUNTIF($I$2:I125,I125)&gt;1,"Duplicate","Unique")</f>
        <v>Unique</v>
      </c>
    </row>
    <row r="126" customFormat="false" ht="15" hidden="false" customHeight="false" outlineLevel="0" collapsed="false">
      <c r="A126" s="8" t="s">
        <v>402</v>
      </c>
      <c r="B126" s="8" t="s">
        <v>202</v>
      </c>
      <c r="C126" s="9" t="n">
        <v>88</v>
      </c>
      <c r="D126" s="8" t="s">
        <v>76</v>
      </c>
      <c r="E126" s="8" t="s">
        <v>196</v>
      </c>
      <c r="F126" s="8" t="s">
        <v>87</v>
      </c>
      <c r="G126" s="9" t="n">
        <v>530</v>
      </c>
      <c r="H126" s="10"/>
      <c r="I126" s="8" t="str">
        <f aca="false">A126&amp;"|"&amp;B126&amp;"|"&amp;C126&amp;"|"&amp;D126&amp;"|"&amp;E126&amp;"|"&amp;F126&amp;"|"&amp;G126&amp;"|"&amp;H126</f>
        <v>PT0132|Ashok Joshi|88| Male|FLU|Paracetamol  |530|</v>
      </c>
      <c r="J126" s="8" t="str">
        <f aca="false">IF(COUNTIF($I$2:I126,I126)&gt;1,"Duplicate","Unique")</f>
        <v>Unique</v>
      </c>
    </row>
    <row r="127" customFormat="false" ht="15" hidden="false" customHeight="false" outlineLevel="0" collapsed="false">
      <c r="A127" s="8" t="s">
        <v>403</v>
      </c>
      <c r="B127" s="8" t="s">
        <v>124</v>
      </c>
      <c r="C127" s="9" t="n">
        <v>22</v>
      </c>
      <c r="D127" s="8" t="s">
        <v>81</v>
      </c>
      <c r="E127" s="8" t="s">
        <v>138</v>
      </c>
      <c r="F127" s="8" t="s">
        <v>139</v>
      </c>
      <c r="G127" s="9" t="n">
        <v>55</v>
      </c>
      <c r="H127" s="10" t="n">
        <v>46176</v>
      </c>
      <c r="I127" s="8" t="str">
        <f aca="false">A127&amp;"|"&amp;B127&amp;"|"&amp;C127&amp;"|"&amp;D127&amp;"|"&amp;E127&amp;"|"&amp;F127&amp;"|"&amp;G127&amp;"|"&amp;H127</f>
        <v>PT0117|Usha Verma|22|female|THYROID DISORDER| Levothyroxine |55|46176</v>
      </c>
      <c r="J127" s="8" t="str">
        <f aca="false">IF(COUNTIF($I$2:I127,I127)&gt;1,"Duplicate","Unique")</f>
        <v>Unique</v>
      </c>
    </row>
    <row r="128" customFormat="false" ht="15" hidden="false" customHeight="false" outlineLevel="0" collapsed="false">
      <c r="A128" s="8" t="s">
        <v>404</v>
      </c>
      <c r="B128" s="8" t="s">
        <v>182</v>
      </c>
      <c r="C128" s="9" t="n">
        <v>59</v>
      </c>
      <c r="D128" s="8" t="s">
        <v>95</v>
      </c>
      <c r="E128" s="8"/>
      <c r="F128" s="8"/>
      <c r="G128" s="9" t="n">
        <v>115</v>
      </c>
      <c r="H128" s="10" t="n">
        <v>45776</v>
      </c>
      <c r="I128" s="8" t="str">
        <f aca="false">A128&amp;"|"&amp;B128&amp;"|"&amp;C128&amp;"|"&amp;D128&amp;"|"&amp;E128&amp;"|"&amp;F128&amp;"|"&amp;G128&amp;"|"&amp;H128</f>
        <v>PT0169|Pooja Verma|59|F|||115|45776</v>
      </c>
      <c r="J128" s="8" t="str">
        <f aca="false">IF(COUNTIF($I$2:I128,I128)&gt;1,"Duplicate","Unique")</f>
        <v>Unique</v>
      </c>
    </row>
    <row r="129" customFormat="false" ht="15" hidden="false" customHeight="false" outlineLevel="0" collapsed="false">
      <c r="A129" s="8" t="s">
        <v>360</v>
      </c>
      <c r="B129" s="8" t="s">
        <v>361</v>
      </c>
      <c r="C129" s="9" t="n">
        <v>51</v>
      </c>
      <c r="D129" s="8" t="s">
        <v>104</v>
      </c>
      <c r="E129" s="8" t="s">
        <v>199</v>
      </c>
      <c r="F129" s="8" t="s">
        <v>200</v>
      </c>
      <c r="G129" s="9" t="n">
        <v>275</v>
      </c>
      <c r="H129" s="10" t="n">
        <v>46020</v>
      </c>
      <c r="I129" s="8" t="str">
        <f aca="false">A129&amp;"|"&amp;B129&amp;"|"&amp;C129&amp;"|"&amp;D129&amp;"|"&amp;E129&amp;"|"&amp;F129&amp;"|"&amp;G129&amp;"|"&amp;H129</f>
        <v>PT0030|Komal Choudhary|51| Female|Arthritis  |Ibuprofen  |275|46020</v>
      </c>
      <c r="J129" s="8" t="str">
        <f aca="false">IF(COUNTIF($I$2:I129,I129)&gt;1,"Duplicate","Unique")</f>
        <v>Duplicate</v>
      </c>
    </row>
    <row r="130" customFormat="false" ht="15" hidden="false" customHeight="false" outlineLevel="0" collapsed="false">
      <c r="A130" s="8" t="s">
        <v>405</v>
      </c>
      <c r="B130" s="8" t="s">
        <v>406</v>
      </c>
      <c r="C130" s="9" t="n">
        <v>21</v>
      </c>
      <c r="D130" s="8" t="s">
        <v>81</v>
      </c>
      <c r="E130" s="8" t="s">
        <v>82</v>
      </c>
      <c r="F130" s="8" t="s">
        <v>126</v>
      </c>
      <c r="G130" s="9" t="n">
        <v>875</v>
      </c>
      <c r="H130" s="10" t="n">
        <v>45975</v>
      </c>
      <c r="I130" s="8" t="str">
        <f aca="false">A130&amp;"|"&amp;B130&amp;"|"&amp;C130&amp;"|"&amp;D130&amp;"|"&amp;E130&amp;"|"&amp;F130&amp;"|"&amp;G130&amp;"|"&amp;H130</f>
        <v>PT0116|Komal Joshi|21|female|Diabetes  |Metformin  |875|45975</v>
      </c>
      <c r="J130" s="8" t="str">
        <f aca="false">IF(COUNTIF($I$2:I130,I130)&gt;1,"Duplicate","Unique")</f>
        <v>Unique</v>
      </c>
    </row>
    <row r="131" customFormat="false" ht="15" hidden="false" customHeight="false" outlineLevel="0" collapsed="false">
      <c r="A131" s="8" t="s">
        <v>407</v>
      </c>
      <c r="B131" s="8" t="s">
        <v>408</v>
      </c>
      <c r="C131" s="9" t="n">
        <v>42</v>
      </c>
      <c r="D131" s="8" t="s">
        <v>113</v>
      </c>
      <c r="E131" s="8" t="s">
        <v>105</v>
      </c>
      <c r="F131" s="8" t="s">
        <v>118</v>
      </c>
      <c r="G131" s="9" t="n">
        <v>145</v>
      </c>
      <c r="H131" s="10" t="n">
        <v>46057</v>
      </c>
      <c r="I131" s="8" t="str">
        <f aca="false">A131&amp;"|"&amp;B131&amp;"|"&amp;C131&amp;"|"&amp;D131&amp;"|"&amp;E131&amp;"|"&amp;F131&amp;"|"&amp;G131&amp;"|"&amp;H131</f>
        <v>PT0136|Gopal Yadav|42|male| Asthma |salbutamol|145|46057</v>
      </c>
      <c r="J131" s="8" t="str">
        <f aca="false">IF(COUNTIF($I$2:I131,I131)&gt;1,"Duplicate","Unique")</f>
        <v>Unique</v>
      </c>
    </row>
    <row r="132" customFormat="false" ht="15" hidden="false" customHeight="false" outlineLevel="0" collapsed="false">
      <c r="A132" s="8" t="s">
        <v>409</v>
      </c>
      <c r="B132" s="8" t="s">
        <v>410</v>
      </c>
      <c r="C132" s="9" t="n">
        <v>9</v>
      </c>
      <c r="D132" s="8"/>
      <c r="E132" s="8" t="s">
        <v>171</v>
      </c>
      <c r="F132" s="8" t="s">
        <v>166</v>
      </c>
      <c r="G132" s="9" t="n">
        <v>65</v>
      </c>
      <c r="H132" s="10" t="n">
        <v>45597</v>
      </c>
      <c r="I132" s="8" t="str">
        <f aca="false">A132&amp;"|"&amp;B132&amp;"|"&amp;C132&amp;"|"&amp;D132&amp;"|"&amp;E132&amp;"|"&amp;F132&amp;"|"&amp;G132&amp;"|"&amp;H132</f>
        <v>PT0122|Puneet Tiwari|9||obesity|Orlistat|65|45597</v>
      </c>
      <c r="J132" s="8" t="str">
        <f aca="false">IF(COUNTIF($I$2:I132,I132)&gt;1,"Duplicate","Unique")</f>
        <v>Unique</v>
      </c>
    </row>
    <row r="133" customFormat="false" ht="15" hidden="false" customHeight="false" outlineLevel="0" collapsed="false">
      <c r="A133" s="8" t="s">
        <v>411</v>
      </c>
      <c r="B133" s="8" t="s">
        <v>412</v>
      </c>
      <c r="C133" s="9" t="n">
        <v>65</v>
      </c>
      <c r="D133" s="8" t="s">
        <v>113</v>
      </c>
      <c r="E133" s="8" t="s">
        <v>183</v>
      </c>
      <c r="F133" s="8" t="s">
        <v>413</v>
      </c>
      <c r="G133" s="9" t="n">
        <v>105</v>
      </c>
      <c r="H133" s="10" t="n">
        <v>45953</v>
      </c>
      <c r="I133" s="8" t="str">
        <f aca="false">A133&amp;"|"&amp;B133&amp;"|"&amp;C133&amp;"|"&amp;D133&amp;"|"&amp;E133&amp;"|"&amp;F133&amp;"|"&amp;G133&amp;"|"&amp;H133</f>
        <v>PT0171|Yogesh Yadav|65|male|Obesity  |Orlistat  |105|45953</v>
      </c>
      <c r="J133" s="8" t="str">
        <f aca="false">IF(COUNTIF($I$2:I133,I133)&gt;1,"Duplicate","Unique")</f>
        <v>Unique</v>
      </c>
    </row>
    <row r="134" customFormat="false" ht="15" hidden="false" customHeight="false" outlineLevel="0" collapsed="false">
      <c r="A134" s="8" t="s">
        <v>414</v>
      </c>
      <c r="B134" s="8" t="s">
        <v>415</v>
      </c>
      <c r="C134" s="9" t="n">
        <v>43</v>
      </c>
      <c r="D134" s="8" t="s">
        <v>113</v>
      </c>
      <c r="E134" s="8" t="s">
        <v>77</v>
      </c>
      <c r="F134" s="8" t="s">
        <v>149</v>
      </c>
      <c r="G134" s="9" t="n">
        <v>65</v>
      </c>
      <c r="H134" s="10" t="n">
        <v>45960</v>
      </c>
      <c r="I134" s="8" t="str">
        <f aca="false">A134&amp;"|"&amp;B134&amp;"|"&amp;C134&amp;"|"&amp;D134&amp;"|"&amp;E134&amp;"|"&amp;F134&amp;"|"&amp;G134&amp;"|"&amp;H134</f>
        <v>PT0138|Praveen Yadav|43|male| Depression | Sertraline |65|45960</v>
      </c>
      <c r="J134" s="8" t="str">
        <f aca="false">IF(COUNTIF($I$2:I134,I134)&gt;1,"Duplicate","Unique")</f>
        <v>Unique</v>
      </c>
    </row>
    <row r="135" customFormat="false" ht="15" hidden="false" customHeight="false" outlineLevel="0" collapsed="false">
      <c r="A135" s="8" t="s">
        <v>197</v>
      </c>
      <c r="B135" s="8" t="s">
        <v>198</v>
      </c>
      <c r="C135" s="9" t="n">
        <v>82</v>
      </c>
      <c r="D135" s="8" t="s">
        <v>121</v>
      </c>
      <c r="E135" s="8" t="s">
        <v>199</v>
      </c>
      <c r="F135" s="8" t="s">
        <v>200</v>
      </c>
      <c r="G135" s="9" t="n">
        <v>395</v>
      </c>
      <c r="H135" s="10" t="n">
        <v>45762</v>
      </c>
      <c r="I135" s="8" t="str">
        <f aca="false">A135&amp;"|"&amp;B135&amp;"|"&amp;C135&amp;"|"&amp;D135&amp;"|"&amp;E135&amp;"|"&amp;F135&amp;"|"&amp;G135&amp;"|"&amp;H135</f>
        <v>PT0167|Rekha Nair|82|FEMALE|Arthritis  |Ibuprofen  |395|45762</v>
      </c>
      <c r="J135" s="8" t="str">
        <f aca="false">IF(COUNTIF($I$2:I135,I135)&gt;1,"Duplicate","Unique")</f>
        <v>Duplicate</v>
      </c>
    </row>
    <row r="136" customFormat="false" ht="15" hidden="false" customHeight="false" outlineLevel="0" collapsed="false">
      <c r="A136" s="8" t="s">
        <v>416</v>
      </c>
      <c r="B136" s="8" t="s">
        <v>417</v>
      </c>
      <c r="C136" s="9" t="n">
        <v>40</v>
      </c>
      <c r="D136" s="8" t="s">
        <v>121</v>
      </c>
      <c r="E136" s="8" t="s">
        <v>210</v>
      </c>
      <c r="F136" s="8" t="s">
        <v>262</v>
      </c>
      <c r="G136" s="9" t="n">
        <v>10</v>
      </c>
      <c r="H136" s="10" t="n">
        <v>46158</v>
      </c>
      <c r="I136" s="8" t="str">
        <f aca="false">A136&amp;"|"&amp;B136&amp;"|"&amp;C136&amp;"|"&amp;D136&amp;"|"&amp;E136&amp;"|"&amp;F136&amp;"|"&amp;G136&amp;"|"&amp;H136</f>
        <v>PT0183|Kavita Nair|40|FEMALE|allergy|Cetirizine|10|46158</v>
      </c>
      <c r="J136" s="8" t="str">
        <f aca="false">IF(COUNTIF($I$2:I136,I136)&gt;1,"Duplicate","Unique")</f>
        <v>Unique</v>
      </c>
    </row>
    <row r="137" customFormat="false" ht="15" hidden="false" customHeight="false" outlineLevel="0" collapsed="false">
      <c r="A137" s="8" t="s">
        <v>418</v>
      </c>
      <c r="B137" s="8" t="s">
        <v>419</v>
      </c>
      <c r="C137" s="9" t="n">
        <v>48</v>
      </c>
      <c r="D137" s="8" t="s">
        <v>76</v>
      </c>
      <c r="E137" s="8" t="s">
        <v>420</v>
      </c>
      <c r="F137" s="8" t="s">
        <v>268</v>
      </c>
      <c r="G137" s="9" t="n">
        <v>400</v>
      </c>
      <c r="H137" s="10" t="n">
        <v>45784</v>
      </c>
      <c r="I137" s="8" t="str">
        <f aca="false">A137&amp;"|"&amp;B137&amp;"|"&amp;C137&amp;"|"&amp;D137&amp;"|"&amp;E137&amp;"|"&amp;F137&amp;"|"&amp;G137&amp;"|"&amp;H137</f>
        <v>PT0094|Sanjay Gupta|48| Male| Arthritis |IBUPROFEN|400|45784</v>
      </c>
      <c r="J137" s="8" t="str">
        <f aca="false">IF(COUNTIF($I$2:I137,I137)&gt;1,"Duplicate","Unique")</f>
        <v>Unique</v>
      </c>
    </row>
    <row r="138" customFormat="false" ht="15" hidden="false" customHeight="false" outlineLevel="0" collapsed="false">
      <c r="A138" s="8" t="s">
        <v>79</v>
      </c>
      <c r="B138" s="8" t="s">
        <v>80</v>
      </c>
      <c r="C138" s="9" t="n">
        <v>58</v>
      </c>
      <c r="D138" s="8" t="s">
        <v>81</v>
      </c>
      <c r="E138" s="8" t="s">
        <v>82</v>
      </c>
      <c r="F138" s="8"/>
      <c r="G138" s="9" t="n">
        <v>765</v>
      </c>
      <c r="H138" s="10" t="n">
        <v>45794</v>
      </c>
      <c r="I138" s="8" t="str">
        <f aca="false">A138&amp;"|"&amp;B138&amp;"|"&amp;C138&amp;"|"&amp;D138&amp;"|"&amp;E138&amp;"|"&amp;F138&amp;"|"&amp;G138&amp;"|"&amp;H138</f>
        <v>PT0088|Payal Shukla|58|female|Diabetes  ||765|45794</v>
      </c>
      <c r="J138" s="8" t="str">
        <f aca="false">IF(COUNTIF($I$2:I138,I138)&gt;1,"Duplicate","Unique")</f>
        <v>Duplicate</v>
      </c>
    </row>
    <row r="139" customFormat="false" ht="15" hidden="false" customHeight="false" outlineLevel="0" collapsed="false">
      <c r="A139" s="8" t="s">
        <v>403</v>
      </c>
      <c r="B139" s="8" t="s">
        <v>124</v>
      </c>
      <c r="C139" s="9" t="n">
        <v>22</v>
      </c>
      <c r="D139" s="8" t="s">
        <v>81</v>
      </c>
      <c r="E139" s="8" t="s">
        <v>138</v>
      </c>
      <c r="F139" s="8" t="s">
        <v>139</v>
      </c>
      <c r="G139" s="9" t="n">
        <v>55</v>
      </c>
      <c r="H139" s="10" t="n">
        <v>46176</v>
      </c>
      <c r="I139" s="8" t="str">
        <f aca="false">A139&amp;"|"&amp;B139&amp;"|"&amp;C139&amp;"|"&amp;D139&amp;"|"&amp;E139&amp;"|"&amp;F139&amp;"|"&amp;G139&amp;"|"&amp;H139</f>
        <v>PT0117|Usha Verma|22|female|THYROID DISORDER| Levothyroxine |55|46176</v>
      </c>
      <c r="J139" s="8" t="str">
        <f aca="false">IF(COUNTIF($I$2:I139,I139)&gt;1,"Duplicate","Unique")</f>
        <v>Duplicate</v>
      </c>
    </row>
    <row r="140" customFormat="false" ht="15" hidden="false" customHeight="false" outlineLevel="0" collapsed="false">
      <c r="A140" s="8" t="s">
        <v>421</v>
      </c>
      <c r="B140" s="8" t="s">
        <v>422</v>
      </c>
      <c r="C140" s="9" t="n">
        <v>55</v>
      </c>
      <c r="D140" s="8" t="s">
        <v>104</v>
      </c>
      <c r="E140" s="8" t="s">
        <v>91</v>
      </c>
      <c r="F140" s="8" t="s">
        <v>236</v>
      </c>
      <c r="G140" s="9" t="n">
        <v>565</v>
      </c>
      <c r="H140" s="10" t="n">
        <v>45898</v>
      </c>
      <c r="I140" s="8" t="str">
        <f aca="false">A140&amp;"|"&amp;B140&amp;"|"&amp;C140&amp;"|"&amp;D140&amp;"|"&amp;E140&amp;"|"&amp;F140&amp;"|"&amp;G140&amp;"|"&amp;H140</f>
        <v>PT0053|Shweta Verma|55| Female| Diabetes |METFORMIN|565|45898</v>
      </c>
      <c r="J140" s="8" t="str">
        <f aca="false">IF(COUNTIF($I$2:I140,I140)&gt;1,"Duplicate","Unique")</f>
        <v>Unique</v>
      </c>
    </row>
    <row r="141" customFormat="false" ht="15" hidden="false" customHeight="false" outlineLevel="0" collapsed="false">
      <c r="A141" s="8" t="s">
        <v>423</v>
      </c>
      <c r="B141" s="8" t="s">
        <v>424</v>
      </c>
      <c r="C141" s="9" t="n">
        <v>24</v>
      </c>
      <c r="D141" s="8" t="s">
        <v>90</v>
      </c>
      <c r="E141" s="8" t="s">
        <v>328</v>
      </c>
      <c r="F141" s="8" t="s">
        <v>221</v>
      </c>
      <c r="G141" s="9" t="n">
        <v>580</v>
      </c>
      <c r="H141" s="10" t="n">
        <v>45537</v>
      </c>
      <c r="I141" s="8" t="str">
        <f aca="false">A141&amp;"|"&amp;B141&amp;"|"&amp;C141&amp;"|"&amp;D141&amp;"|"&amp;E141&amp;"|"&amp;F141&amp;"|"&amp;G141&amp;"|"&amp;H141</f>
        <v>PT0131|Anjali Tiwari|24|Female|Flu  |paracetamol|580|45537</v>
      </c>
      <c r="J141" s="8" t="str">
        <f aca="false">IF(COUNTIF($I$2:I141,I141)&gt;1,"Duplicate","Unique")</f>
        <v>Unique</v>
      </c>
    </row>
    <row r="142" customFormat="false" ht="15" hidden="false" customHeight="false" outlineLevel="0" collapsed="false">
      <c r="A142" s="8" t="s">
        <v>425</v>
      </c>
      <c r="B142" s="8" t="s">
        <v>426</v>
      </c>
      <c r="C142" s="9" t="n">
        <v>27</v>
      </c>
      <c r="D142" s="8" t="s">
        <v>76</v>
      </c>
      <c r="E142" s="8" t="s">
        <v>427</v>
      </c>
      <c r="F142" s="8" t="s">
        <v>277</v>
      </c>
      <c r="G142" s="9" t="n">
        <v>135</v>
      </c>
      <c r="H142" s="10" t="n">
        <v>45817</v>
      </c>
      <c r="I142" s="8" t="str">
        <f aca="false">A142&amp;"|"&amp;B142&amp;"|"&amp;C142&amp;"|"&amp;D142&amp;"|"&amp;E142&amp;"|"&amp;F142&amp;"|"&amp;G142&amp;"|"&amp;H142</f>
        <v>PT0078|Manoj Reddy|27| Male|Asthma|Salbutamol|135|45817</v>
      </c>
      <c r="J142" s="8" t="str">
        <f aca="false">IF(COUNTIF($I$2:I142,I142)&gt;1,"Duplicate","Unique")</f>
        <v>Unique</v>
      </c>
    </row>
    <row r="143" customFormat="false" ht="15" hidden="false" customHeight="false" outlineLevel="0" collapsed="false">
      <c r="A143" s="8" t="s">
        <v>428</v>
      </c>
      <c r="B143" s="8" t="s">
        <v>429</v>
      </c>
      <c r="C143" s="9" t="n">
        <v>0</v>
      </c>
      <c r="D143" s="8" t="s">
        <v>190</v>
      </c>
      <c r="E143" s="8" t="s">
        <v>254</v>
      </c>
      <c r="F143" s="8" t="s">
        <v>430</v>
      </c>
      <c r="G143" s="9" t="n">
        <v>1560</v>
      </c>
      <c r="H143" s="10" t="n">
        <v>45664</v>
      </c>
      <c r="I143" s="8" t="str">
        <f aca="false">A143&amp;"|"&amp;B143&amp;"|"&amp;C143&amp;"|"&amp;D143&amp;"|"&amp;E143&amp;"|"&amp;F143&amp;"|"&amp;G143&amp;"|"&amp;H143</f>
        <v>PT0024|Nitin Gupta|0|Male |COVID-19|FAVIPIRAVIR|1560|45664</v>
      </c>
      <c r="J143" s="8" t="str">
        <f aca="false">IF(COUNTIF($I$2:I143,I143)&gt;1,"Duplicate","Unique")</f>
        <v>Unique</v>
      </c>
    </row>
    <row r="144" customFormat="false" ht="15" hidden="false" customHeight="false" outlineLevel="0" collapsed="false">
      <c r="A144" s="8" t="s">
        <v>33</v>
      </c>
      <c r="B144" s="8" t="s">
        <v>431</v>
      </c>
      <c r="C144" s="9" t="n">
        <v>45</v>
      </c>
      <c r="D144" s="8" t="s">
        <v>190</v>
      </c>
      <c r="E144" s="8" t="s">
        <v>96</v>
      </c>
      <c r="F144" s="8" t="s">
        <v>110</v>
      </c>
      <c r="G144" s="9" t="n">
        <v>5</v>
      </c>
      <c r="H144" s="10" t="n">
        <v>46140</v>
      </c>
      <c r="I144" s="8" t="str">
        <f aca="false">A144&amp;"|"&amp;B144&amp;"|"&amp;C144&amp;"|"&amp;D144&amp;"|"&amp;E144&amp;"|"&amp;F144&amp;"|"&amp;G144&amp;"|"&amp;H144</f>
        <v>PT0001|Rahul Tiwari|45|Male |HYPERTENSION| Amlodipine |5|46140</v>
      </c>
      <c r="J144" s="8" t="str">
        <f aca="false">IF(COUNTIF($I$2:I144,I144)&gt;1,"Duplicate","Unique")</f>
        <v>Unique</v>
      </c>
    </row>
    <row r="145" customFormat="false" ht="15" hidden="false" customHeight="false" outlineLevel="0" collapsed="false">
      <c r="A145" s="8" t="s">
        <v>432</v>
      </c>
      <c r="B145" s="8" t="s">
        <v>433</v>
      </c>
      <c r="C145" s="9" t="n">
        <v>69</v>
      </c>
      <c r="D145" s="8" t="s">
        <v>109</v>
      </c>
      <c r="E145" s="8"/>
      <c r="F145" s="8" t="s">
        <v>200</v>
      </c>
      <c r="G145" s="9" t="n">
        <v>400</v>
      </c>
      <c r="H145" s="10" t="n">
        <v>45916</v>
      </c>
      <c r="I145" s="8" t="str">
        <f aca="false">A145&amp;"|"&amp;B145&amp;"|"&amp;C145&amp;"|"&amp;D145&amp;"|"&amp;E145&amp;"|"&amp;F145&amp;"|"&amp;G145&amp;"|"&amp;H145</f>
        <v>PT0166|Vandana Tiwari|69|f||Ibuprofen  |400|45916</v>
      </c>
      <c r="J145" s="8" t="str">
        <f aca="false">IF(COUNTIF($I$2:I145,I145)&gt;1,"Duplicate","Unique")</f>
        <v>Unique</v>
      </c>
    </row>
    <row r="146" customFormat="false" ht="15" hidden="false" customHeight="false" outlineLevel="0" collapsed="false">
      <c r="A146" s="8" t="s">
        <v>434</v>
      </c>
      <c r="B146" s="8" t="s">
        <v>304</v>
      </c>
      <c r="C146" s="9" t="n">
        <v>21</v>
      </c>
      <c r="D146" s="8" t="s">
        <v>190</v>
      </c>
      <c r="E146" s="8" t="s">
        <v>49</v>
      </c>
      <c r="F146" s="8" t="s">
        <v>193</v>
      </c>
      <c r="G146" s="9" t="n">
        <v>5</v>
      </c>
      <c r="H146" s="10" t="n">
        <v>46206</v>
      </c>
      <c r="I146" s="8" t="str">
        <f aca="false">A146&amp;"|"&amp;B146&amp;"|"&amp;C146&amp;"|"&amp;D146&amp;"|"&amp;E146&amp;"|"&amp;F146&amp;"|"&amp;G146&amp;"|"&amp;H146</f>
        <v>PT0185|Praveen Agarwal|21|Male |Hypertension|Amlodipine  |5|46206</v>
      </c>
      <c r="J146" s="8" t="str">
        <f aca="false">IF(COUNTIF($I$2:I146,I146)&gt;1,"Duplicate","Unique")</f>
        <v>Unique</v>
      </c>
    </row>
    <row r="147" customFormat="false" ht="15" hidden="false" customHeight="false" outlineLevel="0" collapsed="false">
      <c r="A147" s="8" t="s">
        <v>435</v>
      </c>
      <c r="B147" s="8" t="s">
        <v>436</v>
      </c>
      <c r="C147" s="9" t="n">
        <v>59</v>
      </c>
      <c r="D147" s="8" t="s">
        <v>113</v>
      </c>
      <c r="E147" s="8" t="s">
        <v>96</v>
      </c>
      <c r="F147" s="8" t="s">
        <v>193</v>
      </c>
      <c r="G147" s="9" t="n">
        <v>10</v>
      </c>
      <c r="H147" s="10" t="n">
        <v>45812</v>
      </c>
      <c r="I147" s="8" t="str">
        <f aca="false">A147&amp;"|"&amp;B147&amp;"|"&amp;C147&amp;"|"&amp;D147&amp;"|"&amp;E147&amp;"|"&amp;F147&amp;"|"&amp;G147&amp;"|"&amp;H147</f>
        <v>PT0010|Ashok Mishra|59|male|HYPERTENSION|Amlodipine  |10|45812</v>
      </c>
      <c r="J147" s="8" t="str">
        <f aca="false">IF(COUNTIF($I$2:I147,I147)&gt;1,"Duplicate","Unique")</f>
        <v>Unique</v>
      </c>
    </row>
    <row r="148" customFormat="false" ht="15" hidden="false" customHeight="false" outlineLevel="0" collapsed="false">
      <c r="A148" s="8" t="s">
        <v>437</v>
      </c>
      <c r="B148" s="8" t="s">
        <v>438</v>
      </c>
      <c r="C148" s="9"/>
      <c r="D148" s="8" t="s">
        <v>81</v>
      </c>
      <c r="E148" s="8" t="s">
        <v>439</v>
      </c>
      <c r="F148" s="8" t="s">
        <v>440</v>
      </c>
      <c r="G148" s="9" t="n">
        <v>120</v>
      </c>
      <c r="H148" s="10" t="n">
        <v>46175</v>
      </c>
      <c r="I148" s="8" t="str">
        <f aca="false">A148&amp;"|"&amp;B148&amp;"|"&amp;C148&amp;"|"&amp;D148&amp;"|"&amp;E148&amp;"|"&amp;F148&amp;"|"&amp;G148&amp;"|"&amp;H148</f>
        <v>PT0230|Neha Kumar||female| Obesity |ORLISTAT|120|46175</v>
      </c>
      <c r="J148" s="8" t="str">
        <f aca="false">IF(COUNTIF($I$2:I148,I148)&gt;1,"Duplicate","Unique")</f>
        <v>Unique</v>
      </c>
    </row>
    <row r="149" customFormat="false" ht="15" hidden="false" customHeight="false" outlineLevel="0" collapsed="false">
      <c r="A149" s="8" t="s">
        <v>441</v>
      </c>
      <c r="B149" s="8" t="s">
        <v>442</v>
      </c>
      <c r="C149" s="9"/>
      <c r="D149" s="8" t="s">
        <v>46</v>
      </c>
      <c r="E149" s="8" t="s">
        <v>399</v>
      </c>
      <c r="F149" s="8" t="s">
        <v>352</v>
      </c>
      <c r="G149" s="9" t="n">
        <v>145</v>
      </c>
      <c r="H149" s="10" t="n">
        <v>45882</v>
      </c>
      <c r="I149" s="8" t="str">
        <f aca="false">A149&amp;"|"&amp;B149&amp;"|"&amp;C149&amp;"|"&amp;D149&amp;"|"&amp;E149&amp;"|"&amp;F149&amp;"|"&amp;G149&amp;"|"&amp;H149</f>
        <v>PT0163|Manoj Kumar||Male|Asthma  |Salbutamol  |145|45882</v>
      </c>
      <c r="J149" s="8" t="str">
        <f aca="false">IF(COUNTIF($I$2:I149,I149)&gt;1,"Duplicate","Unique")</f>
        <v>Unique</v>
      </c>
    </row>
    <row r="150" customFormat="false" ht="15" hidden="false" customHeight="false" outlineLevel="0" collapsed="false">
      <c r="A150" s="8" t="s">
        <v>443</v>
      </c>
      <c r="B150" s="8" t="s">
        <v>444</v>
      </c>
      <c r="C150" s="9" t="n">
        <v>33</v>
      </c>
      <c r="D150" s="8"/>
      <c r="E150" s="8" t="s">
        <v>162</v>
      </c>
      <c r="F150" s="8" t="s">
        <v>193</v>
      </c>
      <c r="G150" s="9" t="n">
        <v>10</v>
      </c>
      <c r="H150" s="10" t="n">
        <v>46172</v>
      </c>
      <c r="I150" s="8" t="str">
        <f aca="false">A150&amp;"|"&amp;B150&amp;"|"&amp;C150&amp;"|"&amp;D150&amp;"|"&amp;E150&amp;"|"&amp;F150&amp;"|"&amp;G150&amp;"|"&amp;H150</f>
        <v>PT0043|Ajay Joshi|33||Hypertension  |Amlodipine  |10|46172</v>
      </c>
      <c r="J150" s="8" t="str">
        <f aca="false">IF(COUNTIF($I$2:I150,I150)&gt;1,"Duplicate","Unique")</f>
        <v>Unique</v>
      </c>
    </row>
    <row r="151" customFormat="false" ht="15" hidden="false" customHeight="false" outlineLevel="0" collapsed="false">
      <c r="A151" s="8" t="s">
        <v>445</v>
      </c>
      <c r="B151" s="8" t="s">
        <v>368</v>
      </c>
      <c r="C151" s="9" t="n">
        <v>59</v>
      </c>
      <c r="D151" s="8" t="s">
        <v>81</v>
      </c>
      <c r="E151" s="8" t="s">
        <v>183</v>
      </c>
      <c r="F151" s="8" t="s">
        <v>440</v>
      </c>
      <c r="G151" s="9" t="n">
        <v>115</v>
      </c>
      <c r="H151" s="10" t="n">
        <v>46006</v>
      </c>
      <c r="I151" s="8" t="str">
        <f aca="false">A151&amp;"|"&amp;B151&amp;"|"&amp;C151&amp;"|"&amp;D151&amp;"|"&amp;E151&amp;"|"&amp;F151&amp;"|"&amp;G151&amp;"|"&amp;H151</f>
        <v>PT0005|Kavita Rathore|59|female|Obesity  |ORLISTAT|115|46006</v>
      </c>
      <c r="J151" s="8" t="str">
        <f aca="false">IF(COUNTIF($I$2:I151,I151)&gt;1,"Duplicate","Unique")</f>
        <v>Unique</v>
      </c>
    </row>
    <row r="152" customFormat="false" ht="15" hidden="false" customHeight="false" outlineLevel="0" collapsed="false">
      <c r="A152" s="8" t="s">
        <v>446</v>
      </c>
      <c r="B152" s="8" t="s">
        <v>242</v>
      </c>
      <c r="C152" s="9" t="n">
        <v>31</v>
      </c>
      <c r="D152" s="8" t="s">
        <v>95</v>
      </c>
      <c r="E152" s="8" t="s">
        <v>258</v>
      </c>
      <c r="F152" s="8" t="s">
        <v>355</v>
      </c>
      <c r="G152" s="9" t="n">
        <v>270</v>
      </c>
      <c r="H152" s="10" t="n">
        <v>45845</v>
      </c>
      <c r="I152" s="8" t="str">
        <f aca="false">A152&amp;"|"&amp;B152&amp;"|"&amp;C152&amp;"|"&amp;D152&amp;"|"&amp;E152&amp;"|"&amp;F152&amp;"|"&amp;G152&amp;"|"&amp;H152</f>
        <v>PT0155|Shweta Choudhary|31|F|ANEMIA|FERROUS SULFATE|270|45845</v>
      </c>
      <c r="J152" s="8" t="str">
        <f aca="false">IF(COUNTIF($I$2:I152,I152)&gt;1,"Duplicate","Unique")</f>
        <v>Unique</v>
      </c>
    </row>
    <row r="153" customFormat="false" ht="15" hidden="false" customHeight="false" outlineLevel="0" collapsed="false">
      <c r="A153" s="8" t="s">
        <v>447</v>
      </c>
      <c r="B153" s="8" t="s">
        <v>448</v>
      </c>
      <c r="C153" s="9" t="n">
        <v>61</v>
      </c>
      <c r="D153" s="8" t="s">
        <v>67</v>
      </c>
      <c r="E153" s="8" t="s">
        <v>298</v>
      </c>
      <c r="F153" s="8"/>
      <c r="G153" s="9" t="n">
        <v>570</v>
      </c>
      <c r="H153" s="10" t="n">
        <v>45591</v>
      </c>
      <c r="I153" s="8" t="str">
        <f aca="false">A153&amp;"|"&amp;B153&amp;"|"&amp;C153&amp;"|"&amp;D153&amp;"|"&amp;E153&amp;"|"&amp;F153&amp;"|"&amp;G153&amp;"|"&amp;H153</f>
        <v>PT0031|Sanjay Singh|61|M|Flu||570|45591</v>
      </c>
      <c r="J153" s="8" t="str">
        <f aca="false">IF(COUNTIF($I$2:I153,I153)&gt;1,"Duplicate","Unique")</f>
        <v>Unique</v>
      </c>
    </row>
    <row r="154" customFormat="false" ht="15" hidden="false" customHeight="false" outlineLevel="0" collapsed="false">
      <c r="A154" s="8" t="s">
        <v>391</v>
      </c>
      <c r="B154" s="8" t="s">
        <v>392</v>
      </c>
      <c r="C154" s="9" t="n">
        <v>60</v>
      </c>
      <c r="D154" s="8" t="s">
        <v>85</v>
      </c>
      <c r="E154" s="8" t="s">
        <v>393</v>
      </c>
      <c r="F154" s="8" t="s">
        <v>394</v>
      </c>
      <c r="G154" s="9" t="n">
        <v>75</v>
      </c>
      <c r="H154" s="10" t="n">
        <v>46033</v>
      </c>
      <c r="I154" s="8" t="str">
        <f aca="false">A154&amp;"|"&amp;B154&amp;"|"&amp;C154&amp;"|"&amp;D154&amp;"|"&amp;E154&amp;"|"&amp;F154&amp;"|"&amp;G154&amp;"|"&amp;H154</f>
        <v>PT0227|Praveen Rathore|60|MALE|thyroid disorder|Levothyroxine|75|46033</v>
      </c>
      <c r="J154" s="8" t="str">
        <f aca="false">IF(COUNTIF($I$2:I154,I154)&gt;1,"Duplicate","Unique")</f>
        <v>Duplicate</v>
      </c>
    </row>
    <row r="155" customFormat="false" ht="15" hidden="false" customHeight="false" outlineLevel="0" collapsed="false">
      <c r="A155" s="8" t="s">
        <v>449</v>
      </c>
      <c r="B155" s="8" t="s">
        <v>450</v>
      </c>
      <c r="C155" s="9" t="n">
        <v>26</v>
      </c>
      <c r="D155" s="8"/>
      <c r="E155" s="8" t="s">
        <v>239</v>
      </c>
      <c r="F155" s="8" t="s">
        <v>157</v>
      </c>
      <c r="G155" s="9" t="n">
        <v>75</v>
      </c>
      <c r="H155" s="10" t="n">
        <v>45926</v>
      </c>
      <c r="I155" s="8" t="str">
        <f aca="false">A155&amp;"|"&amp;B155&amp;"|"&amp;C155&amp;"|"&amp;D155&amp;"|"&amp;E155&amp;"|"&amp;F155&amp;"|"&amp;G155&amp;"|"&amp;H155</f>
        <v>PT0184|Pooja Tiwari|26||Migraine  |sumatriptan|75|45926</v>
      </c>
      <c r="J155" s="8" t="str">
        <f aca="false">IF(COUNTIF($I$2:I155,I155)&gt;1,"Duplicate","Unique")</f>
        <v>Unique</v>
      </c>
    </row>
    <row r="156" customFormat="false" ht="15" hidden="false" customHeight="false" outlineLevel="0" collapsed="false">
      <c r="A156" s="8" t="s">
        <v>451</v>
      </c>
      <c r="B156" s="8" t="s">
        <v>452</v>
      </c>
      <c r="C156" s="9" t="n">
        <v>34</v>
      </c>
      <c r="D156" s="8" t="s">
        <v>104</v>
      </c>
      <c r="E156" s="8" t="s">
        <v>239</v>
      </c>
      <c r="F156" s="8" t="s">
        <v>135</v>
      </c>
      <c r="G156" s="9" t="n">
        <v>100</v>
      </c>
      <c r="H156" s="10" t="n">
        <v>45629</v>
      </c>
      <c r="I156" s="8" t="str">
        <f aca="false">A156&amp;"|"&amp;B156&amp;"|"&amp;C156&amp;"|"&amp;D156&amp;"|"&amp;E156&amp;"|"&amp;F156&amp;"|"&amp;G156&amp;"|"&amp;H156</f>
        <v>PT0128|Manju Pandey|34| Female|Migraine  |Sumatriptan  |100|45629</v>
      </c>
      <c r="J156" s="8" t="str">
        <f aca="false">IF(COUNTIF($I$2:I156,I156)&gt;1,"Duplicate","Unique")</f>
        <v>Unique</v>
      </c>
    </row>
    <row r="157" customFormat="false" ht="15" hidden="false" customHeight="false" outlineLevel="0" collapsed="false">
      <c r="A157" s="8" t="s">
        <v>453</v>
      </c>
      <c r="B157" s="8" t="s">
        <v>454</v>
      </c>
      <c r="C157" s="9" t="n">
        <v>46</v>
      </c>
      <c r="D157" s="8" t="s">
        <v>85</v>
      </c>
      <c r="E157" s="8" t="s">
        <v>68</v>
      </c>
      <c r="F157" s="8" t="s">
        <v>317</v>
      </c>
      <c r="G157" s="9"/>
      <c r="H157" s="10" t="n">
        <v>45623</v>
      </c>
      <c r="I157" s="8" t="str">
        <f aca="false">A157&amp;"|"&amp;B157&amp;"|"&amp;C157&amp;"|"&amp;D157&amp;"|"&amp;E157&amp;"|"&amp;F157&amp;"|"&amp;G157&amp;"|"&amp;H157</f>
        <v>PT0023|Nitin Agarwal|46|MALE|Arthritis|ibuprofen||45623</v>
      </c>
      <c r="J157" s="8" t="str">
        <f aca="false">IF(COUNTIF($I$2:I157,I157)&gt;1,"Duplicate","Unique")</f>
        <v>Unique</v>
      </c>
    </row>
    <row r="158" customFormat="false" ht="15" hidden="false" customHeight="false" outlineLevel="0" collapsed="false">
      <c r="A158" s="8" t="s">
        <v>455</v>
      </c>
      <c r="B158" s="8" t="s">
        <v>456</v>
      </c>
      <c r="C158" s="9" t="n">
        <v>47</v>
      </c>
      <c r="D158" s="8"/>
      <c r="E158" s="8" t="s">
        <v>178</v>
      </c>
      <c r="F158" s="8" t="s">
        <v>312</v>
      </c>
      <c r="G158" s="9" t="n">
        <v>320</v>
      </c>
      <c r="H158" s="10" t="n">
        <v>46071</v>
      </c>
      <c r="I158" s="8" t="str">
        <f aca="false">A158&amp;"|"&amp;B158&amp;"|"&amp;C158&amp;"|"&amp;D158&amp;"|"&amp;E158&amp;"|"&amp;F158&amp;"|"&amp;G158&amp;"|"&amp;H158</f>
        <v>PT0115|Suresh Rao|47||Bronchitis  |azithromycin|320|46071</v>
      </c>
      <c r="J158" s="8" t="str">
        <f aca="false">IF(COUNTIF($I$2:I158,I158)&gt;1,"Duplicate","Unique")</f>
        <v>Unique</v>
      </c>
    </row>
    <row r="159" customFormat="false" ht="15" hidden="false" customHeight="false" outlineLevel="0" collapsed="false">
      <c r="A159" s="8" t="s">
        <v>457</v>
      </c>
      <c r="B159" s="8" t="s">
        <v>458</v>
      </c>
      <c r="C159" s="9" t="n">
        <v>66</v>
      </c>
      <c r="D159" s="8" t="s">
        <v>46</v>
      </c>
      <c r="E159" s="8" t="s">
        <v>459</v>
      </c>
      <c r="F159" s="8" t="s">
        <v>149</v>
      </c>
      <c r="G159" s="9" t="n">
        <v>85</v>
      </c>
      <c r="H159" s="10" t="n">
        <v>45860</v>
      </c>
      <c r="I159" s="8" t="str">
        <f aca="false">A159&amp;"|"&amp;B159&amp;"|"&amp;C159&amp;"|"&amp;D159&amp;"|"&amp;E159&amp;"|"&amp;F159&amp;"|"&amp;G159&amp;"|"&amp;H159</f>
        <v>PT0147|Arjun Gupta|66|Male|depression| Sertraline |85|45860</v>
      </c>
      <c r="J159" s="8" t="str">
        <f aca="false">IF(COUNTIF($I$2:I159,I159)&gt;1,"Duplicate","Unique")</f>
        <v>Unique</v>
      </c>
    </row>
    <row r="160" customFormat="false" ht="15" hidden="false" customHeight="false" outlineLevel="0" collapsed="false">
      <c r="A160" s="8" t="s">
        <v>460</v>
      </c>
      <c r="B160" s="8" t="s">
        <v>377</v>
      </c>
      <c r="C160" s="9" t="n">
        <v>38</v>
      </c>
      <c r="D160" s="8" t="s">
        <v>104</v>
      </c>
      <c r="E160" s="8" t="s">
        <v>49</v>
      </c>
      <c r="F160" s="8" t="s">
        <v>110</v>
      </c>
      <c r="G160" s="9" t="n">
        <v>10</v>
      </c>
      <c r="H160" s="10" t="n">
        <v>45623</v>
      </c>
      <c r="I160" s="8" t="str">
        <f aca="false">A160&amp;"|"&amp;B160&amp;"|"&amp;C160&amp;"|"&amp;D160&amp;"|"&amp;E160&amp;"|"&amp;F160&amp;"|"&amp;G160&amp;"|"&amp;H160</f>
        <v>PT0114|Lata Verma|38| Female|Hypertension| Amlodipine |10|45623</v>
      </c>
      <c r="J160" s="8" t="str">
        <f aca="false">IF(COUNTIF($I$2:I160,I160)&gt;1,"Duplicate","Unique")</f>
        <v>Unique</v>
      </c>
    </row>
    <row r="161" customFormat="false" ht="15" hidden="false" customHeight="false" outlineLevel="0" collapsed="false">
      <c r="A161" s="8" t="s">
        <v>461</v>
      </c>
      <c r="B161" s="8" t="s">
        <v>462</v>
      </c>
      <c r="C161" s="9" t="n">
        <v>26</v>
      </c>
      <c r="D161" s="8" t="s">
        <v>109</v>
      </c>
      <c r="E161" s="8" t="s">
        <v>49</v>
      </c>
      <c r="F161" s="8" t="s">
        <v>52</v>
      </c>
      <c r="G161" s="9" t="n">
        <v>5</v>
      </c>
      <c r="H161" s="10" t="n">
        <v>46101</v>
      </c>
      <c r="I161" s="8" t="str">
        <f aca="false">A161&amp;"|"&amp;B161&amp;"|"&amp;C161&amp;"|"&amp;D161&amp;"|"&amp;E161&amp;"|"&amp;F161&amp;"|"&amp;G161&amp;"|"&amp;H161</f>
        <v>PT0118|Radha Gupta|26|f|Hypertension|Amlodipine|5|46101</v>
      </c>
      <c r="J161" s="8" t="str">
        <f aca="false">IF(COUNTIF($I$2:I161,I161)&gt;1,"Duplicate","Unique")</f>
        <v>Unique</v>
      </c>
    </row>
    <row r="162" customFormat="false" ht="15" hidden="false" customHeight="false" outlineLevel="0" collapsed="false">
      <c r="A162" s="8" t="s">
        <v>463</v>
      </c>
      <c r="B162" s="8" t="s">
        <v>464</v>
      </c>
      <c r="C162" s="9" t="n">
        <v>37</v>
      </c>
      <c r="D162" s="8" t="s">
        <v>81</v>
      </c>
      <c r="E162" s="8" t="s">
        <v>366</v>
      </c>
      <c r="F162" s="8" t="s">
        <v>115</v>
      </c>
      <c r="G162" s="9" t="n">
        <v>420</v>
      </c>
      <c r="H162" s="10" t="n">
        <v>46079</v>
      </c>
      <c r="I162" s="8" t="str">
        <f aca="false">A162&amp;"|"&amp;B162&amp;"|"&amp;C162&amp;"|"&amp;D162&amp;"|"&amp;E162&amp;"|"&amp;F162&amp;"|"&amp;G162&amp;"|"&amp;H162</f>
        <v>PT0021|Lata Reddy|37|female| Bronchitis |Azithromycin|420|46079</v>
      </c>
      <c r="J162" s="8" t="str">
        <f aca="false">IF(COUNTIF($I$2:I162,I162)&gt;1,"Duplicate","Unique")</f>
        <v>Unique</v>
      </c>
    </row>
    <row r="163" customFormat="false" ht="15" hidden="false" customHeight="false" outlineLevel="0" collapsed="false">
      <c r="A163" s="8" t="s">
        <v>465</v>
      </c>
      <c r="B163" s="8" t="s">
        <v>466</v>
      </c>
      <c r="C163" s="9" t="n">
        <v>60</v>
      </c>
      <c r="D163" s="8" t="s">
        <v>121</v>
      </c>
      <c r="E163" s="8" t="s">
        <v>250</v>
      </c>
      <c r="F163" s="8" t="s">
        <v>154</v>
      </c>
      <c r="G163" s="9" t="n">
        <v>250</v>
      </c>
      <c r="H163" s="10" t="n">
        <v>45982</v>
      </c>
      <c r="I163" s="8" t="str">
        <f aca="false">A163&amp;"|"&amp;B163&amp;"|"&amp;C163&amp;"|"&amp;D163&amp;"|"&amp;E163&amp;"|"&amp;F163&amp;"|"&amp;G163&amp;"|"&amp;H163</f>
        <v>PT0061|Geeta Verma|60|FEMALE|anemia|Ferrous Sulfate|250|45982</v>
      </c>
      <c r="J163" s="8" t="str">
        <f aca="false">IF(COUNTIF($I$2:I163,I163)&gt;1,"Duplicate","Unique")</f>
        <v>Unique</v>
      </c>
    </row>
    <row r="164" customFormat="false" ht="15" hidden="false" customHeight="false" outlineLevel="0" collapsed="false">
      <c r="A164" s="8" t="s">
        <v>467</v>
      </c>
      <c r="B164" s="8" t="s">
        <v>276</v>
      </c>
      <c r="C164" s="9" t="n">
        <v>44</v>
      </c>
      <c r="D164" s="8" t="s">
        <v>113</v>
      </c>
      <c r="E164" s="8" t="s">
        <v>468</v>
      </c>
      <c r="F164" s="8" t="s">
        <v>469</v>
      </c>
      <c r="G164" s="9" t="n">
        <v>100</v>
      </c>
      <c r="H164" s="10" t="n">
        <v>45994</v>
      </c>
      <c r="I164" s="8" t="str">
        <f aca="false">A164&amp;"|"&amp;B164&amp;"|"&amp;C164&amp;"|"&amp;D164&amp;"|"&amp;E164&amp;"|"&amp;F164&amp;"|"&amp;G164&amp;"|"&amp;H164</f>
        <v>PT0104|Deepak Nair|44|male|Migraine|SUMATRIPTAN|100|45994</v>
      </c>
      <c r="J164" s="8" t="str">
        <f aca="false">IF(COUNTIF($I$2:I164,I164)&gt;1,"Duplicate","Unique")</f>
        <v>Unique</v>
      </c>
    </row>
    <row r="165" customFormat="false" ht="15" hidden="false" customHeight="false" outlineLevel="0" collapsed="false">
      <c r="A165" s="8" t="s">
        <v>470</v>
      </c>
      <c r="B165" s="8" t="s">
        <v>471</v>
      </c>
      <c r="C165" s="9" t="n">
        <v>81</v>
      </c>
      <c r="D165" s="8" t="s">
        <v>190</v>
      </c>
      <c r="E165" s="8" t="s">
        <v>468</v>
      </c>
      <c r="F165" s="8" t="s">
        <v>240</v>
      </c>
      <c r="G165" s="9" t="n">
        <v>95</v>
      </c>
      <c r="H165" s="10" t="n">
        <v>46260</v>
      </c>
      <c r="I165" s="8" t="str">
        <f aca="false">A165&amp;"|"&amp;B165&amp;"|"&amp;C165&amp;"|"&amp;D165&amp;"|"&amp;E165&amp;"|"&amp;F165&amp;"|"&amp;G165&amp;"|"&amp;H165</f>
        <v>PT0097|Nitin Nair|81|Male |Migraine| Sumatriptan |95|46260</v>
      </c>
      <c r="J165" s="8" t="str">
        <f aca="false">IF(COUNTIF($I$2:I165,I165)&gt;1,"Duplicate","Unique")</f>
        <v>Unique</v>
      </c>
    </row>
    <row r="166" customFormat="false" ht="15" hidden="false" customHeight="false" outlineLevel="0" collapsed="false">
      <c r="A166" s="8" t="s">
        <v>472</v>
      </c>
      <c r="B166" s="8" t="s">
        <v>473</v>
      </c>
      <c r="C166" s="9" t="n">
        <v>22</v>
      </c>
      <c r="D166" s="8" t="s">
        <v>121</v>
      </c>
      <c r="E166" s="8" t="s">
        <v>420</v>
      </c>
      <c r="F166" s="8" t="s">
        <v>317</v>
      </c>
      <c r="G166" s="9" t="n">
        <v>380</v>
      </c>
      <c r="H166" s="10" t="n">
        <v>46194</v>
      </c>
      <c r="I166" s="8" t="str">
        <f aca="false">A166&amp;"|"&amp;B166&amp;"|"&amp;C166&amp;"|"&amp;D166&amp;"|"&amp;E166&amp;"|"&amp;F166&amp;"|"&amp;G166&amp;"|"&amp;H166</f>
        <v>PT0213|Preeti Nair|22|FEMALE| Arthritis |ibuprofen|380|46194</v>
      </c>
      <c r="J166" s="8" t="str">
        <f aca="false">IF(COUNTIF($I$2:I166,I166)&gt;1,"Duplicate","Unique")</f>
        <v>Unique</v>
      </c>
    </row>
    <row r="167" customFormat="false" ht="15" hidden="false" customHeight="false" outlineLevel="0" collapsed="false">
      <c r="A167" s="8" t="s">
        <v>474</v>
      </c>
      <c r="B167" s="8" t="s">
        <v>475</v>
      </c>
      <c r="C167" s="9" t="n">
        <v>15</v>
      </c>
      <c r="D167" s="8" t="s">
        <v>121</v>
      </c>
      <c r="E167" s="8" t="s">
        <v>459</v>
      </c>
      <c r="F167" s="8" t="s">
        <v>476</v>
      </c>
      <c r="G167" s="9" t="n">
        <v>60</v>
      </c>
      <c r="H167" s="10" t="n">
        <v>46121</v>
      </c>
      <c r="I167" s="8" t="str">
        <f aca="false">A167&amp;"|"&amp;B167&amp;"|"&amp;C167&amp;"|"&amp;D167&amp;"|"&amp;E167&amp;"|"&amp;F167&amp;"|"&amp;G167&amp;"|"&amp;H167</f>
        <v>PT0141|Preeti Rao|15|FEMALE|depression|sertraline|60|46121</v>
      </c>
      <c r="J167" s="8" t="str">
        <f aca="false">IF(COUNTIF($I$2:I167,I167)&gt;1,"Duplicate","Unique")</f>
        <v>Unique</v>
      </c>
    </row>
    <row r="168" customFormat="false" ht="15" hidden="false" customHeight="false" outlineLevel="0" collapsed="false">
      <c r="A168" s="8" t="s">
        <v>477</v>
      </c>
      <c r="B168" s="8" t="s">
        <v>478</v>
      </c>
      <c r="C168" s="9" t="n">
        <v>11</v>
      </c>
      <c r="D168" s="8" t="s">
        <v>131</v>
      </c>
      <c r="E168" s="8" t="s">
        <v>171</v>
      </c>
      <c r="F168" s="8" t="s">
        <v>440</v>
      </c>
      <c r="G168" s="9" t="n">
        <v>65</v>
      </c>
      <c r="H168" s="10" t="n">
        <v>45942</v>
      </c>
      <c r="I168" s="8" t="str">
        <f aca="false">A168&amp;"|"&amp;B168&amp;"|"&amp;C168&amp;"|"&amp;D168&amp;"|"&amp;E168&amp;"|"&amp;F168&amp;"|"&amp;G168&amp;"|"&amp;H168</f>
        <v>PT0205|Divya Mishra|11|Female |obesity|ORLISTAT|65|45942</v>
      </c>
      <c r="J168" s="8" t="str">
        <f aca="false">IF(COUNTIF($I$2:I168,I168)&gt;1,"Duplicate","Unique")</f>
        <v>Unique</v>
      </c>
    </row>
    <row r="169" customFormat="false" ht="15" hidden="false" customHeight="false" outlineLevel="0" collapsed="false">
      <c r="A169" s="8" t="s">
        <v>479</v>
      </c>
      <c r="B169" s="8" t="s">
        <v>480</v>
      </c>
      <c r="C169" s="9" t="n">
        <v>42</v>
      </c>
      <c r="D169" s="8" t="s">
        <v>104</v>
      </c>
      <c r="E169" s="8" t="s">
        <v>125</v>
      </c>
      <c r="F169" s="8" t="s">
        <v>126</v>
      </c>
      <c r="G169" s="9" t="n">
        <v>580</v>
      </c>
      <c r="H169" s="10" t="n">
        <v>45967</v>
      </c>
      <c r="I169" s="8" t="str">
        <f aca="false">A169&amp;"|"&amp;B169&amp;"|"&amp;C169&amp;"|"&amp;D169&amp;"|"&amp;E169&amp;"|"&amp;F169&amp;"|"&amp;G169&amp;"|"&amp;H169</f>
        <v>PT0179|Swati Mishra|42| Female|diabetes|Metformin  |580|45967</v>
      </c>
      <c r="J169" s="8" t="str">
        <f aca="false">IF(COUNTIF($I$2:I169,I169)&gt;1,"Duplicate","Unique")</f>
        <v>Unique</v>
      </c>
    </row>
    <row r="170" customFormat="false" ht="15" hidden="false" customHeight="false" outlineLevel="0" collapsed="false">
      <c r="A170" s="8" t="s">
        <v>481</v>
      </c>
      <c r="B170" s="8" t="s">
        <v>482</v>
      </c>
      <c r="C170" s="9" t="n">
        <v>50</v>
      </c>
      <c r="D170" s="8" t="s">
        <v>203</v>
      </c>
      <c r="E170" s="8" t="s">
        <v>186</v>
      </c>
      <c r="F170" s="8" t="s">
        <v>187</v>
      </c>
      <c r="G170" s="9" t="n">
        <v>10</v>
      </c>
      <c r="H170" s="10" t="n">
        <v>45682</v>
      </c>
      <c r="I170" s="8" t="str">
        <f aca="false">A170&amp;"|"&amp;B170&amp;"|"&amp;C170&amp;"|"&amp;D170&amp;"|"&amp;E170&amp;"|"&amp;F170&amp;"|"&amp;G170&amp;"|"&amp;H170</f>
        <v>PT0013|Rakesh Chauhan|50|m|Allergy|Cetirizine  |10|45682</v>
      </c>
      <c r="J170" s="8" t="str">
        <f aca="false">IF(COUNTIF($I$2:I170,I170)&gt;1,"Duplicate","Unique")</f>
        <v>Unique</v>
      </c>
    </row>
    <row r="171" customFormat="false" ht="15" hidden="false" customHeight="false" outlineLevel="0" collapsed="false">
      <c r="A171" s="8" t="s">
        <v>483</v>
      </c>
      <c r="B171" s="8" t="s">
        <v>484</v>
      </c>
      <c r="C171" s="9" t="n">
        <v>43</v>
      </c>
      <c r="D171" s="8" t="s">
        <v>46</v>
      </c>
      <c r="E171" s="8" t="s">
        <v>250</v>
      </c>
      <c r="F171" s="8" t="s">
        <v>485</v>
      </c>
      <c r="G171" s="9" t="n">
        <v>260</v>
      </c>
      <c r="H171" s="10" t="n">
        <v>46042</v>
      </c>
      <c r="I171" s="8" t="str">
        <f aca="false">A171&amp;"|"&amp;B171&amp;"|"&amp;C171&amp;"|"&amp;D171&amp;"|"&amp;E171&amp;"|"&amp;F171&amp;"|"&amp;G171&amp;"|"&amp;H171</f>
        <v>PT0072|Rakesh Patel|43|Male|anemia|ferrous sulfate|260|46042</v>
      </c>
      <c r="J171" s="8" t="str">
        <f aca="false">IF(COUNTIF($I$2:I171,I171)&gt;1,"Duplicate","Unique")</f>
        <v>Unique</v>
      </c>
    </row>
    <row r="172" customFormat="false" ht="15" hidden="false" customHeight="false" outlineLevel="0" collapsed="false">
      <c r="A172" s="8" t="s">
        <v>486</v>
      </c>
      <c r="B172" s="8" t="s">
        <v>487</v>
      </c>
      <c r="C172" s="9" t="n">
        <v>67</v>
      </c>
      <c r="D172" s="8" t="s">
        <v>203</v>
      </c>
      <c r="E172" s="8" t="s">
        <v>254</v>
      </c>
      <c r="F172" s="8" t="s">
        <v>255</v>
      </c>
      <c r="G172" s="9" t="n">
        <v>1565</v>
      </c>
      <c r="H172" s="10" t="n">
        <v>45563</v>
      </c>
      <c r="I172" s="8" t="str">
        <f aca="false">A172&amp;"|"&amp;B172&amp;"|"&amp;C172&amp;"|"&amp;D172&amp;"|"&amp;E172&amp;"|"&amp;F172&amp;"|"&amp;G172&amp;"|"&amp;H172</f>
        <v>PT0085|Arjun Kumar|67|m|COVID-19| Favipiravir |1565|45563</v>
      </c>
      <c r="J172" s="8" t="str">
        <f aca="false">IF(COUNTIF($I$2:I172,I172)&gt;1,"Duplicate","Unique")</f>
        <v>Unique</v>
      </c>
    </row>
    <row r="173" customFormat="false" ht="15" hidden="false" customHeight="false" outlineLevel="0" collapsed="false">
      <c r="A173" s="8" t="s">
        <v>488</v>
      </c>
      <c r="B173" s="8" t="s">
        <v>489</v>
      </c>
      <c r="C173" s="9" t="n">
        <v>57</v>
      </c>
      <c r="D173" s="8" t="s">
        <v>190</v>
      </c>
      <c r="E173" s="8" t="s">
        <v>220</v>
      </c>
      <c r="F173" s="8" t="s">
        <v>221</v>
      </c>
      <c r="G173" s="9" t="n">
        <v>590</v>
      </c>
      <c r="H173" s="10"/>
      <c r="I173" s="8" t="str">
        <f aca="false">A173&amp;"|"&amp;B173&amp;"|"&amp;C173&amp;"|"&amp;D173&amp;"|"&amp;E173&amp;"|"&amp;F173&amp;"|"&amp;G173&amp;"|"&amp;H173</f>
        <v>PT0062|Praveen Singh|57|Male |flu|paracetamol|590|</v>
      </c>
      <c r="J173" s="8" t="str">
        <f aca="false">IF(COUNTIF($I$2:I173,I173)&gt;1,"Duplicate","Unique")</f>
        <v>Unique</v>
      </c>
    </row>
    <row r="174" customFormat="false" ht="15" hidden="false" customHeight="false" outlineLevel="0" collapsed="false">
      <c r="A174" s="8" t="s">
        <v>490</v>
      </c>
      <c r="B174" s="8" t="s">
        <v>491</v>
      </c>
      <c r="C174" s="9" t="n">
        <v>17</v>
      </c>
      <c r="D174" s="8" t="s">
        <v>81</v>
      </c>
      <c r="E174" s="8" t="s">
        <v>171</v>
      </c>
      <c r="F174" s="8" t="s">
        <v>172</v>
      </c>
      <c r="G174" s="9" t="n">
        <v>75</v>
      </c>
      <c r="H174" s="10" t="n">
        <v>46035</v>
      </c>
      <c r="I174" s="8" t="str">
        <f aca="false">A174&amp;"|"&amp;B174&amp;"|"&amp;C174&amp;"|"&amp;D174&amp;"|"&amp;E174&amp;"|"&amp;F174&amp;"|"&amp;G174&amp;"|"&amp;H174</f>
        <v>PT0083|Kiran Pandey|17|female|obesity|orlistat|75|46035</v>
      </c>
      <c r="J174" s="8" t="str">
        <f aca="false">IF(COUNTIF($I$2:I174,I174)&gt;1,"Duplicate","Unique")</f>
        <v>Unique</v>
      </c>
    </row>
    <row r="175" customFormat="false" ht="15" hidden="false" customHeight="false" outlineLevel="0" collapsed="false">
      <c r="A175" s="8" t="s">
        <v>492</v>
      </c>
      <c r="B175" s="8" t="s">
        <v>493</v>
      </c>
      <c r="C175" s="9" t="n">
        <v>50</v>
      </c>
      <c r="D175" s="8" t="s">
        <v>109</v>
      </c>
      <c r="E175" s="8"/>
      <c r="F175" s="8" t="s">
        <v>200</v>
      </c>
      <c r="G175" s="9"/>
      <c r="H175" s="10" t="n">
        <v>46224</v>
      </c>
      <c r="I175" s="8" t="str">
        <f aca="false">A175&amp;"|"&amp;B175&amp;"|"&amp;C175&amp;"|"&amp;D175&amp;"|"&amp;E175&amp;"|"&amp;F175&amp;"|"&amp;G175&amp;"|"&amp;H175</f>
        <v>PT0126|Radha Choudhary|50|f||Ibuprofen  ||46224</v>
      </c>
      <c r="J175" s="8" t="str">
        <f aca="false">IF(COUNTIF($I$2:I175,I175)&gt;1,"Duplicate","Unique")</f>
        <v>Unique</v>
      </c>
    </row>
    <row r="176" customFormat="false" ht="15" hidden="false" customHeight="false" outlineLevel="0" collapsed="false">
      <c r="A176" s="8" t="s">
        <v>494</v>
      </c>
      <c r="B176" s="8" t="s">
        <v>495</v>
      </c>
      <c r="C176" s="9" t="n">
        <v>46</v>
      </c>
      <c r="D176" s="8" t="s">
        <v>67</v>
      </c>
      <c r="E176" s="8" t="s">
        <v>399</v>
      </c>
      <c r="F176" s="8" t="s">
        <v>118</v>
      </c>
      <c r="G176" s="9" t="n">
        <v>115</v>
      </c>
      <c r="H176" s="10" t="n">
        <v>46176</v>
      </c>
      <c r="I176" s="8" t="str">
        <f aca="false">A176&amp;"|"&amp;B176&amp;"|"&amp;C176&amp;"|"&amp;D176&amp;"|"&amp;E176&amp;"|"&amp;F176&amp;"|"&amp;G176&amp;"|"&amp;H176</f>
        <v>PT0020|Dinesh Kumar|46|M|Asthma  |salbutamol|115|46176</v>
      </c>
      <c r="J176" s="8" t="str">
        <f aca="false">IF(COUNTIF($I$2:I176,I176)&gt;1,"Duplicate","Unique")</f>
        <v>Unique</v>
      </c>
    </row>
    <row r="177" customFormat="false" ht="15" hidden="false" customHeight="false" outlineLevel="0" collapsed="false">
      <c r="A177" s="8" t="s">
        <v>443</v>
      </c>
      <c r="B177" s="8" t="s">
        <v>444</v>
      </c>
      <c r="C177" s="9" t="n">
        <v>33</v>
      </c>
      <c r="D177" s="8"/>
      <c r="E177" s="8" t="s">
        <v>162</v>
      </c>
      <c r="F177" s="8" t="s">
        <v>193</v>
      </c>
      <c r="G177" s="9" t="n">
        <v>10</v>
      </c>
      <c r="H177" s="10" t="n">
        <v>46172</v>
      </c>
      <c r="I177" s="8" t="str">
        <f aca="false">A177&amp;"|"&amp;B177&amp;"|"&amp;C177&amp;"|"&amp;D177&amp;"|"&amp;E177&amp;"|"&amp;F177&amp;"|"&amp;G177&amp;"|"&amp;H177</f>
        <v>PT0043|Ajay Joshi|33||Hypertension  |Amlodipine  |10|46172</v>
      </c>
      <c r="J177" s="8" t="str">
        <f aca="false">IF(COUNTIF($I$2:I177,I177)&gt;1,"Duplicate","Unique")</f>
        <v>Duplicate</v>
      </c>
    </row>
    <row r="178" customFormat="false" ht="15" hidden="false" customHeight="false" outlineLevel="0" collapsed="false">
      <c r="A178" s="8" t="s">
        <v>496</v>
      </c>
      <c r="B178" s="8" t="s">
        <v>497</v>
      </c>
      <c r="C178" s="9" t="n">
        <v>46</v>
      </c>
      <c r="D178" s="8" t="s">
        <v>203</v>
      </c>
      <c r="E178" s="8" t="s">
        <v>371</v>
      </c>
      <c r="F178" s="8"/>
      <c r="G178" s="9" t="n">
        <v>170</v>
      </c>
      <c r="H178" s="10" t="n">
        <v>45820</v>
      </c>
      <c r="I178" s="8" t="str">
        <f aca="false">A178&amp;"|"&amp;B178&amp;"|"&amp;C178&amp;"|"&amp;D178&amp;"|"&amp;E178&amp;"|"&amp;F178&amp;"|"&amp;G178&amp;"|"&amp;H178</f>
        <v>PT0127|Rakesh Verma|46|m|ASTHMA||170|45820</v>
      </c>
      <c r="J178" s="8" t="str">
        <f aca="false">IF(COUNTIF($I$2:I178,I178)&gt;1,"Duplicate","Unique")</f>
        <v>Unique</v>
      </c>
    </row>
    <row r="179" customFormat="false" ht="15" hidden="false" customHeight="false" outlineLevel="0" collapsed="false">
      <c r="A179" s="8" t="s">
        <v>498</v>
      </c>
      <c r="B179" s="8" t="s">
        <v>499</v>
      </c>
      <c r="C179" s="9" t="n">
        <v>23</v>
      </c>
      <c r="D179" s="8" t="s">
        <v>76</v>
      </c>
      <c r="E179" s="8" t="s">
        <v>196</v>
      </c>
      <c r="F179" s="8" t="s">
        <v>221</v>
      </c>
      <c r="G179" s="9" t="n">
        <v>585</v>
      </c>
      <c r="H179" s="10" t="n">
        <v>45766</v>
      </c>
      <c r="I179" s="8" t="str">
        <f aca="false">A179&amp;"|"&amp;B179&amp;"|"&amp;C179&amp;"|"&amp;D179&amp;"|"&amp;E179&amp;"|"&amp;F179&amp;"|"&amp;G179&amp;"|"&amp;H179</f>
        <v>PT0121|Gopal Choudhary|23| Male|FLU|paracetamol|585|45766</v>
      </c>
      <c r="J179" s="8" t="str">
        <f aca="false">IF(COUNTIF($I$2:I179,I179)&gt;1,"Duplicate","Unique")</f>
        <v>Unique</v>
      </c>
    </row>
    <row r="180" customFormat="false" ht="15" hidden="false" customHeight="false" outlineLevel="0" collapsed="false">
      <c r="A180" s="8" t="s">
        <v>500</v>
      </c>
      <c r="B180" s="8" t="s">
        <v>288</v>
      </c>
      <c r="C180" s="9" t="n">
        <v>53</v>
      </c>
      <c r="D180" s="8" t="s">
        <v>131</v>
      </c>
      <c r="E180" s="8" t="s">
        <v>501</v>
      </c>
      <c r="F180" s="8" t="s">
        <v>166</v>
      </c>
      <c r="G180" s="9" t="n">
        <v>100</v>
      </c>
      <c r="H180" s="10" t="n">
        <v>45573</v>
      </c>
      <c r="I180" s="8" t="str">
        <f aca="false">A180&amp;"|"&amp;B180&amp;"|"&amp;C180&amp;"|"&amp;D180&amp;"|"&amp;E180&amp;"|"&amp;F180&amp;"|"&amp;G180&amp;"|"&amp;H180</f>
        <v>PT0130|Radha Shukla|53|Female |Obesity|Orlistat|100|45573</v>
      </c>
      <c r="J180" s="8" t="str">
        <f aca="false">IF(COUNTIF($I$2:I180,I180)&gt;1,"Duplicate","Unique")</f>
        <v>Unique</v>
      </c>
    </row>
    <row r="181" customFormat="false" ht="15" hidden="false" customHeight="false" outlineLevel="0" collapsed="false">
      <c r="A181" s="8" t="s">
        <v>502</v>
      </c>
      <c r="B181" s="8" t="s">
        <v>503</v>
      </c>
      <c r="C181" s="9" t="n">
        <v>57</v>
      </c>
      <c r="D181" s="8" t="s">
        <v>81</v>
      </c>
      <c r="E181" s="8" t="s">
        <v>144</v>
      </c>
      <c r="F181" s="8" t="s">
        <v>135</v>
      </c>
      <c r="G181" s="9" t="n">
        <v>55</v>
      </c>
      <c r="H181" s="10" t="n">
        <v>46088</v>
      </c>
      <c r="I181" s="8" t="str">
        <f aca="false">A181&amp;"|"&amp;B181&amp;"|"&amp;C181&amp;"|"&amp;D181&amp;"|"&amp;E181&amp;"|"&amp;F181&amp;"|"&amp;G181&amp;"|"&amp;H181</f>
        <v>PT0029|Sunita Chauhan|57|female|MIGRAINE|Sumatriptan  |55|46088</v>
      </c>
      <c r="J181" s="8" t="str">
        <f aca="false">IF(COUNTIF($I$2:I181,I181)&gt;1,"Duplicate","Unique")</f>
        <v>Unique</v>
      </c>
    </row>
    <row r="182" customFormat="false" ht="15" hidden="false" customHeight="false" outlineLevel="0" collapsed="false">
      <c r="A182" s="8" t="s">
        <v>504</v>
      </c>
      <c r="B182" s="8" t="s">
        <v>505</v>
      </c>
      <c r="C182" s="9" t="n">
        <v>-5</v>
      </c>
      <c r="D182" s="8" t="s">
        <v>109</v>
      </c>
      <c r="E182" s="8" t="s">
        <v>86</v>
      </c>
      <c r="F182" s="8" t="s">
        <v>217</v>
      </c>
      <c r="G182" s="9" t="n">
        <v>520</v>
      </c>
      <c r="H182" s="10" t="n">
        <v>46239</v>
      </c>
      <c r="I182" s="8" t="str">
        <f aca="false">A182&amp;"|"&amp;B182&amp;"|"&amp;C182&amp;"|"&amp;D182&amp;"|"&amp;E182&amp;"|"&amp;F182&amp;"|"&amp;G182&amp;"|"&amp;H182</f>
        <v>PT0188|Radha Tiwari|-5|f| Flu |PARACETAMOL|520|46239</v>
      </c>
      <c r="J182" s="8" t="str">
        <f aca="false">IF(COUNTIF($I$2:I182,I182)&gt;1,"Duplicate","Unique")</f>
        <v>Unique</v>
      </c>
    </row>
    <row r="183" customFormat="false" ht="15" hidden="false" customHeight="false" outlineLevel="0" collapsed="false">
      <c r="A183" s="8" t="s">
        <v>506</v>
      </c>
      <c r="B183" s="8" t="s">
        <v>349</v>
      </c>
      <c r="C183" s="9" t="n">
        <v>28</v>
      </c>
      <c r="D183" s="8" t="s">
        <v>104</v>
      </c>
      <c r="E183" s="8" t="s">
        <v>235</v>
      </c>
      <c r="F183" s="8" t="s">
        <v>73</v>
      </c>
      <c r="G183" s="9" t="n">
        <v>500</v>
      </c>
      <c r="H183" s="10" t="n">
        <v>45699</v>
      </c>
      <c r="I183" s="8" t="str">
        <f aca="false">A183&amp;"|"&amp;B183&amp;"|"&amp;C183&amp;"|"&amp;D183&amp;"|"&amp;E183&amp;"|"&amp;F183&amp;"|"&amp;G183&amp;"|"&amp;H183</f>
        <v>PT0003|Meena Rao|28| Female|DIABETES| Metformin |500|45699</v>
      </c>
      <c r="J183" s="8" t="str">
        <f aca="false">IF(COUNTIF($I$2:I183,I183)&gt;1,"Duplicate","Unique")</f>
        <v>Unique</v>
      </c>
    </row>
    <row r="184" customFormat="false" ht="15" hidden="false" customHeight="false" outlineLevel="0" collapsed="false">
      <c r="A184" s="8" t="s">
        <v>507</v>
      </c>
      <c r="B184" s="8" t="s">
        <v>508</v>
      </c>
      <c r="C184" s="9" t="n">
        <v>66</v>
      </c>
      <c r="D184" s="8" t="s">
        <v>131</v>
      </c>
      <c r="E184" s="8" t="s">
        <v>427</v>
      </c>
      <c r="F184" s="8" t="s">
        <v>118</v>
      </c>
      <c r="G184" s="9" t="n">
        <v>190</v>
      </c>
      <c r="H184" s="10" t="n">
        <v>45974</v>
      </c>
      <c r="I184" s="8" t="str">
        <f aca="false">A184&amp;"|"&amp;B184&amp;"|"&amp;C184&amp;"|"&amp;D184&amp;"|"&amp;E184&amp;"|"&amp;F184&amp;"|"&amp;G184&amp;"|"&amp;H184</f>
        <v>PT0014|Rekha Rao|66|Female |Asthma|salbutamol|190|45974</v>
      </c>
      <c r="J184" s="8" t="str">
        <f aca="false">IF(COUNTIF($I$2:I184,I184)&gt;1,"Duplicate","Unique")</f>
        <v>Unique</v>
      </c>
    </row>
    <row r="185" customFormat="false" ht="15" hidden="false" customHeight="false" outlineLevel="0" collapsed="false">
      <c r="A185" s="8" t="s">
        <v>509</v>
      </c>
      <c r="B185" s="8" t="s">
        <v>510</v>
      </c>
      <c r="C185" s="9" t="n">
        <v>42</v>
      </c>
      <c r="D185" s="8" t="s">
        <v>121</v>
      </c>
      <c r="E185" s="8" t="s">
        <v>378</v>
      </c>
      <c r="F185" s="8" t="s">
        <v>312</v>
      </c>
      <c r="G185" s="9" t="n">
        <v>295</v>
      </c>
      <c r="H185" s="10" t="n">
        <v>45814</v>
      </c>
      <c r="I185" s="8" t="str">
        <f aca="false">A185&amp;"|"&amp;B185&amp;"|"&amp;C185&amp;"|"&amp;D185&amp;"|"&amp;E185&amp;"|"&amp;F185&amp;"|"&amp;G185&amp;"|"&amp;H185</f>
        <v>PT0047|Payal Yadav|42|FEMALE|Bronchitis|azithromycin|295|45814</v>
      </c>
      <c r="J185" s="8" t="str">
        <f aca="false">IF(COUNTIF($I$2:I185,I185)&gt;1,"Duplicate","Unique")</f>
        <v>Unique</v>
      </c>
    </row>
    <row r="186" customFormat="false" ht="15" hidden="false" customHeight="false" outlineLevel="0" collapsed="false">
      <c r="A186" s="8" t="s">
        <v>511</v>
      </c>
      <c r="B186" s="8" t="s">
        <v>512</v>
      </c>
      <c r="C186" s="9" t="n">
        <v>77</v>
      </c>
      <c r="D186" s="8" t="s">
        <v>203</v>
      </c>
      <c r="E186" s="8" t="s">
        <v>239</v>
      </c>
      <c r="F186" s="8" t="s">
        <v>145</v>
      </c>
      <c r="G186" s="9" t="n">
        <v>45</v>
      </c>
      <c r="H186" s="10" t="n">
        <v>46043</v>
      </c>
      <c r="I186" s="8" t="str">
        <f aca="false">A186&amp;"|"&amp;B186&amp;"|"&amp;C186&amp;"|"&amp;D186&amp;"|"&amp;E186&amp;"|"&amp;F186&amp;"|"&amp;G186&amp;"|"&amp;H186</f>
        <v>PT0143|Arjun Shukla|77|m|Migraine  |Sumatriptan|45|46043</v>
      </c>
      <c r="J186" s="8" t="str">
        <f aca="false">IF(COUNTIF($I$2:I186,I186)&gt;1,"Duplicate","Unique")</f>
        <v>Unique</v>
      </c>
    </row>
    <row r="187" customFormat="false" ht="15" hidden="false" customHeight="false" outlineLevel="0" collapsed="false">
      <c r="A187" s="8" t="s">
        <v>513</v>
      </c>
      <c r="B187" s="8" t="s">
        <v>514</v>
      </c>
      <c r="C187" s="9" t="n">
        <v>70</v>
      </c>
      <c r="D187" s="8" t="s">
        <v>67</v>
      </c>
      <c r="E187" s="8" t="s">
        <v>49</v>
      </c>
      <c r="F187" s="8" t="s">
        <v>193</v>
      </c>
      <c r="G187" s="9" t="n">
        <v>5</v>
      </c>
      <c r="H187" s="10" t="n">
        <v>45606</v>
      </c>
      <c r="I187" s="8" t="str">
        <f aca="false">A187&amp;"|"&amp;B187&amp;"|"&amp;C187&amp;"|"&amp;D187&amp;"|"&amp;E187&amp;"|"&amp;F187&amp;"|"&amp;G187&amp;"|"&amp;H187</f>
        <v>PT0039|Praveen Reddy|70|M|Hypertension|Amlodipine  |5|45606</v>
      </c>
      <c r="J187" s="8" t="str">
        <f aca="false">IF(COUNTIF($I$2:I187,I187)&gt;1,"Duplicate","Unique")</f>
        <v>Unique</v>
      </c>
    </row>
    <row r="188" customFormat="false" ht="15" hidden="false" customHeight="false" outlineLevel="0" collapsed="false">
      <c r="A188" s="8" t="s">
        <v>515</v>
      </c>
      <c r="B188" s="8" t="s">
        <v>516</v>
      </c>
      <c r="C188" s="9" t="n">
        <v>12</v>
      </c>
      <c r="D188" s="8" t="s">
        <v>190</v>
      </c>
      <c r="E188" s="8" t="s">
        <v>517</v>
      </c>
      <c r="F188" s="8" t="s">
        <v>317</v>
      </c>
      <c r="G188" s="9" t="n">
        <v>300</v>
      </c>
      <c r="H188" s="10" t="n">
        <v>45787</v>
      </c>
      <c r="I188" s="8" t="str">
        <f aca="false">A188&amp;"|"&amp;B188&amp;"|"&amp;C188&amp;"|"&amp;D188&amp;"|"&amp;E188&amp;"|"&amp;F188&amp;"|"&amp;G188&amp;"|"&amp;H188</f>
        <v>PT0099|Ashok Nair|12|Male |arthritis|ibuprofen|300|45787</v>
      </c>
      <c r="J188" s="8" t="str">
        <f aca="false">IF(COUNTIF($I$2:I188,I188)&gt;1,"Duplicate","Unique")</f>
        <v>Unique</v>
      </c>
    </row>
    <row r="189" customFormat="false" ht="15" hidden="false" customHeight="false" outlineLevel="0" collapsed="false">
      <c r="A189" s="8" t="s">
        <v>518</v>
      </c>
      <c r="B189" s="8" t="s">
        <v>519</v>
      </c>
      <c r="C189" s="9" t="n">
        <v>24</v>
      </c>
      <c r="D189" s="8" t="s">
        <v>85</v>
      </c>
      <c r="E189" s="8" t="s">
        <v>49</v>
      </c>
      <c r="F189" s="8" t="s">
        <v>110</v>
      </c>
      <c r="G189" s="9" t="n">
        <v>5</v>
      </c>
      <c r="H189" s="10" t="n">
        <v>46001</v>
      </c>
      <c r="I189" s="8" t="str">
        <f aca="false">A189&amp;"|"&amp;B189&amp;"|"&amp;C189&amp;"|"&amp;D189&amp;"|"&amp;E189&amp;"|"&amp;F189&amp;"|"&amp;G189&amp;"|"&amp;H189</f>
        <v>PT0165|Arjun Rao|24|MALE|Hypertension| Amlodipine |5|46001</v>
      </c>
      <c r="J189" s="8" t="str">
        <f aca="false">IF(COUNTIF($I$2:I189,I189)&gt;1,"Duplicate","Unique")</f>
        <v>Unique</v>
      </c>
    </row>
    <row r="190" customFormat="false" ht="15" hidden="false" customHeight="false" outlineLevel="0" collapsed="false">
      <c r="A190" s="8" t="s">
        <v>520</v>
      </c>
      <c r="B190" s="8" t="s">
        <v>521</v>
      </c>
      <c r="C190" s="9" t="n">
        <v>82</v>
      </c>
      <c r="D190" s="8" t="s">
        <v>90</v>
      </c>
      <c r="E190" s="8" t="s">
        <v>125</v>
      </c>
      <c r="F190" s="8" t="s">
        <v>214</v>
      </c>
      <c r="G190" s="9" t="n">
        <v>595</v>
      </c>
      <c r="H190" s="10" t="n">
        <v>46207</v>
      </c>
      <c r="I190" s="8" t="str">
        <f aca="false">A190&amp;"|"&amp;B190&amp;"|"&amp;C190&amp;"|"&amp;D190&amp;"|"&amp;E190&amp;"|"&amp;F190&amp;"|"&amp;G190&amp;"|"&amp;H190</f>
        <v>PT0212|Geeta Patel|82|Female|diabetes|Metformin|595|46207</v>
      </c>
      <c r="J190" s="8" t="str">
        <f aca="false">IF(COUNTIF($I$2:I190,I190)&gt;1,"Duplicate","Unique")</f>
        <v>Unique</v>
      </c>
    </row>
    <row r="191" customFormat="false" ht="15" hidden="false" customHeight="false" outlineLevel="0" collapsed="false">
      <c r="A191" s="8" t="s">
        <v>522</v>
      </c>
      <c r="B191" s="8" t="s">
        <v>338</v>
      </c>
      <c r="C191" s="9" t="n">
        <v>25</v>
      </c>
      <c r="D191" s="8" t="s">
        <v>203</v>
      </c>
      <c r="E191" s="8" t="s">
        <v>523</v>
      </c>
      <c r="F191" s="8" t="s">
        <v>251</v>
      </c>
      <c r="G191" s="9" t="n">
        <v>200</v>
      </c>
      <c r="H191" s="10" t="n">
        <v>45720</v>
      </c>
      <c r="I191" s="8" t="str">
        <f aca="false">A191&amp;"|"&amp;B191&amp;"|"&amp;C191&amp;"|"&amp;D191&amp;"|"&amp;E191&amp;"|"&amp;F191&amp;"|"&amp;G191&amp;"|"&amp;H191</f>
        <v>PT0195|Ashok Sharma|25|m|Anemia  | Ferrous Sulfate |200|45720</v>
      </c>
      <c r="J191" s="8" t="str">
        <f aca="false">IF(COUNTIF($I$2:I191,I191)&gt;1,"Duplicate","Unique")</f>
        <v>Unique</v>
      </c>
    </row>
    <row r="192" customFormat="false" ht="15" hidden="false" customHeight="false" outlineLevel="0" collapsed="false">
      <c r="A192" s="8" t="s">
        <v>524</v>
      </c>
      <c r="B192" s="8" t="s">
        <v>525</v>
      </c>
      <c r="C192" s="9" t="n">
        <v>45</v>
      </c>
      <c r="D192" s="8" t="s">
        <v>67</v>
      </c>
      <c r="E192" s="8" t="s">
        <v>393</v>
      </c>
      <c r="F192" s="8" t="s">
        <v>526</v>
      </c>
      <c r="G192" s="9" t="n">
        <v>60</v>
      </c>
      <c r="H192" s="10" t="n">
        <v>46201</v>
      </c>
      <c r="I192" s="8" t="str">
        <f aca="false">A192&amp;"|"&amp;B192&amp;"|"&amp;C192&amp;"|"&amp;D192&amp;"|"&amp;E192&amp;"|"&amp;F192&amp;"|"&amp;G192&amp;"|"&amp;H192</f>
        <v>PT0089|Naveen Sharma|45|M|thyroid disorder|levothyroxine|60|46201</v>
      </c>
      <c r="J192" s="8" t="str">
        <f aca="false">IF(COUNTIF($I$2:I192,I192)&gt;1,"Duplicate","Unique")</f>
        <v>Unique</v>
      </c>
    </row>
    <row r="193" customFormat="false" ht="15" hidden="false" customHeight="false" outlineLevel="0" collapsed="false">
      <c r="A193" s="8" t="s">
        <v>527</v>
      </c>
      <c r="B193" s="8" t="s">
        <v>528</v>
      </c>
      <c r="C193" s="9" t="n">
        <v>19</v>
      </c>
      <c r="D193" s="8" t="s">
        <v>109</v>
      </c>
      <c r="E193" s="8" t="s">
        <v>529</v>
      </c>
      <c r="F193" s="8" t="s">
        <v>530</v>
      </c>
      <c r="G193" s="9" t="n">
        <v>30</v>
      </c>
      <c r="H193" s="10" t="n">
        <v>46207</v>
      </c>
      <c r="I193" s="8" t="str">
        <f aca="false">A193&amp;"|"&amp;B193&amp;"|"&amp;C193&amp;"|"&amp;D193&amp;"|"&amp;E193&amp;"|"&amp;F193&amp;"|"&amp;G193&amp;"|"&amp;H193</f>
        <v>PT0224|Radha Yadav|19|f|GASTRITIS| Omeprazole |30|46207</v>
      </c>
      <c r="J193" s="8" t="str">
        <f aca="false">IF(COUNTIF($I$2:I193,I193)&gt;1,"Duplicate","Unique")</f>
        <v>Unique</v>
      </c>
    </row>
    <row r="194" customFormat="false" ht="15" hidden="false" customHeight="false" outlineLevel="0" collapsed="false">
      <c r="A194" s="8" t="s">
        <v>531</v>
      </c>
      <c r="B194" s="8" t="s">
        <v>532</v>
      </c>
      <c r="C194" s="9" t="n">
        <v>45</v>
      </c>
      <c r="D194" s="8" t="s">
        <v>95</v>
      </c>
      <c r="E194" s="8" t="s">
        <v>134</v>
      </c>
      <c r="F194" s="8" t="s">
        <v>240</v>
      </c>
      <c r="G194" s="9" t="n">
        <v>40</v>
      </c>
      <c r="H194" s="10" t="n">
        <v>46273</v>
      </c>
      <c r="I194" s="8" t="str">
        <f aca="false">A194&amp;"|"&amp;B194&amp;"|"&amp;C194&amp;"|"&amp;D194&amp;"|"&amp;E194&amp;"|"&amp;F194&amp;"|"&amp;G194&amp;"|"&amp;H194</f>
        <v>PT0064|Radha Chauhan|45|F| Migraine | Sumatriptan |40|46273</v>
      </c>
      <c r="J194" s="8" t="str">
        <f aca="false">IF(COUNTIF($I$2:I194,I194)&gt;1,"Duplicate","Unique")</f>
        <v>Unique</v>
      </c>
    </row>
    <row r="195" customFormat="false" ht="15" hidden="false" customHeight="false" outlineLevel="0" collapsed="false">
      <c r="A195" s="8" t="s">
        <v>533</v>
      </c>
      <c r="B195" s="8" t="s">
        <v>534</v>
      </c>
      <c r="C195" s="9" t="n">
        <v>47</v>
      </c>
      <c r="D195" s="8" t="s">
        <v>131</v>
      </c>
      <c r="E195" s="8" t="s">
        <v>49</v>
      </c>
      <c r="F195" s="8" t="s">
        <v>193</v>
      </c>
      <c r="G195" s="9" t="n">
        <v>5</v>
      </c>
      <c r="H195" s="10" t="n">
        <v>46055</v>
      </c>
      <c r="I195" s="8" t="str">
        <f aca="false">A195&amp;"|"&amp;B195&amp;"|"&amp;C195&amp;"|"&amp;D195&amp;"|"&amp;E195&amp;"|"&amp;F195&amp;"|"&amp;G195&amp;"|"&amp;H195</f>
        <v>PT0228|Pooja Yadav|47|Female |Hypertension|Amlodipine  |5|46055</v>
      </c>
      <c r="J195" s="8" t="str">
        <f aca="false">IF(COUNTIF($I$2:I195,I195)&gt;1,"Duplicate","Unique")</f>
        <v>Unique</v>
      </c>
    </row>
    <row r="196" customFormat="false" ht="15" hidden="false" customHeight="false" outlineLevel="0" collapsed="false">
      <c r="A196" s="8" t="s">
        <v>535</v>
      </c>
      <c r="B196" s="8" t="s">
        <v>536</v>
      </c>
      <c r="C196" s="9" t="n">
        <v>40</v>
      </c>
      <c r="D196" s="8" t="s">
        <v>203</v>
      </c>
      <c r="E196" s="8" t="s">
        <v>231</v>
      </c>
      <c r="F196" s="8" t="s">
        <v>106</v>
      </c>
      <c r="G196" s="9" t="n">
        <v>185</v>
      </c>
      <c r="H196" s="10" t="n">
        <v>45965</v>
      </c>
      <c r="I196" s="8" t="str">
        <f aca="false">A196&amp;"|"&amp;B196&amp;"|"&amp;C196&amp;"|"&amp;D196&amp;"|"&amp;E196&amp;"|"&amp;F196&amp;"|"&amp;G196&amp;"|"&amp;H196</f>
        <v>PT0170|Ramesh Shukla|40|m|asthma|SALBUTAMOL|185|45965</v>
      </c>
      <c r="J196" s="8" t="str">
        <f aca="false">IF(COUNTIF($I$2:I196,I196)&gt;1,"Duplicate","Unique")</f>
        <v>Unique</v>
      </c>
    </row>
    <row r="197" customFormat="false" ht="15" hidden="false" customHeight="false" outlineLevel="0" collapsed="false">
      <c r="A197" s="8" t="s">
        <v>537</v>
      </c>
      <c r="B197" s="8" t="s">
        <v>538</v>
      </c>
      <c r="C197" s="9" t="n">
        <v>34</v>
      </c>
      <c r="D197" s="8" t="s">
        <v>104</v>
      </c>
      <c r="E197" s="8" t="s">
        <v>134</v>
      </c>
      <c r="F197" s="8" t="s">
        <v>135</v>
      </c>
      <c r="G197" s="9" t="n">
        <v>100</v>
      </c>
      <c r="H197" s="10" t="n">
        <v>45641</v>
      </c>
      <c r="I197" s="8" t="str">
        <f aca="false">A197&amp;"|"&amp;B197&amp;"|"&amp;C197&amp;"|"&amp;D197&amp;"|"&amp;E197&amp;"|"&amp;F197&amp;"|"&amp;G197&amp;"|"&amp;H197</f>
        <v>PT0111|Sunita Rao|34| Female| Migraine |Sumatriptan  |100|45641</v>
      </c>
      <c r="J197" s="8" t="str">
        <f aca="false">IF(COUNTIF($I$2:I197,I197)&gt;1,"Duplicate","Unique")</f>
        <v>Unique</v>
      </c>
    </row>
    <row r="198" customFormat="false" ht="15" hidden="false" customHeight="false" outlineLevel="0" collapsed="false">
      <c r="A198" s="8" t="s">
        <v>539</v>
      </c>
      <c r="B198" s="8" t="s">
        <v>540</v>
      </c>
      <c r="C198" s="9" t="n">
        <v>56</v>
      </c>
      <c r="D198" s="8" t="s">
        <v>90</v>
      </c>
      <c r="E198" s="8" t="s">
        <v>517</v>
      </c>
      <c r="F198" s="8" t="s">
        <v>243</v>
      </c>
      <c r="G198" s="9" t="n">
        <v>265</v>
      </c>
      <c r="H198" s="10" t="n">
        <v>46088</v>
      </c>
      <c r="I198" s="8" t="str">
        <f aca="false">A198&amp;"|"&amp;B198&amp;"|"&amp;C198&amp;"|"&amp;D198&amp;"|"&amp;E198&amp;"|"&amp;F198&amp;"|"&amp;G198&amp;"|"&amp;H198</f>
        <v>PT0025|Renu Rao|56|Female|arthritis| Ibuprofen |265|46088</v>
      </c>
      <c r="J198" s="8" t="str">
        <f aca="false">IF(COUNTIF($I$2:I198,I198)&gt;1,"Duplicate","Unique")</f>
        <v>Unique</v>
      </c>
    </row>
    <row r="199" customFormat="false" ht="15" hidden="false" customHeight="false" outlineLevel="0" collapsed="false">
      <c r="A199" s="8" t="s">
        <v>541</v>
      </c>
      <c r="B199" s="8" t="s">
        <v>542</v>
      </c>
      <c r="C199" s="9" t="n">
        <v>49</v>
      </c>
      <c r="D199" s="8" t="s">
        <v>203</v>
      </c>
      <c r="E199" s="8" t="s">
        <v>72</v>
      </c>
      <c r="F199" s="8" t="s">
        <v>214</v>
      </c>
      <c r="G199" s="9" t="n">
        <v>660</v>
      </c>
      <c r="H199" s="10" t="n">
        <v>46230</v>
      </c>
      <c r="I199" s="8" t="str">
        <f aca="false">A199&amp;"|"&amp;B199&amp;"|"&amp;C199&amp;"|"&amp;D199&amp;"|"&amp;E199&amp;"|"&amp;F199&amp;"|"&amp;G199&amp;"|"&amp;H199</f>
        <v>PT0159|Deepak Saxena|49|m|Diabetes|Metformin|660|46230</v>
      </c>
      <c r="J199" s="8" t="str">
        <f aca="false">IF(COUNTIF($I$2:I199,I199)&gt;1,"Duplicate","Unique")</f>
        <v>Unique</v>
      </c>
    </row>
    <row r="200" customFormat="false" ht="15" hidden="false" customHeight="false" outlineLevel="0" collapsed="false">
      <c r="A200" s="8" t="s">
        <v>543</v>
      </c>
      <c r="B200" s="8" t="s">
        <v>544</v>
      </c>
      <c r="C200" s="9" t="n">
        <v>43</v>
      </c>
      <c r="D200" s="8" t="s">
        <v>85</v>
      </c>
      <c r="E200" s="8" t="s">
        <v>399</v>
      </c>
      <c r="F200" s="8" t="s">
        <v>352</v>
      </c>
      <c r="G200" s="9" t="n">
        <v>155</v>
      </c>
      <c r="H200" s="10" t="n">
        <v>46061</v>
      </c>
      <c r="I200" s="8" t="str">
        <f aca="false">A200&amp;"|"&amp;B200&amp;"|"&amp;C200&amp;"|"&amp;D200&amp;"|"&amp;E200&amp;"|"&amp;F200&amp;"|"&amp;G200&amp;"|"&amp;H200</f>
        <v>PT0180|Yogesh Gupta|43|MALE|Asthma  |Salbutamol  |155|46061</v>
      </c>
      <c r="J200" s="8" t="str">
        <f aca="false">IF(COUNTIF($I$2:I200,I200)&gt;1,"Duplicate","Unique")</f>
        <v>Unique</v>
      </c>
    </row>
    <row r="201" customFormat="false" ht="15" hidden="false" customHeight="false" outlineLevel="0" collapsed="false">
      <c r="A201" s="8" t="s">
        <v>545</v>
      </c>
      <c r="B201" s="8" t="s">
        <v>546</v>
      </c>
      <c r="C201" s="9" t="n">
        <v>81</v>
      </c>
      <c r="D201" s="8" t="s">
        <v>121</v>
      </c>
      <c r="E201" s="8" t="s">
        <v>162</v>
      </c>
      <c r="F201" s="8" t="s">
        <v>97</v>
      </c>
      <c r="G201" s="9" t="n">
        <v>5</v>
      </c>
      <c r="H201" s="10" t="n">
        <v>46089</v>
      </c>
      <c r="I201" s="8" t="str">
        <f aca="false">A201&amp;"|"&amp;B201&amp;"|"&amp;C201&amp;"|"&amp;D201&amp;"|"&amp;E201&amp;"|"&amp;F201&amp;"|"&amp;G201&amp;"|"&amp;H201</f>
        <v>PT0177|Pooja Saxena|81|FEMALE|Hypertension  |amlodipine|5|46089</v>
      </c>
      <c r="J201" s="8" t="str">
        <f aca="false">IF(COUNTIF($I$2:I201,I201)&gt;1,"Duplicate","Unique")</f>
        <v>Unique</v>
      </c>
    </row>
    <row r="202" customFormat="false" ht="15" hidden="false" customHeight="false" outlineLevel="0" collapsed="false">
      <c r="A202" s="8" t="s">
        <v>547</v>
      </c>
      <c r="B202" s="8" t="s">
        <v>548</v>
      </c>
      <c r="C202" s="9" t="n">
        <v>23</v>
      </c>
      <c r="D202" s="8" t="s">
        <v>67</v>
      </c>
      <c r="E202" s="8" t="s">
        <v>162</v>
      </c>
      <c r="F202" s="8" t="s">
        <v>97</v>
      </c>
      <c r="G202" s="9" t="n">
        <v>5</v>
      </c>
      <c r="H202" s="10" t="n">
        <v>46262</v>
      </c>
      <c r="I202" s="8" t="str">
        <f aca="false">A202&amp;"|"&amp;B202&amp;"|"&amp;C202&amp;"|"&amp;D202&amp;"|"&amp;E202&amp;"|"&amp;F202&amp;"|"&amp;G202&amp;"|"&amp;H202</f>
        <v>PT0134|Sandeep Nair|23|M|Hypertension  |amlodipine|5|46262</v>
      </c>
      <c r="J202" s="8" t="str">
        <f aca="false">IF(COUNTIF($I$2:I202,I202)&gt;1,"Duplicate","Unique")</f>
        <v>Unique</v>
      </c>
    </row>
    <row r="203" customFormat="false" ht="15" hidden="false" customHeight="false" outlineLevel="0" collapsed="false">
      <c r="A203" s="8" t="s">
        <v>549</v>
      </c>
      <c r="B203" s="8" t="s">
        <v>473</v>
      </c>
      <c r="C203" s="9" t="n">
        <v>24</v>
      </c>
      <c r="D203" s="8" t="s">
        <v>95</v>
      </c>
      <c r="E203" s="8"/>
      <c r="F203" s="8" t="s">
        <v>214</v>
      </c>
      <c r="G203" s="9" t="n">
        <v>850</v>
      </c>
      <c r="H203" s="10" t="n">
        <v>45670</v>
      </c>
      <c r="I203" s="8" t="str">
        <f aca="false">A203&amp;"|"&amp;B203&amp;"|"&amp;C203&amp;"|"&amp;D203&amp;"|"&amp;E203&amp;"|"&amp;F203&amp;"|"&amp;G203&amp;"|"&amp;H203</f>
        <v>PT0133|Preeti Nair|24|F||Metformin|850|45670</v>
      </c>
      <c r="J203" s="8" t="str">
        <f aca="false">IF(COUNTIF($I$2:I203,I203)&gt;1,"Duplicate","Unique")</f>
        <v>Unique</v>
      </c>
    </row>
    <row r="204" customFormat="false" ht="15" hidden="false" customHeight="false" outlineLevel="0" collapsed="false">
      <c r="A204" s="8" t="s">
        <v>550</v>
      </c>
      <c r="B204" s="8" t="s">
        <v>551</v>
      </c>
      <c r="C204" s="9" t="n">
        <v>51</v>
      </c>
      <c r="D204" s="8" t="s">
        <v>131</v>
      </c>
      <c r="E204" s="8" t="s">
        <v>298</v>
      </c>
      <c r="F204" s="8" t="s">
        <v>87</v>
      </c>
      <c r="G204" s="9" t="n">
        <v>570</v>
      </c>
      <c r="H204" s="10" t="n">
        <v>45870</v>
      </c>
      <c r="I204" s="8" t="str">
        <f aca="false">A204&amp;"|"&amp;B204&amp;"|"&amp;C204&amp;"|"&amp;D204&amp;"|"&amp;E204&amp;"|"&amp;F204&amp;"|"&amp;G204&amp;"|"&amp;H204</f>
        <v>PT0087|Ritu Joshi|51|Female |Flu|Paracetamol  |570|45870</v>
      </c>
      <c r="J204" s="8" t="str">
        <f aca="false">IF(COUNTIF($I$2:I204,I204)&gt;1,"Duplicate","Unique")</f>
        <v>Unique</v>
      </c>
    </row>
    <row r="205" customFormat="false" ht="15" hidden="false" customHeight="false" outlineLevel="0" collapsed="false">
      <c r="A205" s="8" t="s">
        <v>552</v>
      </c>
      <c r="B205" s="8" t="s">
        <v>264</v>
      </c>
      <c r="C205" s="9" t="n">
        <v>28</v>
      </c>
      <c r="D205" s="8" t="s">
        <v>67</v>
      </c>
      <c r="E205" s="8" t="s">
        <v>523</v>
      </c>
      <c r="F205" s="8" t="s">
        <v>154</v>
      </c>
      <c r="G205" s="9" t="n">
        <v>230</v>
      </c>
      <c r="H205" s="10" t="n">
        <v>45990</v>
      </c>
      <c r="I205" s="8" t="str">
        <f aca="false">A205&amp;"|"&amp;B205&amp;"|"&amp;C205&amp;"|"&amp;D205&amp;"|"&amp;E205&amp;"|"&amp;F205&amp;"|"&amp;G205&amp;"|"&amp;H205</f>
        <v>PT0172|Manoj Verma|28|M|Anemia  |Ferrous Sulfate|230|45990</v>
      </c>
      <c r="J205" s="8" t="str">
        <f aca="false">IF(COUNTIF($I$2:I205,I205)&gt;1,"Duplicate","Unique")</f>
        <v>Unique</v>
      </c>
    </row>
    <row r="206" customFormat="false" ht="15" hidden="false" customHeight="false" outlineLevel="0" collapsed="false">
      <c r="A206" s="8" t="s">
        <v>553</v>
      </c>
      <c r="B206" s="8" t="s">
        <v>480</v>
      </c>
      <c r="C206" s="9" t="n">
        <v>35</v>
      </c>
      <c r="D206" s="8" t="s">
        <v>121</v>
      </c>
      <c r="E206" s="8" t="s">
        <v>125</v>
      </c>
      <c r="F206" s="8" t="s">
        <v>126</v>
      </c>
      <c r="G206" s="9" t="n">
        <v>920</v>
      </c>
      <c r="H206" s="10" t="n">
        <v>45733</v>
      </c>
      <c r="I206" s="8" t="str">
        <f aca="false">A206&amp;"|"&amp;B206&amp;"|"&amp;C206&amp;"|"&amp;D206&amp;"|"&amp;E206&amp;"|"&amp;F206&amp;"|"&amp;G206&amp;"|"&amp;H206</f>
        <v>PT0058|Swati Mishra|35|FEMALE|diabetes|Metformin  |920|45733</v>
      </c>
      <c r="J206" s="8" t="str">
        <f aca="false">IF(COUNTIF($I$2:I206,I206)&gt;1,"Duplicate","Unique")</f>
        <v>Unique</v>
      </c>
    </row>
    <row r="207" customFormat="false" ht="15" hidden="false" customHeight="false" outlineLevel="0" collapsed="false">
      <c r="A207" s="8" t="s">
        <v>554</v>
      </c>
      <c r="B207" s="8" t="s">
        <v>555</v>
      </c>
      <c r="C207" s="9" t="n">
        <v>25</v>
      </c>
      <c r="D207" s="8" t="s">
        <v>46</v>
      </c>
      <c r="E207" s="8" t="s">
        <v>250</v>
      </c>
      <c r="F207" s="8" t="s">
        <v>251</v>
      </c>
      <c r="G207" s="9" t="n">
        <v>265</v>
      </c>
      <c r="H207" s="10" t="n">
        <v>46206</v>
      </c>
      <c r="I207" s="8" t="str">
        <f aca="false">A207&amp;"|"&amp;B207&amp;"|"&amp;C207&amp;"|"&amp;D207&amp;"|"&amp;E207&amp;"|"&amp;F207&amp;"|"&amp;G207&amp;"|"&amp;H207</f>
        <v>PT0145|Sandeep Singh|25|Male|anemia| Ferrous Sulfate |265|46206</v>
      </c>
      <c r="J207" s="8" t="str">
        <f aca="false">IF(COUNTIF($I$2:I207,I207)&gt;1,"Duplicate","Unique")</f>
        <v>Unique</v>
      </c>
    </row>
    <row r="208" customFormat="false" ht="15" hidden="false" customHeight="false" outlineLevel="0" collapsed="false">
      <c r="A208" s="8" t="s">
        <v>340</v>
      </c>
      <c r="B208" s="8" t="s">
        <v>341</v>
      </c>
      <c r="C208" s="9" t="n">
        <v>52</v>
      </c>
      <c r="D208" s="8" t="s">
        <v>67</v>
      </c>
      <c r="E208" s="8" t="s">
        <v>250</v>
      </c>
      <c r="F208" s="8" t="s">
        <v>339</v>
      </c>
      <c r="G208" s="9" t="n">
        <v>230</v>
      </c>
      <c r="H208" s="10" t="n">
        <v>45976</v>
      </c>
      <c r="I208" s="8" t="str">
        <f aca="false">A208&amp;"|"&amp;B208&amp;"|"&amp;C208&amp;"|"&amp;D208&amp;"|"&amp;E208&amp;"|"&amp;F208&amp;"|"&amp;G208&amp;"|"&amp;H208</f>
        <v>PT0186|Dinesh Rao|52|M|anemia|Ferrous Sulfate  |230|45976</v>
      </c>
      <c r="J208" s="8" t="str">
        <f aca="false">IF(COUNTIF($I$2:I208,I208)&gt;1,"Duplicate","Unique")</f>
        <v>Duplicate</v>
      </c>
    </row>
    <row r="209" customFormat="false" ht="15" hidden="false" customHeight="false" outlineLevel="0" collapsed="false">
      <c r="A209" s="8" t="s">
        <v>556</v>
      </c>
      <c r="B209" s="8" t="s">
        <v>557</v>
      </c>
      <c r="C209" s="9" t="n">
        <v>17</v>
      </c>
      <c r="D209" s="8" t="s">
        <v>190</v>
      </c>
      <c r="E209" s="8" t="s">
        <v>558</v>
      </c>
      <c r="F209" s="8" t="s">
        <v>149</v>
      </c>
      <c r="G209" s="9" t="n">
        <v>30</v>
      </c>
      <c r="H209" s="10" t="n">
        <v>46168</v>
      </c>
      <c r="I209" s="8" t="str">
        <f aca="false">A209&amp;"|"&amp;B209&amp;"|"&amp;C209&amp;"|"&amp;D209&amp;"|"&amp;E209&amp;"|"&amp;F209&amp;"|"&amp;G209&amp;"|"&amp;H209</f>
        <v>PT0148|Harish Nair|17|Male |Depression  | Sertraline |30|46168</v>
      </c>
      <c r="J209" s="8" t="str">
        <f aca="false">IF(COUNTIF($I$2:I209,I209)&gt;1,"Duplicate","Unique")</f>
        <v>Unique</v>
      </c>
    </row>
    <row r="210" customFormat="false" ht="15" hidden="false" customHeight="false" outlineLevel="0" collapsed="false">
      <c r="A210" s="8" t="s">
        <v>559</v>
      </c>
      <c r="B210" s="8" t="s">
        <v>560</v>
      </c>
      <c r="C210" s="9" t="n">
        <v>64</v>
      </c>
      <c r="D210" s="8" t="s">
        <v>109</v>
      </c>
      <c r="E210" s="8" t="s">
        <v>561</v>
      </c>
      <c r="F210" s="8" t="s">
        <v>562</v>
      </c>
      <c r="G210" s="9" t="n">
        <v>120</v>
      </c>
      <c r="H210" s="10" t="n">
        <v>45855</v>
      </c>
      <c r="I210" s="8" t="str">
        <f aca="false">A210&amp;"|"&amp;B210&amp;"|"&amp;C210&amp;"|"&amp;D210&amp;"|"&amp;E210&amp;"|"&amp;F210&amp;"|"&amp;G210&amp;"|"&amp;H210</f>
        <v>PT0191|Radha Pandey|64|f|Thyroid Disorder|LEVOTHYROXINE|120|45855</v>
      </c>
      <c r="J210" s="8" t="str">
        <f aca="false">IF(COUNTIF($I$2:I210,I210)&gt;1,"Duplicate","Unique")</f>
        <v>Unique</v>
      </c>
    </row>
    <row r="211" customFormat="false" ht="15" hidden="false" customHeight="false" outlineLevel="0" collapsed="false">
      <c r="A211" s="8" t="s">
        <v>563</v>
      </c>
      <c r="B211" s="8" t="s">
        <v>564</v>
      </c>
      <c r="C211" s="9" t="n">
        <v>41</v>
      </c>
      <c r="D211" s="8" t="s">
        <v>109</v>
      </c>
      <c r="E211" s="8" t="s">
        <v>369</v>
      </c>
      <c r="F211" s="8" t="s">
        <v>565</v>
      </c>
      <c r="G211" s="9" t="n">
        <v>255</v>
      </c>
      <c r="H211" s="10" t="n">
        <v>45629</v>
      </c>
      <c r="I211" s="8" t="str">
        <f aca="false">A211&amp;"|"&amp;B211&amp;"|"&amp;C211&amp;"|"&amp;D211&amp;"|"&amp;E211&amp;"|"&amp;F211&amp;"|"&amp;G211&amp;"|"&amp;H211</f>
        <v>PT0197|Pooja Choudhary|41|f|BRONCHITIS|Azithromycin  |255|45629</v>
      </c>
      <c r="J211" s="8" t="str">
        <f aca="false">IF(COUNTIF($I$2:I211,I211)&gt;1,"Duplicate","Unique")</f>
        <v>Unique</v>
      </c>
    </row>
    <row r="212" customFormat="false" ht="15" hidden="false" customHeight="false" outlineLevel="0" collapsed="false">
      <c r="A212" s="8" t="s">
        <v>566</v>
      </c>
      <c r="B212" s="8" t="s">
        <v>567</v>
      </c>
      <c r="C212" s="9" t="n">
        <v>37</v>
      </c>
      <c r="D212" s="8" t="s">
        <v>104</v>
      </c>
      <c r="E212" s="8" t="s">
        <v>568</v>
      </c>
      <c r="F212" s="8" t="s">
        <v>255</v>
      </c>
      <c r="G212" s="9" t="n">
        <v>490</v>
      </c>
      <c r="H212" s="10" t="n">
        <v>46008</v>
      </c>
      <c r="I212" s="8" t="str">
        <f aca="false">A212&amp;"|"&amp;B212&amp;"|"&amp;C212&amp;"|"&amp;D212&amp;"|"&amp;E212&amp;"|"&amp;F212&amp;"|"&amp;G212&amp;"|"&amp;H212</f>
        <v>PT0135|Divya Sharma|37| Female|covid-19| Favipiravir |490|46008</v>
      </c>
      <c r="J212" s="8" t="str">
        <f aca="false">IF(COUNTIF($I$2:I212,I212)&gt;1,"Duplicate","Unique")</f>
        <v>Unique</v>
      </c>
    </row>
    <row r="213" customFormat="false" ht="15" hidden="false" customHeight="false" outlineLevel="0" collapsed="false">
      <c r="A213" s="8" t="s">
        <v>545</v>
      </c>
      <c r="B213" s="8" t="s">
        <v>546</v>
      </c>
      <c r="C213" s="9" t="n">
        <v>81</v>
      </c>
      <c r="D213" s="8" t="s">
        <v>121</v>
      </c>
      <c r="E213" s="8" t="s">
        <v>162</v>
      </c>
      <c r="F213" s="8" t="s">
        <v>97</v>
      </c>
      <c r="G213" s="9" t="n">
        <v>5</v>
      </c>
      <c r="H213" s="10" t="n">
        <v>46089</v>
      </c>
      <c r="I213" s="8" t="str">
        <f aca="false">A213&amp;"|"&amp;B213&amp;"|"&amp;C213&amp;"|"&amp;D213&amp;"|"&amp;E213&amp;"|"&amp;F213&amp;"|"&amp;G213&amp;"|"&amp;H213</f>
        <v>PT0177|Pooja Saxena|81|FEMALE|Hypertension  |amlodipine|5|46089</v>
      </c>
      <c r="J213" s="8" t="str">
        <f aca="false">IF(COUNTIF($I$2:I213,I213)&gt;1,"Duplicate","Unique")</f>
        <v>Duplicate</v>
      </c>
    </row>
    <row r="214" customFormat="false" ht="15" hidden="false" customHeight="false" outlineLevel="0" collapsed="false">
      <c r="A214" s="8" t="s">
        <v>569</v>
      </c>
      <c r="B214" s="8" t="s">
        <v>570</v>
      </c>
      <c r="C214" s="9" t="n">
        <v>49</v>
      </c>
      <c r="D214" s="8" t="s">
        <v>203</v>
      </c>
      <c r="E214" s="8" t="s">
        <v>153</v>
      </c>
      <c r="F214" s="8" t="s">
        <v>339</v>
      </c>
      <c r="G214" s="9" t="n">
        <v>305</v>
      </c>
      <c r="H214" s="10" t="n">
        <v>46069</v>
      </c>
      <c r="I214" s="8" t="str">
        <f aca="false">A214&amp;"|"&amp;B214&amp;"|"&amp;C214&amp;"|"&amp;D214&amp;"|"&amp;E214&amp;"|"&amp;F214&amp;"|"&amp;G214&amp;"|"&amp;H214</f>
        <v>PT0181|Sandeep Reddy|49|m| Anemia |Ferrous Sulfate  |305|46069</v>
      </c>
      <c r="J214" s="8" t="str">
        <f aca="false">IF(COUNTIF($I$2:I214,I214)&gt;1,"Duplicate","Unique")</f>
        <v>Unique</v>
      </c>
    </row>
    <row r="215" customFormat="false" ht="15" hidden="false" customHeight="false" outlineLevel="0" collapsed="false">
      <c r="A215" s="8" t="s">
        <v>571</v>
      </c>
      <c r="B215" s="8" t="s">
        <v>572</v>
      </c>
      <c r="C215" s="9" t="n">
        <v>55</v>
      </c>
      <c r="D215" s="8" t="s">
        <v>203</v>
      </c>
      <c r="E215" s="8" t="s">
        <v>100</v>
      </c>
      <c r="F215" s="8" t="s">
        <v>110</v>
      </c>
      <c r="G215" s="9"/>
      <c r="H215" s="10" t="n">
        <v>45640</v>
      </c>
      <c r="I215" s="8" t="str">
        <f aca="false">A215&amp;"|"&amp;B215&amp;"|"&amp;C215&amp;"|"&amp;D215&amp;"|"&amp;E215&amp;"|"&amp;F215&amp;"|"&amp;G215&amp;"|"&amp;H215</f>
        <v>PT0004|Ravi Tiwari|55|m|hypertension| Amlodipine ||45640</v>
      </c>
      <c r="J215" s="8" t="str">
        <f aca="false">IF(COUNTIF($I$2:I215,I215)&gt;1,"Duplicate","Unique")</f>
        <v>Unique</v>
      </c>
    </row>
    <row r="216" customFormat="false" ht="15" hidden="false" customHeight="false" outlineLevel="0" collapsed="false">
      <c r="A216" s="8" t="s">
        <v>573</v>
      </c>
      <c r="B216" s="8" t="s">
        <v>574</v>
      </c>
      <c r="C216" s="9" t="n">
        <v>34</v>
      </c>
      <c r="D216" s="8" t="s">
        <v>81</v>
      </c>
      <c r="E216" s="8" t="s">
        <v>328</v>
      </c>
      <c r="F216" s="8" t="s">
        <v>299</v>
      </c>
      <c r="G216" s="9" t="n">
        <v>640</v>
      </c>
      <c r="H216" s="10" t="n">
        <v>46134</v>
      </c>
      <c r="I216" s="8" t="str">
        <f aca="false">A216&amp;"|"&amp;B216&amp;"|"&amp;C216&amp;"|"&amp;D216&amp;"|"&amp;E216&amp;"|"&amp;F216&amp;"|"&amp;G216&amp;"|"&amp;H216</f>
        <v>PT0081|Divya Joshi|34|female|Flu  | Paracetamol |640|46134</v>
      </c>
      <c r="J216" s="8" t="str">
        <f aca="false">IF(COUNTIF($I$2:I216,I216)&gt;1,"Duplicate","Unique")</f>
        <v>Unique</v>
      </c>
    </row>
    <row r="217" customFormat="false" ht="15" hidden="false" customHeight="false" outlineLevel="0" collapsed="false">
      <c r="A217" s="8" t="s">
        <v>575</v>
      </c>
      <c r="B217" s="8" t="s">
        <v>576</v>
      </c>
      <c r="C217" s="9" t="n">
        <v>51</v>
      </c>
      <c r="D217" s="8" t="s">
        <v>46</v>
      </c>
      <c r="E217" s="8" t="s">
        <v>261</v>
      </c>
      <c r="F217" s="8" t="s">
        <v>262</v>
      </c>
      <c r="G217" s="9" t="n">
        <v>10</v>
      </c>
      <c r="H217" s="10" t="n">
        <v>46200</v>
      </c>
      <c r="I217" s="8" t="str">
        <f aca="false">A217&amp;"|"&amp;B217&amp;"|"&amp;C217&amp;"|"&amp;D217&amp;"|"&amp;E217&amp;"|"&amp;F217&amp;"|"&amp;G217&amp;"|"&amp;H217</f>
        <v>PT0168|Gopal Joshi|51|Male|ALLERGY|Cetirizine|10|46200</v>
      </c>
      <c r="J217" s="8" t="str">
        <f aca="false">IF(COUNTIF($I$2:I217,I217)&gt;1,"Duplicate","Unique")</f>
        <v>Unique</v>
      </c>
    </row>
    <row r="218" customFormat="false" ht="15" hidden="false" customHeight="false" outlineLevel="0" collapsed="false">
      <c r="A218" s="8" t="s">
        <v>577</v>
      </c>
      <c r="B218" s="8" t="s">
        <v>519</v>
      </c>
      <c r="C218" s="9"/>
      <c r="D218" s="8" t="s">
        <v>190</v>
      </c>
      <c r="E218" s="8" t="s">
        <v>82</v>
      </c>
      <c r="F218" s="8" t="s">
        <v>92</v>
      </c>
      <c r="G218" s="9" t="n">
        <v>1000</v>
      </c>
      <c r="H218" s="10" t="n">
        <v>46129</v>
      </c>
      <c r="I218" s="8" t="str">
        <f aca="false">A218&amp;"|"&amp;B218&amp;"|"&amp;C218&amp;"|"&amp;D218&amp;"|"&amp;E218&amp;"|"&amp;F218&amp;"|"&amp;G218&amp;"|"&amp;H218</f>
        <v>PT0067|Arjun Rao||Male |Diabetes  |metformin|1000|46129</v>
      </c>
      <c r="J218" s="8" t="str">
        <f aca="false">IF(COUNTIF($I$2:I218,I218)&gt;1,"Duplicate","Unique")</f>
        <v>Unique</v>
      </c>
    </row>
    <row r="219" customFormat="false" ht="15" hidden="false" customHeight="false" outlineLevel="0" collapsed="false">
      <c r="A219" s="8" t="s">
        <v>578</v>
      </c>
      <c r="B219" s="8" t="s">
        <v>579</v>
      </c>
      <c r="C219" s="9" t="n">
        <v>67</v>
      </c>
      <c r="D219" s="8" t="s">
        <v>131</v>
      </c>
      <c r="E219" s="8" t="s">
        <v>580</v>
      </c>
      <c r="F219" s="8" t="s">
        <v>394</v>
      </c>
      <c r="G219" s="9" t="n">
        <v>25</v>
      </c>
      <c r="H219" s="10" t="n">
        <v>46232</v>
      </c>
      <c r="I219" s="8" t="str">
        <f aca="false">A219&amp;"|"&amp;B219&amp;"|"&amp;C219&amp;"|"&amp;D219&amp;"|"&amp;E219&amp;"|"&amp;F219&amp;"|"&amp;G219&amp;"|"&amp;H219</f>
        <v>PT0017|Kiran Saxena|67|Female | Thyroid Disorder |Levothyroxine|25|46232</v>
      </c>
      <c r="J219" s="8" t="str">
        <f aca="false">IF(COUNTIF($I$2:I219,I219)&gt;1,"Duplicate","Unique")</f>
        <v>Unique</v>
      </c>
    </row>
    <row r="220" customFormat="false" ht="15" hidden="false" customHeight="false" outlineLevel="0" collapsed="false">
      <c r="A220" s="8" t="s">
        <v>581</v>
      </c>
      <c r="B220" s="8" t="s">
        <v>582</v>
      </c>
      <c r="C220" s="9" t="n">
        <v>61</v>
      </c>
      <c r="D220" s="8" t="s">
        <v>76</v>
      </c>
      <c r="E220" s="8" t="s">
        <v>86</v>
      </c>
      <c r="F220" s="8" t="s">
        <v>221</v>
      </c>
      <c r="G220" s="9" t="n">
        <v>510</v>
      </c>
      <c r="H220" s="10" t="n">
        <v>45752</v>
      </c>
      <c r="I220" s="8" t="str">
        <f aca="false">A220&amp;"|"&amp;B220&amp;"|"&amp;C220&amp;"|"&amp;D220&amp;"|"&amp;E220&amp;"|"&amp;F220&amp;"|"&amp;G220&amp;"|"&amp;H220</f>
        <v>PT0012|Karan Chauhan|61| Male| Flu |paracetamol|510|45752</v>
      </c>
      <c r="J220" s="8" t="str">
        <f aca="false">IF(COUNTIF($I$2:I220,I220)&gt;1,"Duplicate","Unique")</f>
        <v>Unique</v>
      </c>
    </row>
    <row r="221" customFormat="false" ht="15" hidden="false" customHeight="false" outlineLevel="0" collapsed="false">
      <c r="A221" s="8" t="s">
        <v>515</v>
      </c>
      <c r="B221" s="8" t="s">
        <v>516</v>
      </c>
      <c r="C221" s="9" t="n">
        <v>12</v>
      </c>
      <c r="D221" s="8" t="s">
        <v>190</v>
      </c>
      <c r="E221" s="8" t="s">
        <v>517</v>
      </c>
      <c r="F221" s="8" t="s">
        <v>317</v>
      </c>
      <c r="G221" s="9" t="n">
        <v>300</v>
      </c>
      <c r="H221" s="10" t="n">
        <v>45787</v>
      </c>
      <c r="I221" s="8" t="str">
        <f aca="false">A221&amp;"|"&amp;B221&amp;"|"&amp;C221&amp;"|"&amp;D221&amp;"|"&amp;E221&amp;"|"&amp;F221&amp;"|"&amp;G221&amp;"|"&amp;H221</f>
        <v>PT0099|Ashok Nair|12|Male |arthritis|ibuprofen|300|45787</v>
      </c>
      <c r="J221" s="8" t="str">
        <f aca="false">IF(COUNTIF($I$2:I221,I221)&gt;1,"Duplicate","Unique")</f>
        <v>Duplicate</v>
      </c>
    </row>
    <row r="222" customFormat="false" ht="15" hidden="false" customHeight="false" outlineLevel="0" collapsed="false">
      <c r="A222" s="8" t="s">
        <v>583</v>
      </c>
      <c r="B222" s="8"/>
      <c r="C222" s="9" t="n">
        <v>72</v>
      </c>
      <c r="D222" s="8" t="s">
        <v>131</v>
      </c>
      <c r="E222" s="8" t="s">
        <v>86</v>
      </c>
      <c r="F222" s="8" t="s">
        <v>390</v>
      </c>
      <c r="G222" s="9" t="n">
        <v>615</v>
      </c>
      <c r="H222" s="10" t="n">
        <v>46099</v>
      </c>
      <c r="I222" s="8" t="str">
        <f aca="false">A222&amp;"|"&amp;B222&amp;"|"&amp;C222&amp;"|"&amp;D222&amp;"|"&amp;E222&amp;"|"&amp;F222&amp;"|"&amp;G222&amp;"|"&amp;H222</f>
        <v>PT0106||72|Female | Flu |Paracetamol|615|46099</v>
      </c>
      <c r="J222" s="8" t="str">
        <f aca="false">IF(COUNTIF($I$2:I222,I222)&gt;1,"Duplicate","Unique")</f>
        <v>Unique</v>
      </c>
    </row>
    <row r="223" customFormat="false" ht="15" hidden="false" customHeight="false" outlineLevel="0" collapsed="false">
      <c r="A223" s="8" t="s">
        <v>502</v>
      </c>
      <c r="B223" s="8" t="s">
        <v>503</v>
      </c>
      <c r="C223" s="9" t="n">
        <v>57</v>
      </c>
      <c r="D223" s="8" t="s">
        <v>81</v>
      </c>
      <c r="E223" s="8" t="s">
        <v>144</v>
      </c>
      <c r="F223" s="8" t="s">
        <v>135</v>
      </c>
      <c r="G223" s="9" t="n">
        <v>55</v>
      </c>
      <c r="H223" s="10" t="n">
        <v>46088</v>
      </c>
      <c r="I223" s="8" t="str">
        <f aca="false">A223&amp;"|"&amp;B223&amp;"|"&amp;C223&amp;"|"&amp;D223&amp;"|"&amp;E223&amp;"|"&amp;F223&amp;"|"&amp;G223&amp;"|"&amp;H223</f>
        <v>PT0029|Sunita Chauhan|57|female|MIGRAINE|Sumatriptan  |55|46088</v>
      </c>
      <c r="J223" s="8" t="str">
        <f aca="false">IF(COUNTIF($I$2:I223,I223)&gt;1,"Duplicate","Unique")</f>
        <v>Duplicate</v>
      </c>
    </row>
    <row r="224" customFormat="false" ht="15" hidden="false" customHeight="false" outlineLevel="0" collapsed="false">
      <c r="A224" s="8" t="s">
        <v>584</v>
      </c>
      <c r="B224" s="8" t="s">
        <v>585</v>
      </c>
      <c r="C224" s="9" t="n">
        <v>64</v>
      </c>
      <c r="D224" s="8" t="s">
        <v>109</v>
      </c>
      <c r="E224" s="8" t="s">
        <v>328</v>
      </c>
      <c r="F224" s="8" t="s">
        <v>390</v>
      </c>
      <c r="G224" s="9" t="n">
        <v>540</v>
      </c>
      <c r="H224" s="10" t="n">
        <v>45562</v>
      </c>
      <c r="I224" s="8" t="str">
        <f aca="false">A224&amp;"|"&amp;B224&amp;"|"&amp;C224&amp;"|"&amp;D224&amp;"|"&amp;E224&amp;"|"&amp;F224&amp;"|"&amp;G224&amp;"|"&amp;H224</f>
        <v>PT0125|Anita Saxena|64|f|Flu  |Paracetamol|540|45562</v>
      </c>
      <c r="J224" s="8" t="str">
        <f aca="false">IF(COUNTIF($I$2:I224,I224)&gt;1,"Duplicate","Unique")</f>
        <v>Unique</v>
      </c>
    </row>
    <row r="225" customFormat="false" ht="15" hidden="false" customHeight="false" outlineLevel="0" collapsed="false">
      <c r="A225" s="8" t="s">
        <v>479</v>
      </c>
      <c r="B225" s="8" t="s">
        <v>480</v>
      </c>
      <c r="C225" s="9" t="n">
        <v>42</v>
      </c>
      <c r="D225" s="8" t="s">
        <v>104</v>
      </c>
      <c r="E225" s="8" t="s">
        <v>125</v>
      </c>
      <c r="F225" s="8" t="s">
        <v>126</v>
      </c>
      <c r="G225" s="9" t="n">
        <v>580</v>
      </c>
      <c r="H225" s="10" t="n">
        <v>45967</v>
      </c>
      <c r="I225" s="8" t="str">
        <f aca="false">A225&amp;"|"&amp;B225&amp;"|"&amp;C225&amp;"|"&amp;D225&amp;"|"&amp;E225&amp;"|"&amp;F225&amp;"|"&amp;G225&amp;"|"&amp;H225</f>
        <v>PT0179|Swati Mishra|42| Female|diabetes|Metformin  |580|45967</v>
      </c>
      <c r="J225" s="8" t="str">
        <f aca="false">IF(COUNTIF($I$2:I225,I225)&gt;1,"Duplicate","Unique")</f>
        <v>Duplicate</v>
      </c>
    </row>
    <row r="226" customFormat="false" ht="15" hidden="false" customHeight="false" outlineLevel="0" collapsed="false">
      <c r="A226" s="8" t="s">
        <v>381</v>
      </c>
      <c r="B226" s="8" t="s">
        <v>382</v>
      </c>
      <c r="C226" s="9" t="n">
        <v>51</v>
      </c>
      <c r="D226" s="8" t="s">
        <v>104</v>
      </c>
      <c r="E226" s="8" t="s">
        <v>162</v>
      </c>
      <c r="F226" s="8" t="s">
        <v>110</v>
      </c>
      <c r="G226" s="9" t="n">
        <v>5</v>
      </c>
      <c r="H226" s="10" t="n">
        <v>45631</v>
      </c>
      <c r="I226" s="8" t="str">
        <f aca="false">A226&amp;"|"&amp;B226&amp;"|"&amp;C226&amp;"|"&amp;D226&amp;"|"&amp;E226&amp;"|"&amp;F226&amp;"|"&amp;G226&amp;"|"&amp;H226</f>
        <v>PT0034|Ritu Rao|51| Female|Hypertension  | Amlodipine |5|45631</v>
      </c>
      <c r="J226" s="8" t="str">
        <f aca="false">IF(COUNTIF($I$2:I226,I226)&gt;1,"Duplicate","Unique")</f>
        <v>Duplicate</v>
      </c>
    </row>
    <row r="227" customFormat="false" ht="15" hidden="false" customHeight="false" outlineLevel="0" collapsed="false">
      <c r="A227" s="8" t="s">
        <v>586</v>
      </c>
      <c r="B227" s="8" t="s">
        <v>587</v>
      </c>
      <c r="C227" s="9" t="n">
        <v>35</v>
      </c>
      <c r="D227" s="8" t="s">
        <v>109</v>
      </c>
      <c r="E227" s="8" t="s">
        <v>196</v>
      </c>
      <c r="F227" s="8" t="s">
        <v>390</v>
      </c>
      <c r="G227" s="9" t="n">
        <v>515</v>
      </c>
      <c r="H227" s="10" t="n">
        <v>45856</v>
      </c>
      <c r="I227" s="8" t="str">
        <f aca="false">A227&amp;"|"&amp;B227&amp;"|"&amp;C227&amp;"|"&amp;D227&amp;"|"&amp;E227&amp;"|"&amp;F227&amp;"|"&amp;G227&amp;"|"&amp;H227</f>
        <v>PT0187|Rekha Pandey|35|f|FLU|Paracetamol|515|45856</v>
      </c>
      <c r="J227" s="8" t="str">
        <f aca="false">IF(COUNTIF($I$2:I227,I227)&gt;1,"Duplicate","Unique")</f>
        <v>Unique</v>
      </c>
    </row>
    <row r="228" customFormat="false" ht="15" hidden="false" customHeight="false" outlineLevel="0" collapsed="false">
      <c r="A228" s="8" t="s">
        <v>588</v>
      </c>
      <c r="B228" s="8" t="s">
        <v>589</v>
      </c>
      <c r="C228" s="9"/>
      <c r="D228" s="8" t="s">
        <v>81</v>
      </c>
      <c r="E228" s="8" t="s">
        <v>199</v>
      </c>
      <c r="F228" s="8" t="s">
        <v>317</v>
      </c>
      <c r="G228" s="9" t="n">
        <v>310</v>
      </c>
      <c r="H228" s="10" t="n">
        <v>46055</v>
      </c>
      <c r="I228" s="8" t="str">
        <f aca="false">A228&amp;"|"&amp;B228&amp;"|"&amp;C228&amp;"|"&amp;D228&amp;"|"&amp;E228&amp;"|"&amp;F228&amp;"|"&amp;G228&amp;"|"&amp;H228</f>
        <v>PT0215|Renu Joshi||female|Arthritis  |ibuprofen|310|46055</v>
      </c>
      <c r="J228" s="8" t="str">
        <f aca="false">IF(COUNTIF($I$2:I228,I228)&gt;1,"Duplicate","Unique")</f>
        <v>Unique</v>
      </c>
    </row>
    <row r="229" customFormat="false" ht="15" hidden="false" customHeight="false" outlineLevel="0" collapsed="false">
      <c r="A229" s="8" t="s">
        <v>590</v>
      </c>
      <c r="B229" s="8" t="s">
        <v>591</v>
      </c>
      <c r="C229" s="9" t="n">
        <v>21</v>
      </c>
      <c r="D229" s="8" t="s">
        <v>76</v>
      </c>
      <c r="E229" s="8" t="s">
        <v>144</v>
      </c>
      <c r="F229" s="8" t="s">
        <v>157</v>
      </c>
      <c r="G229" s="9"/>
      <c r="H229" s="10" t="n">
        <v>46197</v>
      </c>
      <c r="I229" s="8" t="str">
        <f aca="false">A229&amp;"|"&amp;B229&amp;"|"&amp;C229&amp;"|"&amp;D229&amp;"|"&amp;E229&amp;"|"&amp;F229&amp;"|"&amp;G229&amp;"|"&amp;H229</f>
        <v>PT0226|Nitin Yadav|21| Male|MIGRAINE|sumatriptan||46197</v>
      </c>
      <c r="J229" s="8" t="str">
        <f aca="false">IF(COUNTIF($I$2:I229,I229)&gt;1,"Duplicate","Unique")</f>
        <v>Unique</v>
      </c>
    </row>
    <row r="230" customFormat="false" ht="15" hidden="false" customHeight="false" outlineLevel="0" collapsed="false">
      <c r="A230" s="8" t="s">
        <v>592</v>
      </c>
      <c r="B230" s="8" t="s">
        <v>593</v>
      </c>
      <c r="C230" s="9" t="n">
        <v>44</v>
      </c>
      <c r="D230" s="8" t="s">
        <v>109</v>
      </c>
      <c r="E230" s="8" t="s">
        <v>82</v>
      </c>
      <c r="F230" s="8" t="s">
        <v>236</v>
      </c>
      <c r="G230" s="9" t="n">
        <v>635</v>
      </c>
      <c r="H230" s="10" t="n">
        <v>45774</v>
      </c>
      <c r="I230" s="8" t="str">
        <f aca="false">A230&amp;"|"&amp;B230&amp;"|"&amp;C230&amp;"|"&amp;D230&amp;"|"&amp;E230&amp;"|"&amp;F230&amp;"|"&amp;G230&amp;"|"&amp;H230</f>
        <v>PT0176|Shalini Rao|44|f|Diabetes  |METFORMIN|635|45774</v>
      </c>
      <c r="J230" s="8" t="str">
        <f aca="false">IF(COUNTIF($I$2:I230,I230)&gt;1,"Duplicate","Unique")</f>
        <v>Unique</v>
      </c>
    </row>
    <row r="231" customFormat="false" ht="15" hidden="false" customHeight="false" outlineLevel="0" collapsed="false">
      <c r="A231" s="8" t="s">
        <v>594</v>
      </c>
      <c r="B231" s="8" t="s">
        <v>595</v>
      </c>
      <c r="C231" s="9" t="n">
        <v>19</v>
      </c>
      <c r="D231" s="8" t="s">
        <v>46</v>
      </c>
      <c r="E231" s="8" t="s">
        <v>86</v>
      </c>
      <c r="F231" s="8"/>
      <c r="G231" s="9" t="n">
        <v>620</v>
      </c>
      <c r="H231" s="10" t="n">
        <v>45882</v>
      </c>
      <c r="I231" s="8" t="str">
        <f aca="false">A231&amp;"|"&amp;B231&amp;"|"&amp;C231&amp;"|"&amp;D231&amp;"|"&amp;E231&amp;"|"&amp;F231&amp;"|"&amp;G231&amp;"|"&amp;H231</f>
        <v>PT0221|Vinod Kumar|19|Male| Flu ||620|45882</v>
      </c>
      <c r="J231" s="8" t="str">
        <f aca="false">IF(COUNTIF($I$2:I231,I231)&gt;1,"Duplicate","Unique")</f>
        <v>Unique</v>
      </c>
    </row>
    <row r="232" customFormat="false" ht="15" hidden="false" customHeight="false" outlineLevel="0" collapsed="false">
      <c r="A232" s="8" t="s">
        <v>596</v>
      </c>
      <c r="B232" s="8" t="s">
        <v>71</v>
      </c>
      <c r="C232" s="9" t="n">
        <v>32</v>
      </c>
      <c r="D232" s="8" t="s">
        <v>67</v>
      </c>
      <c r="E232" s="8" t="s">
        <v>459</v>
      </c>
      <c r="F232" s="8" t="s">
        <v>149</v>
      </c>
      <c r="G232" s="9" t="n">
        <v>85</v>
      </c>
      <c r="H232" s="10" t="n">
        <v>45820</v>
      </c>
      <c r="I232" s="8" t="str">
        <f aca="false">A232&amp;"|"&amp;B232&amp;"|"&amp;C232&amp;"|"&amp;D232&amp;"|"&amp;E232&amp;"|"&amp;F232&amp;"|"&amp;G232&amp;"|"&amp;H232</f>
        <v>PT0008|Alok Mishra|32|M|depression| Sertraline |85|45820</v>
      </c>
      <c r="J232" s="8" t="str">
        <f aca="false">IF(COUNTIF($I$2:I232,I232)&gt;1,"Duplicate","Unique")</f>
        <v>Unique</v>
      </c>
    </row>
    <row r="233" customFormat="false" ht="15" hidden="false" customHeight="false" outlineLevel="0" collapsed="false">
      <c r="A233" s="8" t="s">
        <v>188</v>
      </c>
      <c r="B233" s="8" t="s">
        <v>189</v>
      </c>
      <c r="C233" s="9" t="n">
        <v>33</v>
      </c>
      <c r="D233" s="8" t="s">
        <v>190</v>
      </c>
      <c r="E233" s="8"/>
      <c r="F233" s="8" t="s">
        <v>135</v>
      </c>
      <c r="G233" s="9" t="n">
        <v>60</v>
      </c>
      <c r="H233" s="10" t="n">
        <v>45739</v>
      </c>
      <c r="I233" s="8" t="str">
        <f aca="false">A233&amp;"|"&amp;B233&amp;"|"&amp;C233&amp;"|"&amp;D233&amp;"|"&amp;E233&amp;"|"&amp;F233&amp;"|"&amp;G233&amp;"|"&amp;H233</f>
        <v>PT0070|Dinesh Mishra|33|Male ||Sumatriptan  |60|45739</v>
      </c>
      <c r="J233" s="8" t="str">
        <f aca="false">IF(COUNTIF($I$2:I233,I233)&gt;1,"Duplicate","Unique")</f>
        <v>Duplicate</v>
      </c>
    </row>
    <row r="234" customFormat="false" ht="15" hidden="false" customHeight="false" outlineLevel="0" collapsed="false">
      <c r="A234" s="8" t="s">
        <v>597</v>
      </c>
      <c r="B234" s="8" t="s">
        <v>598</v>
      </c>
      <c r="C234" s="9" t="n">
        <v>65</v>
      </c>
      <c r="D234" s="8" t="s">
        <v>203</v>
      </c>
      <c r="E234" s="8" t="s">
        <v>122</v>
      </c>
      <c r="F234" s="8" t="s">
        <v>193</v>
      </c>
      <c r="G234" s="9" t="n">
        <v>5</v>
      </c>
      <c r="H234" s="10" t="n">
        <v>45703</v>
      </c>
      <c r="I234" s="8" t="str">
        <f aca="false">A234&amp;"|"&amp;B234&amp;"|"&amp;C234&amp;"|"&amp;D234&amp;"|"&amp;E234&amp;"|"&amp;F234&amp;"|"&amp;G234&amp;"|"&amp;H234</f>
        <v>PT0092|Dinesh Rathore|65|m| Hypertension |Amlodipine  |5|45703</v>
      </c>
      <c r="J234" s="8" t="str">
        <f aca="false">IF(COUNTIF($I$2:I234,I234)&gt;1,"Duplicate","Unique")</f>
        <v>Unique</v>
      </c>
    </row>
    <row r="235" customFormat="false" ht="15" hidden="false" customHeight="false" outlineLevel="0" collapsed="false">
      <c r="A235" s="8" t="s">
        <v>599</v>
      </c>
      <c r="B235" s="8" t="s">
        <v>124</v>
      </c>
      <c r="C235" s="9" t="n">
        <v>22</v>
      </c>
      <c r="D235" s="8" t="s">
        <v>95</v>
      </c>
      <c r="E235" s="8" t="s">
        <v>239</v>
      </c>
      <c r="F235" s="8" t="s">
        <v>157</v>
      </c>
      <c r="G235" s="9" t="n">
        <v>65</v>
      </c>
      <c r="H235" s="10"/>
      <c r="I235" s="8" t="str">
        <f aca="false">A235&amp;"|"&amp;B235&amp;"|"&amp;C235&amp;"|"&amp;D235&amp;"|"&amp;E235&amp;"|"&amp;F235&amp;"|"&amp;G235&amp;"|"&amp;H235</f>
        <v>PT0200|Usha Verma|22|F|Migraine  |sumatriptan|65|</v>
      </c>
      <c r="J235" s="8" t="str">
        <f aca="false">IF(COUNTIF($I$2:I235,I235)&gt;1,"Duplicate","Unique")</f>
        <v>Unique</v>
      </c>
    </row>
    <row r="236" customFormat="false" ht="15" hidden="false" customHeight="false" outlineLevel="0" collapsed="false">
      <c r="A236" s="8" t="s">
        <v>600</v>
      </c>
      <c r="B236" s="8" t="s">
        <v>601</v>
      </c>
      <c r="C236" s="9" t="n">
        <v>73</v>
      </c>
      <c r="D236" s="8" t="s">
        <v>81</v>
      </c>
      <c r="E236" s="8" t="s">
        <v>580</v>
      </c>
      <c r="F236" s="8" t="s">
        <v>394</v>
      </c>
      <c r="G236" s="9" t="n">
        <v>65</v>
      </c>
      <c r="H236" s="10" t="n">
        <v>46166</v>
      </c>
      <c r="I236" s="8" t="str">
        <f aca="false">A236&amp;"|"&amp;B236&amp;"|"&amp;C236&amp;"|"&amp;D236&amp;"|"&amp;E236&amp;"|"&amp;F236&amp;"|"&amp;G236&amp;"|"&amp;H236</f>
        <v>PT0098|Neha Reddy|73|female| Thyroid Disorder |Levothyroxine|65|46166</v>
      </c>
      <c r="J236" s="8" t="str">
        <f aca="false">IF(COUNTIF($I$2:I236,I236)&gt;1,"Duplicate","Unique")</f>
        <v>Unique</v>
      </c>
    </row>
    <row r="237" customFormat="false" ht="15" hidden="false" customHeight="false" outlineLevel="0" collapsed="false">
      <c r="A237" s="8" t="s">
        <v>602</v>
      </c>
      <c r="B237" s="8" t="s">
        <v>603</v>
      </c>
      <c r="C237" s="9"/>
      <c r="D237" s="8" t="s">
        <v>90</v>
      </c>
      <c r="E237" s="8" t="s">
        <v>220</v>
      </c>
      <c r="F237" s="8"/>
      <c r="G237" s="9" t="n">
        <v>500</v>
      </c>
      <c r="H237" s="10" t="n">
        <v>46115</v>
      </c>
      <c r="I237" s="8" t="str">
        <f aca="false">A237&amp;"|"&amp;B237&amp;"|"&amp;C237&amp;"|"&amp;D237&amp;"|"&amp;E237&amp;"|"&amp;F237&amp;"|"&amp;G237&amp;"|"&amp;H237</f>
        <v>PT0157|Suman Agarwal||Female|flu||500|46115</v>
      </c>
      <c r="J237" s="8" t="str">
        <f aca="false">IF(COUNTIF($I$2:I237,I237)&gt;1,"Duplicate","Unique")</f>
        <v>Unique</v>
      </c>
    </row>
    <row r="238" customFormat="false" ht="15" hidden="false" customHeight="false" outlineLevel="0" collapsed="false">
      <c r="A238" s="8" t="s">
        <v>509</v>
      </c>
      <c r="B238" s="8" t="s">
        <v>510</v>
      </c>
      <c r="C238" s="9" t="n">
        <v>42</v>
      </c>
      <c r="D238" s="8" t="s">
        <v>121</v>
      </c>
      <c r="E238" s="8" t="s">
        <v>378</v>
      </c>
      <c r="F238" s="8" t="s">
        <v>312</v>
      </c>
      <c r="G238" s="9" t="n">
        <v>295</v>
      </c>
      <c r="H238" s="10" t="n">
        <v>45814</v>
      </c>
      <c r="I238" s="8" t="str">
        <f aca="false">A238&amp;"|"&amp;B238&amp;"|"&amp;C238&amp;"|"&amp;D238&amp;"|"&amp;E238&amp;"|"&amp;F238&amp;"|"&amp;G238&amp;"|"&amp;H238</f>
        <v>PT0047|Payal Yadav|42|FEMALE|Bronchitis|azithromycin|295|45814</v>
      </c>
      <c r="J238" s="8" t="str">
        <f aca="false">IF(COUNTIF($I$2:I238,I238)&gt;1,"Duplicate","Unique")</f>
        <v>Duplicate</v>
      </c>
    </row>
    <row r="239" customFormat="false" ht="15" hidden="false" customHeight="false" outlineLevel="0" collapsed="false">
      <c r="A239" s="8" t="s">
        <v>604</v>
      </c>
      <c r="B239" s="8" t="s">
        <v>605</v>
      </c>
      <c r="C239" s="9" t="n">
        <v>64</v>
      </c>
      <c r="D239" s="8" t="s">
        <v>90</v>
      </c>
      <c r="E239" s="8" t="s">
        <v>165</v>
      </c>
      <c r="F239" s="8" t="s">
        <v>172</v>
      </c>
      <c r="G239" s="9" t="n">
        <v>90</v>
      </c>
      <c r="H239" s="10" t="n">
        <v>46039</v>
      </c>
      <c r="I239" s="8" t="str">
        <f aca="false">A239&amp;"|"&amp;B239&amp;"|"&amp;C239&amp;"|"&amp;D239&amp;"|"&amp;E239&amp;"|"&amp;F239&amp;"|"&amp;G239&amp;"|"&amp;H239</f>
        <v>PT0113|Sunita Tiwari|64|Female|OBESITY|orlistat|90|46039</v>
      </c>
      <c r="J239" s="8" t="str">
        <f aca="false">IF(COUNTIF($I$2:I239,I239)&gt;1,"Duplicate","Unique")</f>
        <v>Unique</v>
      </c>
    </row>
    <row r="240" customFormat="false" ht="15" hidden="false" customHeight="false" outlineLevel="0" collapsed="false">
      <c r="A240" s="8" t="s">
        <v>606</v>
      </c>
      <c r="B240" s="8" t="s">
        <v>607</v>
      </c>
      <c r="C240" s="9" t="n">
        <v>61</v>
      </c>
      <c r="D240" s="8" t="s">
        <v>104</v>
      </c>
      <c r="E240" s="8" t="s">
        <v>393</v>
      </c>
      <c r="F240" s="8" t="s">
        <v>139</v>
      </c>
      <c r="G240" s="9" t="n">
        <v>95</v>
      </c>
      <c r="H240" s="10" t="n">
        <v>45629</v>
      </c>
      <c r="I240" s="8" t="str">
        <f aca="false">A240&amp;"|"&amp;B240&amp;"|"&amp;C240&amp;"|"&amp;D240&amp;"|"&amp;E240&amp;"|"&amp;F240&amp;"|"&amp;G240&amp;"|"&amp;H240</f>
        <v>PT0174|Meena Singh|61| Female|thyroid disorder| Levothyroxine |95|45629</v>
      </c>
      <c r="J240" s="8" t="str">
        <f aca="false">IF(COUNTIF($I$2:I240,I240)&gt;1,"Duplicate","Unique")</f>
        <v>Unique</v>
      </c>
    </row>
    <row r="241" customFormat="false" ht="15" hidden="false" customHeight="false" outlineLevel="0" collapsed="false">
      <c r="A241" s="8" t="s">
        <v>608</v>
      </c>
      <c r="B241" s="8" t="s">
        <v>609</v>
      </c>
      <c r="C241" s="9" t="n">
        <v>42</v>
      </c>
      <c r="D241" s="8" t="s">
        <v>113</v>
      </c>
      <c r="E241" s="8" t="s">
        <v>369</v>
      </c>
      <c r="F241" s="8" t="s">
        <v>115</v>
      </c>
      <c r="G241" s="9" t="n">
        <v>330</v>
      </c>
      <c r="H241" s="10" t="n">
        <v>45882</v>
      </c>
      <c r="I241" s="8" t="str">
        <f aca="false">A241&amp;"|"&amp;B241&amp;"|"&amp;C241&amp;"|"&amp;D241&amp;"|"&amp;E241&amp;"|"&amp;F241&amp;"|"&amp;G241&amp;"|"&amp;H241</f>
        <v>PT0146|Vijay Nair|42|male|BRONCHITIS|Azithromycin|330|45882</v>
      </c>
      <c r="J241" s="8" t="str">
        <f aca="false">IF(COUNTIF($I$2:I241,I241)&gt;1,"Duplicate","Unique")</f>
        <v>Unique</v>
      </c>
    </row>
    <row r="242" customFormat="false" ht="15" hidden="false" customHeight="false" outlineLevel="0" collapsed="false">
      <c r="A242" s="8" t="s">
        <v>610</v>
      </c>
      <c r="B242" s="8" t="s">
        <v>611</v>
      </c>
      <c r="C242" s="9" t="n">
        <v>45</v>
      </c>
      <c r="D242" s="8" t="s">
        <v>76</v>
      </c>
      <c r="E242" s="8" t="s">
        <v>122</v>
      </c>
      <c r="F242" s="8" t="s">
        <v>97</v>
      </c>
      <c r="G242" s="9" t="n">
        <v>5</v>
      </c>
      <c r="H242" s="10" t="n">
        <v>45856</v>
      </c>
      <c r="I242" s="8" t="str">
        <f aca="false">A242&amp;"|"&amp;B242&amp;"|"&amp;C242&amp;"|"&amp;D242&amp;"|"&amp;E242&amp;"|"&amp;F242&amp;"|"&amp;G242&amp;"|"&amp;H242</f>
        <v>PT0206|Amit Pandey|45| Male| Hypertension |amlodipine|5|45856</v>
      </c>
      <c r="J242" s="8" t="str">
        <f aca="false">IF(COUNTIF($I$2:I242,I242)&gt;1,"Duplicate","Unique")</f>
        <v>Unique</v>
      </c>
    </row>
    <row r="243" customFormat="false" ht="15" hidden="false" customHeight="false" outlineLevel="0" collapsed="false">
      <c r="A243" s="8" t="s">
        <v>612</v>
      </c>
      <c r="B243" s="8" t="s">
        <v>613</v>
      </c>
      <c r="C243" s="9" t="n">
        <v>22</v>
      </c>
      <c r="D243" s="8" t="s">
        <v>85</v>
      </c>
      <c r="E243" s="8" t="s">
        <v>529</v>
      </c>
      <c r="F243" s="8" t="s">
        <v>614</v>
      </c>
      <c r="G243" s="9" t="n">
        <v>40</v>
      </c>
      <c r="H243" s="10" t="n">
        <v>46088</v>
      </c>
      <c r="I243" s="8" t="str">
        <f aca="false">A243&amp;"|"&amp;B243&amp;"|"&amp;C243&amp;"|"&amp;D243&amp;"|"&amp;E243&amp;"|"&amp;F243&amp;"|"&amp;G243&amp;"|"&amp;H243</f>
        <v>PT0124|Sunil Shukla|22|MALE|GASTRITIS|omeprazole|40|46088</v>
      </c>
      <c r="J243" s="8" t="str">
        <f aca="false">IF(COUNTIF($I$2:I243,I243)&gt;1,"Duplicate","Unique")</f>
        <v>Unique</v>
      </c>
    </row>
    <row r="244" customFormat="false" ht="15" hidden="false" customHeight="false" outlineLevel="0" collapsed="false">
      <c r="A244" s="8" t="s">
        <v>615</v>
      </c>
      <c r="B244" s="8" t="s">
        <v>616</v>
      </c>
      <c r="C244" s="9" t="n">
        <v>62</v>
      </c>
      <c r="D244" s="8" t="s">
        <v>203</v>
      </c>
      <c r="E244" s="8" t="s">
        <v>91</v>
      </c>
      <c r="F244" s="8" t="s">
        <v>73</v>
      </c>
      <c r="G244" s="9" t="n">
        <v>890</v>
      </c>
      <c r="H244" s="10" t="n">
        <v>45927</v>
      </c>
      <c r="I244" s="8" t="str">
        <f aca="false">A244&amp;"|"&amp;B244&amp;"|"&amp;C244&amp;"|"&amp;D244&amp;"|"&amp;E244&amp;"|"&amp;F244&amp;"|"&amp;G244&amp;"|"&amp;H244</f>
        <v>PT0152|Anil Kumar|62|m| Diabetes | Metformin |890|45927</v>
      </c>
      <c r="J244" s="8" t="str">
        <f aca="false">IF(COUNTIF($I$2:I244,I244)&gt;1,"Duplicate","Unique")</f>
        <v>Unique</v>
      </c>
    </row>
    <row r="245" customFormat="false" ht="15" hidden="false" customHeight="false" outlineLevel="0" collapsed="false">
      <c r="A245" s="8" t="s">
        <v>387</v>
      </c>
      <c r="B245" s="8" t="s">
        <v>338</v>
      </c>
      <c r="C245" s="9" t="n">
        <v>33</v>
      </c>
      <c r="D245" s="8" t="s">
        <v>190</v>
      </c>
      <c r="E245" s="8" t="s">
        <v>125</v>
      </c>
      <c r="F245" s="8" t="s">
        <v>126</v>
      </c>
      <c r="G245" s="9" t="n">
        <v>760</v>
      </c>
      <c r="H245" s="10" t="n">
        <v>46036</v>
      </c>
      <c r="I245" s="8" t="str">
        <f aca="false">A245&amp;"|"&amp;B245&amp;"|"&amp;C245&amp;"|"&amp;D245&amp;"|"&amp;E245&amp;"|"&amp;F245&amp;"|"&amp;G245&amp;"|"&amp;H245</f>
        <v>PT0103|Ashok Sharma|33|Male |diabetes|Metformin  |760|46036</v>
      </c>
      <c r="J245" s="8" t="str">
        <f aca="false">IF(COUNTIF($I$2:I245,I245)&gt;1,"Duplicate","Unique")</f>
        <v>Duplicate</v>
      </c>
    </row>
    <row r="246" customFormat="false" ht="15" hidden="false" customHeight="false" outlineLevel="0" collapsed="false">
      <c r="A246" s="8" t="s">
        <v>617</v>
      </c>
      <c r="B246" s="8" t="s">
        <v>618</v>
      </c>
      <c r="C246" s="9" t="n">
        <v>43</v>
      </c>
      <c r="D246" s="8" t="s">
        <v>121</v>
      </c>
      <c r="E246" s="8" t="s">
        <v>162</v>
      </c>
      <c r="F246" s="8" t="s">
        <v>193</v>
      </c>
      <c r="G246" s="9" t="n">
        <v>5</v>
      </c>
      <c r="H246" s="10" t="n">
        <v>45859</v>
      </c>
      <c r="I246" s="8" t="str">
        <f aca="false">A246&amp;"|"&amp;B246&amp;"|"&amp;C246&amp;"|"&amp;D246&amp;"|"&amp;E246&amp;"|"&amp;F246&amp;"|"&amp;G246&amp;"|"&amp;H246</f>
        <v>PT0107|Sarita Joshi|43|FEMALE|Hypertension  |Amlodipine  |5|45859</v>
      </c>
      <c r="J246" s="8" t="str">
        <f aca="false">IF(COUNTIF($I$2:I246,I246)&gt;1,"Duplicate","Unique")</f>
        <v>Unique</v>
      </c>
    </row>
    <row r="247" customFormat="false" ht="15" hidden="false" customHeight="false" outlineLevel="0" collapsed="false">
      <c r="A247" s="8" t="s">
        <v>619</v>
      </c>
      <c r="B247" s="8" t="s">
        <v>570</v>
      </c>
      <c r="C247" s="9" t="n">
        <v>32</v>
      </c>
      <c r="D247" s="8" t="s">
        <v>67</v>
      </c>
      <c r="E247" s="8" t="s">
        <v>162</v>
      </c>
      <c r="F247" s="8" t="s">
        <v>52</v>
      </c>
      <c r="G247" s="9" t="n">
        <v>5</v>
      </c>
      <c r="H247" s="10" t="n">
        <v>46138</v>
      </c>
      <c r="I247" s="8" t="str">
        <f aca="false">A247&amp;"|"&amp;B247&amp;"|"&amp;C247&amp;"|"&amp;D247&amp;"|"&amp;E247&amp;"|"&amp;F247&amp;"|"&amp;G247&amp;"|"&amp;H247</f>
        <v>PT0027|Sandeep Reddy|32|M|Hypertension  |Amlodipine|5|46138</v>
      </c>
      <c r="J247" s="8" t="str">
        <f aca="false">IF(COUNTIF($I$2:I247,I247)&gt;1,"Duplicate","Unique")</f>
        <v>Unique</v>
      </c>
    </row>
    <row r="248" customFormat="false" ht="15" hidden="false" customHeight="false" outlineLevel="0" collapsed="false">
      <c r="A248" s="8" t="s">
        <v>620</v>
      </c>
      <c r="B248" s="8" t="s">
        <v>124</v>
      </c>
      <c r="C248" s="9"/>
      <c r="D248" s="8" t="s">
        <v>95</v>
      </c>
      <c r="E248" s="8" t="s">
        <v>175</v>
      </c>
      <c r="F248" s="8" t="s">
        <v>69</v>
      </c>
      <c r="G248" s="9" t="n">
        <v>365</v>
      </c>
      <c r="H248" s="10" t="n">
        <v>45859</v>
      </c>
      <c r="I248" s="8" t="str">
        <f aca="false">A248&amp;"|"&amp;B248&amp;"|"&amp;C248&amp;"|"&amp;D248&amp;"|"&amp;E248&amp;"|"&amp;F248&amp;"|"&amp;G248&amp;"|"&amp;H248</f>
        <v>PT0041|Usha Verma||F|ARTHRITIS|Ibuprofen|365|45859</v>
      </c>
      <c r="J248" s="8" t="str">
        <f aca="false">IF(COUNTIF($I$2:I248,I248)&gt;1,"Duplicate","Unique")</f>
        <v>Unique</v>
      </c>
    </row>
    <row r="249" customFormat="false" ht="15" hidden="false" customHeight="false" outlineLevel="0" collapsed="false">
      <c r="A249" s="8" t="s">
        <v>621</v>
      </c>
      <c r="B249" s="8" t="s">
        <v>622</v>
      </c>
      <c r="C249" s="9" t="n">
        <v>29</v>
      </c>
      <c r="D249" s="8" t="s">
        <v>90</v>
      </c>
      <c r="E249" s="8" t="s">
        <v>399</v>
      </c>
      <c r="F249" s="8"/>
      <c r="G249" s="9" t="n">
        <v>185</v>
      </c>
      <c r="H249" s="10" t="n">
        <v>45578</v>
      </c>
      <c r="I249" s="8" t="str">
        <f aca="false">A249&amp;"|"&amp;B249&amp;"|"&amp;C249&amp;"|"&amp;D249&amp;"|"&amp;E249&amp;"|"&amp;F249&amp;"|"&amp;G249&amp;"|"&amp;H249</f>
        <v>PT0217|Ritu Gupta|29|Female|Asthma  ||185|45578</v>
      </c>
      <c r="J249" s="8" t="str">
        <f aca="false">IF(COUNTIF($I$2:I249,I249)&gt;1,"Duplicate","Unique")</f>
        <v>Unique</v>
      </c>
    </row>
    <row r="250" customFormat="false" ht="15" hidden="false" customHeight="false" outlineLevel="0" collapsed="false">
      <c r="A250" s="8" t="s">
        <v>477</v>
      </c>
      <c r="B250" s="8" t="s">
        <v>478</v>
      </c>
      <c r="C250" s="9" t="n">
        <v>11</v>
      </c>
      <c r="D250" s="8" t="s">
        <v>131</v>
      </c>
      <c r="E250" s="8" t="s">
        <v>171</v>
      </c>
      <c r="F250" s="8" t="s">
        <v>440</v>
      </c>
      <c r="G250" s="9" t="n">
        <v>65</v>
      </c>
      <c r="H250" s="10" t="n">
        <v>45942</v>
      </c>
      <c r="I250" s="8" t="str">
        <f aca="false">A250&amp;"|"&amp;B250&amp;"|"&amp;C250&amp;"|"&amp;D250&amp;"|"&amp;E250&amp;"|"&amp;F250&amp;"|"&amp;G250&amp;"|"&amp;H250</f>
        <v>PT0205|Divya Mishra|11|Female |obesity|ORLISTAT|65|45942</v>
      </c>
      <c r="J250" s="8" t="str">
        <f aca="false">IF(COUNTIF($I$2:I250,I250)&gt;1,"Duplicate","Unique")</f>
        <v>Duplicate</v>
      </c>
    </row>
    <row r="251" customFormat="false" ht="15" hidden="false" customHeight="false" outlineLevel="0" collapsed="false">
      <c r="A251" s="8" t="s">
        <v>623</v>
      </c>
      <c r="B251" s="8" t="s">
        <v>624</v>
      </c>
      <c r="C251" s="9" t="n">
        <v>95</v>
      </c>
      <c r="D251" s="8" t="s">
        <v>67</v>
      </c>
      <c r="E251" s="8" t="s">
        <v>178</v>
      </c>
      <c r="F251" s="8" t="s">
        <v>625</v>
      </c>
      <c r="G251" s="9" t="n">
        <v>385</v>
      </c>
      <c r="H251" s="10" t="n">
        <v>46146</v>
      </c>
      <c r="I251" s="8" t="str">
        <f aca="false">A251&amp;"|"&amp;B251&amp;"|"&amp;C251&amp;"|"&amp;D251&amp;"|"&amp;E251&amp;"|"&amp;F251&amp;"|"&amp;G251&amp;"|"&amp;H251</f>
        <v>PT0016|Ramesh Kumar|95|M|Bronchitis  |AZITHROMYCIN|385|46146</v>
      </c>
      <c r="J251" s="8" t="str">
        <f aca="false">IF(COUNTIF($I$2:I251,I251)&gt;1,"Duplicate","Unique")</f>
        <v>Unique</v>
      </c>
    </row>
  </sheetData>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D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6"/>
    <col collapsed="false" customWidth="true" hidden="false" outlineLevel="0" max="4" min="3" style="0" width="16"/>
  </cols>
  <sheetData>
    <row r="2" customFormat="false" ht="19.7" hidden="false" customHeight="false" outlineLevel="0" collapsed="false">
      <c r="B2" s="1" t="s">
        <v>626</v>
      </c>
    </row>
    <row r="3" customFormat="false" ht="15" hidden="false" customHeight="false" outlineLevel="0" collapsed="false">
      <c r="B3" s="2" t="s">
        <v>627</v>
      </c>
    </row>
    <row r="5" customFormat="false" ht="15" hidden="false" customHeight="false" outlineLevel="0" collapsed="false">
      <c r="B5" s="11" t="s">
        <v>628</v>
      </c>
      <c r="C5" s="11"/>
      <c r="D5" s="11"/>
    </row>
    <row r="6" customFormat="false" ht="15" hidden="false" customHeight="false" outlineLevel="0" collapsed="false">
      <c r="B6" s="8" t="s">
        <v>629</v>
      </c>
      <c r="C6" s="12" t="n">
        <f aca="false">COUNTA('Raw Data'!A2:A251)</f>
        <v>250</v>
      </c>
    </row>
    <row r="7" customFormat="false" ht="15" hidden="false" customHeight="false" outlineLevel="0" collapsed="false">
      <c r="B7" s="8" t="s">
        <v>630</v>
      </c>
      <c r="C7" s="12" t="n">
        <f aca="false">COUNTIF('Raw Data'!J2:J251,"Duplicate")</f>
        <v>20</v>
      </c>
    </row>
    <row r="8" customFormat="false" ht="15" hidden="false" customHeight="false" outlineLevel="0" collapsed="false">
      <c r="B8" s="8" t="s">
        <v>631</v>
      </c>
      <c r="C8" s="12" t="n">
        <f aca="false">COUNTIF('Raw Data'!C2:C251,"&lt;=0")+COUNTIF('Raw Data'!C2:C251,"&gt;110")</f>
        <v>4</v>
      </c>
    </row>
    <row r="10" customFormat="false" ht="15" hidden="false" customHeight="false" outlineLevel="0" collapsed="false">
      <c r="B10" s="11" t="s">
        <v>632</v>
      </c>
      <c r="C10" s="11"/>
      <c r="D10" s="11"/>
    </row>
    <row r="11" customFormat="false" ht="15" hidden="false" customHeight="false" outlineLevel="0" collapsed="false">
      <c r="B11" s="5" t="s">
        <v>633</v>
      </c>
      <c r="C11" s="5" t="s">
        <v>634</v>
      </c>
      <c r="D11" s="5" t="s">
        <v>635</v>
      </c>
    </row>
    <row r="12" customFormat="false" ht="15" hidden="false" customHeight="false" outlineLevel="0" collapsed="false">
      <c r="B12" s="13" t="s">
        <v>34</v>
      </c>
      <c r="C12" s="13" t="n">
        <f aca="false">COUNTBLANK('Raw Data'!B2:B251)</f>
        <v>3</v>
      </c>
      <c r="D12" s="14" t="n">
        <f aca="false">C12/250</f>
        <v>0.012</v>
      </c>
    </row>
    <row r="13" customFormat="false" ht="15" hidden="false" customHeight="false" outlineLevel="0" collapsed="false">
      <c r="B13" s="13" t="s">
        <v>39</v>
      </c>
      <c r="C13" s="13" t="n">
        <f aca="false">COUNTBLANK('Raw Data'!C2:C251)</f>
        <v>10</v>
      </c>
      <c r="D13" s="14" t="n">
        <f aca="false">C13/250</f>
        <v>0.04</v>
      </c>
    </row>
    <row r="14" customFormat="false" ht="15" hidden="false" customHeight="false" outlineLevel="0" collapsed="false">
      <c r="B14" s="13" t="s">
        <v>44</v>
      </c>
      <c r="C14" s="13" t="n">
        <f aca="false">COUNTBLANK('Raw Data'!D2:D251)</f>
        <v>7</v>
      </c>
      <c r="D14" s="14" t="n">
        <f aca="false">C14/250</f>
        <v>0.028</v>
      </c>
    </row>
    <row r="15" customFormat="false" ht="15" hidden="false" customHeight="false" outlineLevel="0" collapsed="false">
      <c r="B15" s="13" t="s">
        <v>47</v>
      </c>
      <c r="C15" s="13" t="n">
        <f aca="false">COUNTBLANK('Raw Data'!E2:E251)</f>
        <v>10</v>
      </c>
      <c r="D15" s="14" t="n">
        <f aca="false">C15/250</f>
        <v>0.04</v>
      </c>
    </row>
    <row r="16" customFormat="false" ht="15" hidden="false" customHeight="false" outlineLevel="0" collapsed="false">
      <c r="B16" s="13" t="s">
        <v>50</v>
      </c>
      <c r="C16" s="13" t="n">
        <f aca="false">COUNTBLANK('Raw Data'!F2:F251)</f>
        <v>12</v>
      </c>
      <c r="D16" s="14" t="n">
        <f aca="false">C16/250</f>
        <v>0.048</v>
      </c>
    </row>
    <row r="17" customFormat="false" ht="15" hidden="false" customHeight="false" outlineLevel="0" collapsed="false">
      <c r="B17" s="13" t="s">
        <v>53</v>
      </c>
      <c r="C17" s="13" t="n">
        <f aca="false">COUNTBLANK('Raw Data'!G2:G251)</f>
        <v>8</v>
      </c>
      <c r="D17" s="14" t="n">
        <f aca="false">C17/250</f>
        <v>0.032</v>
      </c>
    </row>
    <row r="18" customFormat="false" ht="15" hidden="false" customHeight="false" outlineLevel="0" collapsed="false">
      <c r="B18" s="13" t="s">
        <v>58</v>
      </c>
      <c r="C18" s="13" t="n">
        <f aca="false">COUNTBLANK('Raw Data'!H2:H251)</f>
        <v>8</v>
      </c>
      <c r="D18" s="14" t="n">
        <f aca="false">C18/250</f>
        <v>0.032</v>
      </c>
    </row>
    <row r="20" customFormat="false" ht="15" hidden="false" customHeight="false" outlineLevel="0" collapsed="false">
      <c r="B20" s="11" t="s">
        <v>636</v>
      </c>
      <c r="C20" s="11"/>
      <c r="D20" s="11"/>
    </row>
    <row r="21" customFormat="false" ht="30" hidden="false" customHeight="true" outlineLevel="0" collapsed="false">
      <c r="B21" s="15" t="s">
        <v>637</v>
      </c>
      <c r="C21" s="15"/>
      <c r="D21" s="15"/>
    </row>
    <row r="22" customFormat="false" ht="30" hidden="false" customHeight="true" outlineLevel="0" collapsed="false">
      <c r="B22" s="15" t="s">
        <v>638</v>
      </c>
      <c r="C22" s="15"/>
      <c r="D22" s="15"/>
    </row>
    <row r="23" customFormat="false" ht="30" hidden="false" customHeight="true" outlineLevel="0" collapsed="false">
      <c r="B23" s="15" t="s">
        <v>639</v>
      </c>
      <c r="C23" s="15"/>
      <c r="D23" s="15"/>
    </row>
    <row r="24" customFormat="false" ht="30" hidden="false" customHeight="true" outlineLevel="0" collapsed="false">
      <c r="B24" s="15" t="s">
        <v>640</v>
      </c>
      <c r="C24" s="15"/>
      <c r="D24" s="15"/>
    </row>
    <row r="25" customFormat="false" ht="30" hidden="false" customHeight="true" outlineLevel="0" collapsed="false">
      <c r="B25" s="15" t="s">
        <v>641</v>
      </c>
      <c r="C25" s="15"/>
      <c r="D25" s="15"/>
    </row>
    <row r="26" customFormat="false" ht="30" hidden="false" customHeight="true" outlineLevel="0" collapsed="false">
      <c r="B26" s="15" t="s">
        <v>642</v>
      </c>
      <c r="C26" s="15"/>
      <c r="D26" s="15"/>
    </row>
    <row r="27" customFormat="false" ht="30" hidden="false" customHeight="true" outlineLevel="0" collapsed="false">
      <c r="B27" s="15" t="s">
        <v>643</v>
      </c>
      <c r="C27" s="15"/>
      <c r="D27" s="15"/>
    </row>
    <row r="29" customFormat="false" ht="15" hidden="false" customHeight="false" outlineLevel="0" collapsed="false">
      <c r="B29" s="11" t="s">
        <v>644</v>
      </c>
      <c r="C29" s="11"/>
      <c r="D29" s="11"/>
    </row>
    <row r="30" customFormat="false" ht="15" hidden="false" customHeight="false" outlineLevel="0" collapsed="false">
      <c r="B30" s="8" t="s">
        <v>645</v>
      </c>
      <c r="C30" s="12" t="n">
        <f aca="false">COUNTA('Cleaned Data'!A2:A231)</f>
        <v>230</v>
      </c>
    </row>
  </sheetData>
  <mergeCells count="11">
    <mergeCell ref="B5:D5"/>
    <mergeCell ref="B10:D10"/>
    <mergeCell ref="B20:D20"/>
    <mergeCell ref="B21:D21"/>
    <mergeCell ref="B22:D22"/>
    <mergeCell ref="B23:D23"/>
    <mergeCell ref="B24:D24"/>
    <mergeCell ref="B25:D25"/>
    <mergeCell ref="B26:D26"/>
    <mergeCell ref="B27:D27"/>
    <mergeCell ref="B29:D29"/>
  </mergeCells>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2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8"/>
    <col collapsed="false" customWidth="true" hidden="false" outlineLevel="0" max="3" min="3" style="0" width="7"/>
    <col collapsed="false" customWidth="true" hidden="false" outlineLevel="0" max="4" min="4" style="0" width="10"/>
    <col collapsed="false" customWidth="true" hidden="false" outlineLevel="0" max="6" min="5" style="0" width="16"/>
    <col collapsed="false" customWidth="true" hidden="false" outlineLevel="0" max="7" min="7" style="0" width="11"/>
    <col collapsed="false" customWidth="true" hidden="false" outlineLevel="0" max="8" min="8" style="0" width="15"/>
  </cols>
  <sheetData>
    <row r="1" customFormat="false" ht="15" hidden="false" customHeight="false" outlineLevel="0" collapsed="false">
      <c r="A1" s="5" t="s">
        <v>29</v>
      </c>
      <c r="B1" s="5" t="s">
        <v>34</v>
      </c>
      <c r="C1" s="5" t="s">
        <v>39</v>
      </c>
      <c r="D1" s="5" t="s">
        <v>44</v>
      </c>
      <c r="E1" s="5" t="s">
        <v>47</v>
      </c>
      <c r="F1" s="5" t="s">
        <v>50</v>
      </c>
      <c r="G1" s="5" t="s">
        <v>53</v>
      </c>
      <c r="H1" s="5" t="s">
        <v>58</v>
      </c>
    </row>
    <row r="2" customFormat="false" ht="15" hidden="false" customHeight="false" outlineLevel="0" collapsed="false">
      <c r="A2" s="8" t="s">
        <v>65</v>
      </c>
      <c r="B2" s="8" t="s">
        <v>66</v>
      </c>
      <c r="C2" s="9" t="n">
        <v>58</v>
      </c>
      <c r="D2" s="8" t="s">
        <v>46</v>
      </c>
      <c r="E2" s="8" t="s">
        <v>68</v>
      </c>
      <c r="F2" s="8" t="s">
        <v>69</v>
      </c>
      <c r="G2" s="9" t="n">
        <v>320</v>
      </c>
      <c r="H2" s="10" t="n">
        <v>45731</v>
      </c>
    </row>
    <row r="3" customFormat="false" ht="15" hidden="false" customHeight="false" outlineLevel="0" collapsed="false">
      <c r="A3" s="8" t="s">
        <v>70</v>
      </c>
      <c r="B3" s="8" t="s">
        <v>71</v>
      </c>
      <c r="C3" s="9" t="n">
        <v>55</v>
      </c>
      <c r="D3" s="8" t="s">
        <v>46</v>
      </c>
      <c r="E3" s="8" t="s">
        <v>72</v>
      </c>
      <c r="F3" s="8" t="s">
        <v>214</v>
      </c>
      <c r="G3" s="9" t="n">
        <v>755</v>
      </c>
      <c r="H3" s="10" t="n">
        <v>45596</v>
      </c>
    </row>
    <row r="4" customFormat="false" ht="15" hidden="false" customHeight="false" outlineLevel="0" collapsed="false">
      <c r="A4" s="8" t="s">
        <v>74</v>
      </c>
      <c r="B4" s="8" t="s">
        <v>75</v>
      </c>
      <c r="C4" s="9" t="n">
        <v>50</v>
      </c>
      <c r="D4" s="8" t="s">
        <v>46</v>
      </c>
      <c r="E4" s="8" t="s">
        <v>148</v>
      </c>
      <c r="F4" s="8" t="s">
        <v>646</v>
      </c>
      <c r="G4" s="9" t="n">
        <v>75</v>
      </c>
      <c r="H4" s="10" t="n">
        <v>45690</v>
      </c>
    </row>
    <row r="5" customFormat="false" ht="15" hidden="false" customHeight="false" outlineLevel="0" collapsed="false">
      <c r="A5" s="8" t="s">
        <v>79</v>
      </c>
      <c r="B5" s="8" t="s">
        <v>80</v>
      </c>
      <c r="C5" s="9" t="n">
        <v>58</v>
      </c>
      <c r="D5" s="8" t="s">
        <v>90</v>
      </c>
      <c r="E5" s="8" t="s">
        <v>72</v>
      </c>
      <c r="F5" s="8" t="s">
        <v>647</v>
      </c>
      <c r="G5" s="9" t="n">
        <v>765</v>
      </c>
      <c r="H5" s="10" t="n">
        <v>45794</v>
      </c>
    </row>
    <row r="6" customFormat="false" ht="15" hidden="false" customHeight="false" outlineLevel="0" collapsed="false">
      <c r="A6" s="8" t="s">
        <v>83</v>
      </c>
      <c r="B6" s="8" t="s">
        <v>84</v>
      </c>
      <c r="C6" s="9" t="n">
        <v>39</v>
      </c>
      <c r="D6" s="8" t="s">
        <v>46</v>
      </c>
      <c r="E6" s="8" t="s">
        <v>298</v>
      </c>
      <c r="F6" s="8" t="s">
        <v>390</v>
      </c>
      <c r="G6" s="9" t="n">
        <v>550</v>
      </c>
      <c r="H6" s="10" t="n">
        <v>45697</v>
      </c>
    </row>
    <row r="7" customFormat="false" ht="15" hidden="false" customHeight="false" outlineLevel="0" collapsed="false">
      <c r="A7" s="8" t="s">
        <v>88</v>
      </c>
      <c r="B7" s="8" t="s">
        <v>89</v>
      </c>
      <c r="C7" s="9" t="n">
        <v>55</v>
      </c>
      <c r="D7" s="8" t="s">
        <v>90</v>
      </c>
      <c r="E7" s="8" t="s">
        <v>72</v>
      </c>
      <c r="F7" s="8" t="s">
        <v>214</v>
      </c>
      <c r="G7" s="9" t="n">
        <v>820</v>
      </c>
      <c r="H7" s="10" t="n">
        <v>46152</v>
      </c>
    </row>
    <row r="8" customFormat="false" ht="15" hidden="false" customHeight="false" outlineLevel="0" collapsed="false">
      <c r="A8" s="8" t="s">
        <v>93</v>
      </c>
      <c r="B8" s="8" t="s">
        <v>94</v>
      </c>
      <c r="C8" s="9" t="n">
        <v>74</v>
      </c>
      <c r="D8" s="8" t="s">
        <v>90</v>
      </c>
      <c r="E8" s="8" t="s">
        <v>49</v>
      </c>
      <c r="F8" s="8" t="s">
        <v>52</v>
      </c>
      <c r="G8" s="9" t="n">
        <v>10</v>
      </c>
      <c r="H8" s="10" t="n">
        <v>46258</v>
      </c>
    </row>
    <row r="9" customFormat="false" ht="15" hidden="false" customHeight="false" outlineLevel="0" collapsed="false">
      <c r="A9" s="8" t="s">
        <v>98</v>
      </c>
      <c r="B9" s="8" t="s">
        <v>99</v>
      </c>
      <c r="C9" s="9" t="n">
        <v>45</v>
      </c>
      <c r="D9" s="8" t="s">
        <v>648</v>
      </c>
      <c r="E9" s="8" t="s">
        <v>49</v>
      </c>
      <c r="F9" s="8" t="s">
        <v>52</v>
      </c>
      <c r="G9" s="9" t="n">
        <v>10</v>
      </c>
      <c r="H9" s="10" t="n">
        <v>45565</v>
      </c>
    </row>
    <row r="10" customFormat="false" ht="15" hidden="false" customHeight="false" outlineLevel="0" collapsed="false">
      <c r="A10" s="8" t="s">
        <v>102</v>
      </c>
      <c r="B10" s="8" t="s">
        <v>103</v>
      </c>
      <c r="C10" s="9" t="n">
        <v>23</v>
      </c>
      <c r="D10" s="8" t="s">
        <v>90</v>
      </c>
      <c r="E10" s="8" t="s">
        <v>427</v>
      </c>
      <c r="F10" s="8" t="s">
        <v>277</v>
      </c>
      <c r="G10" s="9" t="n">
        <v>185</v>
      </c>
      <c r="H10" s="10" t="n">
        <v>45791</v>
      </c>
    </row>
    <row r="11" customFormat="false" ht="15" hidden="false" customHeight="false" outlineLevel="0" collapsed="false">
      <c r="A11" s="8" t="s">
        <v>107</v>
      </c>
      <c r="B11" s="8" t="s">
        <v>108</v>
      </c>
      <c r="C11" s="9" t="n">
        <v>59</v>
      </c>
      <c r="D11" s="8" t="s">
        <v>90</v>
      </c>
      <c r="E11" s="8" t="s">
        <v>49</v>
      </c>
      <c r="F11" s="8" t="s">
        <v>52</v>
      </c>
      <c r="G11" s="9" t="n">
        <v>5</v>
      </c>
      <c r="H11" s="10" t="n">
        <v>45891</v>
      </c>
    </row>
    <row r="12" customFormat="false" ht="15" hidden="false" customHeight="false" outlineLevel="0" collapsed="false">
      <c r="A12" s="8" t="s">
        <v>111</v>
      </c>
      <c r="B12" s="8" t="s">
        <v>112</v>
      </c>
      <c r="C12" s="9" t="n">
        <v>48</v>
      </c>
      <c r="D12" s="8" t="s">
        <v>46</v>
      </c>
      <c r="E12" s="8" t="s">
        <v>378</v>
      </c>
      <c r="F12" s="8" t="s">
        <v>115</v>
      </c>
      <c r="G12" s="9" t="n">
        <v>265</v>
      </c>
      <c r="H12" s="10" t="n">
        <v>45770</v>
      </c>
    </row>
    <row r="13" customFormat="false" ht="15" hidden="false" customHeight="false" outlineLevel="0" collapsed="false">
      <c r="A13" s="8" t="s">
        <v>116</v>
      </c>
      <c r="B13" s="8" t="s">
        <v>117</v>
      </c>
      <c r="C13" s="9" t="n">
        <v>57</v>
      </c>
      <c r="D13" s="8" t="s">
        <v>46</v>
      </c>
      <c r="E13" s="8" t="s">
        <v>647</v>
      </c>
      <c r="F13" s="8" t="s">
        <v>277</v>
      </c>
      <c r="G13" s="9" t="n">
        <v>145</v>
      </c>
      <c r="H13" s="10" t="n">
        <v>45584</v>
      </c>
    </row>
    <row r="14" customFormat="false" ht="15" hidden="false" customHeight="false" outlineLevel="0" collapsed="false">
      <c r="A14" s="8" t="s">
        <v>119</v>
      </c>
      <c r="B14" s="8" t="s">
        <v>120</v>
      </c>
      <c r="C14" s="9" t="n">
        <v>69</v>
      </c>
      <c r="D14" s="8" t="s">
        <v>90</v>
      </c>
      <c r="E14" s="8" t="s">
        <v>49</v>
      </c>
      <c r="F14" s="8" t="s">
        <v>52</v>
      </c>
      <c r="G14" s="9" t="n">
        <v>10</v>
      </c>
      <c r="H14" s="10" t="n">
        <v>45947</v>
      </c>
    </row>
    <row r="15" customFormat="false" ht="15" hidden="false" customHeight="false" outlineLevel="0" collapsed="false">
      <c r="A15" s="8" t="s">
        <v>123</v>
      </c>
      <c r="B15" s="8" t="s">
        <v>124</v>
      </c>
      <c r="C15" s="9" t="n">
        <v>60</v>
      </c>
      <c r="D15" s="8" t="s">
        <v>90</v>
      </c>
      <c r="E15" s="8" t="s">
        <v>72</v>
      </c>
      <c r="F15" s="8" t="s">
        <v>214</v>
      </c>
      <c r="G15" s="9" t="n">
        <v>585</v>
      </c>
      <c r="H15" s="10" t="n">
        <v>45797</v>
      </c>
    </row>
    <row r="16" customFormat="false" ht="15" hidden="false" customHeight="false" outlineLevel="0" collapsed="false">
      <c r="A16" s="8" t="s">
        <v>127</v>
      </c>
      <c r="B16" s="8" t="s">
        <v>128</v>
      </c>
      <c r="C16" s="9" t="n">
        <v>56</v>
      </c>
      <c r="D16" s="8" t="s">
        <v>46</v>
      </c>
      <c r="E16" s="8" t="s">
        <v>49</v>
      </c>
      <c r="F16" s="8" t="s">
        <v>52</v>
      </c>
      <c r="G16" s="9" t="n">
        <v>10</v>
      </c>
      <c r="H16" s="10" t="n">
        <v>45647</v>
      </c>
    </row>
    <row r="17" customFormat="false" ht="15" hidden="false" customHeight="false" outlineLevel="0" collapsed="false">
      <c r="A17" s="8" t="s">
        <v>129</v>
      </c>
      <c r="B17" s="8" t="s">
        <v>130</v>
      </c>
      <c r="C17" s="9" t="n">
        <v>40</v>
      </c>
      <c r="D17" s="8" t="s">
        <v>90</v>
      </c>
      <c r="E17" s="8" t="s">
        <v>49</v>
      </c>
      <c r="F17" s="8" t="s">
        <v>647</v>
      </c>
      <c r="G17" s="9" t="n">
        <v>10</v>
      </c>
      <c r="H17" s="8"/>
    </row>
    <row r="18" customFormat="false" ht="15" hidden="false" customHeight="false" outlineLevel="0" collapsed="false">
      <c r="A18" s="8" t="s">
        <v>132</v>
      </c>
      <c r="B18" s="8" t="s">
        <v>133</v>
      </c>
      <c r="C18" s="9" t="n">
        <v>37</v>
      </c>
      <c r="D18" s="8" t="s">
        <v>46</v>
      </c>
      <c r="E18" s="8" t="s">
        <v>468</v>
      </c>
      <c r="F18" s="8" t="s">
        <v>145</v>
      </c>
      <c r="G18" s="9" t="n">
        <v>75</v>
      </c>
      <c r="H18" s="10" t="n">
        <v>45631</v>
      </c>
    </row>
    <row r="19" customFormat="false" ht="15" hidden="false" customHeight="false" outlineLevel="0" collapsed="false">
      <c r="A19" s="8" t="s">
        <v>136</v>
      </c>
      <c r="B19" s="8" t="s">
        <v>137</v>
      </c>
      <c r="C19" s="9" t="n">
        <v>43</v>
      </c>
      <c r="D19" s="8" t="s">
        <v>46</v>
      </c>
      <c r="E19" s="8" t="s">
        <v>561</v>
      </c>
      <c r="F19" s="8" t="s">
        <v>394</v>
      </c>
      <c r="G19" s="9" t="n">
        <v>75</v>
      </c>
      <c r="H19" s="10" t="n">
        <v>45638</v>
      </c>
    </row>
    <row r="20" customFormat="false" ht="15" hidden="false" customHeight="false" outlineLevel="0" collapsed="false">
      <c r="A20" s="8" t="s">
        <v>140</v>
      </c>
      <c r="B20" s="8" t="s">
        <v>141</v>
      </c>
      <c r="C20" s="9" t="n">
        <v>59</v>
      </c>
      <c r="D20" s="8" t="s">
        <v>90</v>
      </c>
      <c r="E20" s="8" t="s">
        <v>72</v>
      </c>
      <c r="F20" s="8" t="s">
        <v>214</v>
      </c>
      <c r="G20" s="9" t="n">
        <v>970</v>
      </c>
      <c r="H20" s="10" t="n">
        <v>46031</v>
      </c>
    </row>
    <row r="21" customFormat="false" ht="15" hidden="false" customHeight="false" outlineLevel="0" collapsed="false">
      <c r="A21" s="8" t="s">
        <v>142</v>
      </c>
      <c r="B21" s="8" t="s">
        <v>143</v>
      </c>
      <c r="C21" s="9" t="n">
        <v>31</v>
      </c>
      <c r="D21" s="8" t="s">
        <v>90</v>
      </c>
      <c r="E21" s="8" t="s">
        <v>468</v>
      </c>
      <c r="F21" s="8" t="s">
        <v>145</v>
      </c>
      <c r="G21" s="9" t="n">
        <v>75</v>
      </c>
      <c r="H21" s="10" t="n">
        <v>46155</v>
      </c>
    </row>
    <row r="22" customFormat="false" ht="15" hidden="false" customHeight="false" outlineLevel="0" collapsed="false">
      <c r="A22" s="8" t="s">
        <v>146</v>
      </c>
      <c r="B22" s="8" t="s">
        <v>147</v>
      </c>
      <c r="C22" s="9" t="n">
        <v>52</v>
      </c>
      <c r="D22" s="8" t="s">
        <v>90</v>
      </c>
      <c r="E22" s="8" t="s">
        <v>148</v>
      </c>
      <c r="F22" s="8" t="s">
        <v>646</v>
      </c>
      <c r="G22" s="9" t="n">
        <v>80</v>
      </c>
      <c r="H22" s="10" t="n">
        <v>46079</v>
      </c>
    </row>
    <row r="23" customFormat="false" ht="15" hidden="false" customHeight="false" outlineLevel="0" collapsed="false">
      <c r="A23" s="8" t="s">
        <v>150</v>
      </c>
      <c r="B23" s="8" t="s">
        <v>151</v>
      </c>
      <c r="C23" s="9" t="n">
        <v>50</v>
      </c>
      <c r="D23" s="8" t="s">
        <v>90</v>
      </c>
      <c r="E23" s="8" t="s">
        <v>427</v>
      </c>
      <c r="F23" s="8" t="s">
        <v>277</v>
      </c>
      <c r="G23" s="9" t="n">
        <v>145</v>
      </c>
      <c r="H23" s="10" t="n">
        <v>45582</v>
      </c>
    </row>
    <row r="24" customFormat="false" ht="15" hidden="false" customHeight="false" outlineLevel="0" collapsed="false">
      <c r="A24" s="8" t="s">
        <v>152</v>
      </c>
      <c r="B24" s="8" t="s">
        <v>133</v>
      </c>
      <c r="C24" s="9" t="n">
        <v>48</v>
      </c>
      <c r="D24" s="8" t="s">
        <v>46</v>
      </c>
      <c r="E24" s="8" t="s">
        <v>649</v>
      </c>
      <c r="F24" s="8" t="s">
        <v>154</v>
      </c>
      <c r="G24" s="9" t="n">
        <v>250</v>
      </c>
      <c r="H24" s="10" t="n">
        <v>45957</v>
      </c>
    </row>
    <row r="25" customFormat="false" ht="15" hidden="false" customHeight="false" outlineLevel="0" collapsed="false">
      <c r="A25" s="8" t="s">
        <v>155</v>
      </c>
      <c r="B25" s="8" t="s">
        <v>156</v>
      </c>
      <c r="C25" s="9" t="n">
        <v>33</v>
      </c>
      <c r="D25" s="8" t="s">
        <v>46</v>
      </c>
      <c r="E25" s="8" t="s">
        <v>468</v>
      </c>
      <c r="F25" s="8" t="s">
        <v>145</v>
      </c>
      <c r="G25" s="9" t="n">
        <v>30</v>
      </c>
      <c r="H25" s="10" t="n">
        <v>45852</v>
      </c>
    </row>
    <row r="26" customFormat="false" ht="15" hidden="false" customHeight="false" outlineLevel="0" collapsed="false">
      <c r="A26" s="8" t="s">
        <v>158</v>
      </c>
      <c r="B26" s="8" t="s">
        <v>159</v>
      </c>
      <c r="C26" s="9" t="n">
        <v>34</v>
      </c>
      <c r="D26" s="8" t="s">
        <v>90</v>
      </c>
      <c r="E26" s="8" t="s">
        <v>72</v>
      </c>
      <c r="F26" s="8" t="s">
        <v>214</v>
      </c>
      <c r="G26" s="9" t="n">
        <v>635</v>
      </c>
      <c r="H26" s="10" t="n">
        <v>45595</v>
      </c>
    </row>
    <row r="27" customFormat="false" ht="15" hidden="false" customHeight="false" outlineLevel="0" collapsed="false">
      <c r="A27" s="8" t="s">
        <v>160</v>
      </c>
      <c r="B27" s="8" t="s">
        <v>161</v>
      </c>
      <c r="C27" s="9" t="n">
        <v>38</v>
      </c>
      <c r="D27" s="8" t="s">
        <v>90</v>
      </c>
      <c r="E27" s="8" t="s">
        <v>49</v>
      </c>
      <c r="F27" s="8" t="s">
        <v>52</v>
      </c>
      <c r="G27" s="9" t="n">
        <v>10</v>
      </c>
      <c r="H27" s="10" t="n">
        <v>46220</v>
      </c>
    </row>
    <row r="28" customFormat="false" ht="15" hidden="false" customHeight="false" outlineLevel="0" collapsed="false">
      <c r="A28" s="8" t="s">
        <v>163</v>
      </c>
      <c r="B28" s="8" t="s">
        <v>164</v>
      </c>
      <c r="C28" s="9" t="n">
        <v>53</v>
      </c>
      <c r="D28" s="8" t="s">
        <v>90</v>
      </c>
      <c r="E28" s="8" t="s">
        <v>501</v>
      </c>
      <c r="F28" s="8" t="s">
        <v>166</v>
      </c>
      <c r="G28" s="9" t="n">
        <v>95</v>
      </c>
      <c r="H28" s="10" t="n">
        <v>45894</v>
      </c>
    </row>
    <row r="29" customFormat="false" ht="15" hidden="false" customHeight="false" outlineLevel="0" collapsed="false">
      <c r="A29" s="8" t="s">
        <v>167</v>
      </c>
      <c r="B29" s="8" t="s">
        <v>168</v>
      </c>
      <c r="C29" s="9" t="n">
        <v>10</v>
      </c>
      <c r="D29" s="8" t="s">
        <v>46</v>
      </c>
      <c r="E29" s="8" t="s">
        <v>72</v>
      </c>
      <c r="F29" s="8" t="s">
        <v>214</v>
      </c>
      <c r="G29" s="9" t="n">
        <v>740</v>
      </c>
      <c r="H29" s="10" t="n">
        <v>46194</v>
      </c>
    </row>
    <row r="30" customFormat="false" ht="15" hidden="false" customHeight="false" outlineLevel="0" collapsed="false">
      <c r="A30" s="8" t="s">
        <v>169</v>
      </c>
      <c r="B30" s="8" t="s">
        <v>170</v>
      </c>
      <c r="C30" s="9" t="n">
        <v>27</v>
      </c>
      <c r="D30" s="8" t="s">
        <v>90</v>
      </c>
      <c r="E30" s="8" t="s">
        <v>501</v>
      </c>
      <c r="F30" s="8" t="s">
        <v>166</v>
      </c>
      <c r="G30" s="9" t="n">
        <v>85</v>
      </c>
      <c r="H30" s="10" t="n">
        <v>45626</v>
      </c>
    </row>
    <row r="31" customFormat="false" ht="15" hidden="false" customHeight="false" outlineLevel="0" collapsed="false">
      <c r="A31" s="8" t="s">
        <v>173</v>
      </c>
      <c r="B31" s="8" t="s">
        <v>174</v>
      </c>
      <c r="C31" s="9" t="n">
        <v>38</v>
      </c>
      <c r="D31" s="8" t="s">
        <v>46</v>
      </c>
      <c r="E31" s="8" t="s">
        <v>68</v>
      </c>
      <c r="F31" s="8" t="s">
        <v>69</v>
      </c>
      <c r="G31" s="9" t="n">
        <v>235</v>
      </c>
      <c r="H31" s="10" t="n">
        <v>45956</v>
      </c>
    </row>
    <row r="32" customFormat="false" ht="15" hidden="false" customHeight="false" outlineLevel="0" collapsed="false">
      <c r="A32" s="8" t="s">
        <v>176</v>
      </c>
      <c r="B32" s="8" t="s">
        <v>177</v>
      </c>
      <c r="C32" s="9" t="n">
        <v>61</v>
      </c>
      <c r="D32" s="8" t="s">
        <v>46</v>
      </c>
      <c r="E32" s="8" t="s">
        <v>378</v>
      </c>
      <c r="F32" s="8" t="s">
        <v>115</v>
      </c>
      <c r="G32" s="9" t="n">
        <v>290</v>
      </c>
      <c r="H32" s="10" t="n">
        <v>46147</v>
      </c>
    </row>
    <row r="33" customFormat="false" ht="15" hidden="false" customHeight="false" outlineLevel="0" collapsed="false">
      <c r="A33" s="8" t="s">
        <v>179</v>
      </c>
      <c r="B33" s="8" t="s">
        <v>180</v>
      </c>
      <c r="C33" s="9" t="n">
        <v>46</v>
      </c>
      <c r="D33" s="8" t="s">
        <v>90</v>
      </c>
      <c r="E33" s="8" t="s">
        <v>468</v>
      </c>
      <c r="F33" s="8" t="s">
        <v>145</v>
      </c>
      <c r="G33" s="9" t="n">
        <v>25</v>
      </c>
      <c r="H33" s="10" t="n">
        <v>45670</v>
      </c>
    </row>
    <row r="34" customFormat="false" ht="15" hidden="false" customHeight="false" outlineLevel="0" collapsed="false">
      <c r="A34" s="8" t="s">
        <v>181</v>
      </c>
      <c r="B34" s="8" t="s">
        <v>182</v>
      </c>
      <c r="C34" s="9" t="n">
        <v>14</v>
      </c>
      <c r="D34" s="8" t="s">
        <v>90</v>
      </c>
      <c r="E34" s="8" t="s">
        <v>501</v>
      </c>
      <c r="F34" s="8" t="s">
        <v>647</v>
      </c>
      <c r="G34" s="9" t="n">
        <v>115</v>
      </c>
      <c r="H34" s="10" t="n">
        <v>45622</v>
      </c>
    </row>
    <row r="35" customFormat="false" ht="15" hidden="false" customHeight="false" outlineLevel="0" collapsed="false">
      <c r="A35" s="8" t="s">
        <v>184</v>
      </c>
      <c r="B35" s="8" t="s">
        <v>185</v>
      </c>
      <c r="C35" s="9" t="n">
        <v>52</v>
      </c>
      <c r="D35" s="8" t="s">
        <v>46</v>
      </c>
      <c r="E35" s="8" t="s">
        <v>186</v>
      </c>
      <c r="F35" s="8" t="s">
        <v>262</v>
      </c>
      <c r="G35" s="9" t="n">
        <v>5</v>
      </c>
      <c r="H35" s="10" t="n">
        <v>46011</v>
      </c>
    </row>
    <row r="36" customFormat="false" ht="15" hidden="false" customHeight="false" outlineLevel="0" collapsed="false">
      <c r="A36" s="8" t="s">
        <v>188</v>
      </c>
      <c r="B36" s="8" t="s">
        <v>189</v>
      </c>
      <c r="C36" s="9" t="n">
        <v>33</v>
      </c>
      <c r="D36" s="8" t="s">
        <v>46</v>
      </c>
      <c r="E36" s="8" t="s">
        <v>647</v>
      </c>
      <c r="F36" s="8" t="s">
        <v>145</v>
      </c>
      <c r="G36" s="9" t="n">
        <v>60</v>
      </c>
      <c r="H36" s="10" t="n">
        <v>45739</v>
      </c>
    </row>
    <row r="37" customFormat="false" ht="15" hidden="false" customHeight="false" outlineLevel="0" collapsed="false">
      <c r="A37" s="8" t="s">
        <v>191</v>
      </c>
      <c r="B37" s="8" t="s">
        <v>192</v>
      </c>
      <c r="C37" s="9" t="n">
        <v>46</v>
      </c>
      <c r="D37" s="8" t="s">
        <v>90</v>
      </c>
      <c r="E37" s="8" t="s">
        <v>49</v>
      </c>
      <c r="F37" s="8" t="s">
        <v>52</v>
      </c>
      <c r="G37" s="9" t="n">
        <v>10</v>
      </c>
      <c r="H37" s="10" t="n">
        <v>45883</v>
      </c>
    </row>
    <row r="38" customFormat="false" ht="15" hidden="false" customHeight="false" outlineLevel="0" collapsed="false">
      <c r="A38" s="8" t="s">
        <v>194</v>
      </c>
      <c r="B38" s="8" t="s">
        <v>195</v>
      </c>
      <c r="C38" s="9" t="n">
        <v>83</v>
      </c>
      <c r="D38" s="8" t="s">
        <v>46</v>
      </c>
      <c r="E38" s="8" t="s">
        <v>298</v>
      </c>
      <c r="F38" s="8" t="s">
        <v>390</v>
      </c>
      <c r="G38" s="9" t="n">
        <v>650</v>
      </c>
      <c r="H38" s="10" t="n">
        <v>46119</v>
      </c>
    </row>
    <row r="39" customFormat="false" ht="15" hidden="false" customHeight="false" outlineLevel="0" collapsed="false">
      <c r="A39" s="8" t="s">
        <v>197</v>
      </c>
      <c r="B39" s="8" t="s">
        <v>198</v>
      </c>
      <c r="C39" s="9" t="n">
        <v>82</v>
      </c>
      <c r="D39" s="8" t="s">
        <v>90</v>
      </c>
      <c r="E39" s="8" t="s">
        <v>68</v>
      </c>
      <c r="F39" s="8" t="s">
        <v>69</v>
      </c>
      <c r="G39" s="9" t="n">
        <v>395</v>
      </c>
      <c r="H39" s="10" t="n">
        <v>45762</v>
      </c>
    </row>
    <row r="40" customFormat="false" ht="15" hidden="false" customHeight="false" outlineLevel="0" collapsed="false">
      <c r="A40" s="8" t="s">
        <v>201</v>
      </c>
      <c r="B40" s="8" t="s">
        <v>202</v>
      </c>
      <c r="C40" s="9" t="n">
        <v>46</v>
      </c>
      <c r="D40" s="8" t="s">
        <v>46</v>
      </c>
      <c r="E40" s="8" t="s">
        <v>427</v>
      </c>
      <c r="F40" s="8" t="s">
        <v>277</v>
      </c>
      <c r="G40" s="9" t="n">
        <v>140</v>
      </c>
      <c r="H40" s="10" t="n">
        <v>45789</v>
      </c>
    </row>
    <row r="41" customFormat="false" ht="15" hidden="false" customHeight="false" outlineLevel="0" collapsed="false">
      <c r="A41" s="8" t="s">
        <v>204</v>
      </c>
      <c r="B41" s="8" t="s">
        <v>205</v>
      </c>
      <c r="C41" s="9" t="n">
        <v>49</v>
      </c>
      <c r="D41" s="8" t="s">
        <v>90</v>
      </c>
      <c r="E41" s="8" t="s">
        <v>49</v>
      </c>
      <c r="F41" s="8" t="s">
        <v>52</v>
      </c>
      <c r="G41" s="9" t="n">
        <v>5</v>
      </c>
      <c r="H41" s="10" t="n">
        <v>45695</v>
      </c>
    </row>
    <row r="42" customFormat="false" ht="15" hidden="false" customHeight="false" outlineLevel="0" collapsed="false">
      <c r="A42" s="8" t="s">
        <v>206</v>
      </c>
      <c r="B42" s="8" t="s">
        <v>207</v>
      </c>
      <c r="C42" s="9" t="n">
        <v>46</v>
      </c>
      <c r="D42" s="8" t="s">
        <v>46</v>
      </c>
      <c r="E42" s="8" t="s">
        <v>49</v>
      </c>
      <c r="F42" s="8" t="s">
        <v>52</v>
      </c>
      <c r="G42" s="9" t="n">
        <v>5</v>
      </c>
      <c r="H42" s="10" t="n">
        <v>46012</v>
      </c>
    </row>
    <row r="43" customFormat="false" ht="15" hidden="false" customHeight="false" outlineLevel="0" collapsed="false">
      <c r="A43" s="8" t="s">
        <v>208</v>
      </c>
      <c r="B43" s="8" t="s">
        <v>209</v>
      </c>
      <c r="C43" s="9" t="n">
        <v>39</v>
      </c>
      <c r="D43" s="8" t="s">
        <v>46</v>
      </c>
      <c r="E43" s="8" t="s">
        <v>186</v>
      </c>
      <c r="F43" s="8" t="s">
        <v>262</v>
      </c>
      <c r="G43" s="9" t="n">
        <v>10</v>
      </c>
      <c r="H43" s="10" t="n">
        <v>45961</v>
      </c>
    </row>
    <row r="44" customFormat="false" ht="15" hidden="false" customHeight="false" outlineLevel="0" collapsed="false">
      <c r="A44" s="8" t="s">
        <v>212</v>
      </c>
      <c r="B44" s="8" t="s">
        <v>213</v>
      </c>
      <c r="C44" s="9" t="n">
        <v>63</v>
      </c>
      <c r="D44" s="8" t="s">
        <v>90</v>
      </c>
      <c r="E44" s="8" t="s">
        <v>72</v>
      </c>
      <c r="F44" s="8" t="s">
        <v>214</v>
      </c>
      <c r="G44" s="9" t="n">
        <v>1000</v>
      </c>
      <c r="H44" s="8"/>
    </row>
    <row r="45" customFormat="false" ht="15" hidden="false" customHeight="false" outlineLevel="0" collapsed="false">
      <c r="A45" s="8" t="s">
        <v>215</v>
      </c>
      <c r="B45" s="8" t="s">
        <v>216</v>
      </c>
      <c r="C45" s="9" t="n">
        <v>51</v>
      </c>
      <c r="D45" s="8" t="s">
        <v>46</v>
      </c>
      <c r="E45" s="8" t="s">
        <v>298</v>
      </c>
      <c r="F45" s="8" t="s">
        <v>390</v>
      </c>
      <c r="G45" s="9" t="n">
        <v>520</v>
      </c>
      <c r="H45" s="10" t="n">
        <v>46114</v>
      </c>
    </row>
    <row r="46" customFormat="false" ht="15" hidden="false" customHeight="false" outlineLevel="0" collapsed="false">
      <c r="A46" s="8" t="s">
        <v>218</v>
      </c>
      <c r="B46" s="8" t="s">
        <v>219</v>
      </c>
      <c r="C46" s="9" t="n">
        <v>34</v>
      </c>
      <c r="D46" s="8" t="s">
        <v>46</v>
      </c>
      <c r="E46" s="8" t="s">
        <v>298</v>
      </c>
      <c r="F46" s="8" t="s">
        <v>390</v>
      </c>
      <c r="G46" s="9" t="n">
        <v>575</v>
      </c>
      <c r="H46" s="10" t="n">
        <v>45753</v>
      </c>
    </row>
    <row r="47" customFormat="false" ht="15" hidden="false" customHeight="false" outlineLevel="0" collapsed="false">
      <c r="A47" s="8" t="s">
        <v>222</v>
      </c>
      <c r="B47" s="8" t="s">
        <v>223</v>
      </c>
      <c r="C47" s="9" t="n">
        <v>42</v>
      </c>
      <c r="D47" s="8" t="s">
        <v>46</v>
      </c>
      <c r="E47" s="8" t="s">
        <v>224</v>
      </c>
      <c r="F47" s="8" t="s">
        <v>650</v>
      </c>
      <c r="G47" s="9" t="n">
        <v>20</v>
      </c>
      <c r="H47" s="10" t="n">
        <v>45803</v>
      </c>
    </row>
    <row r="48" customFormat="false" ht="15" hidden="false" customHeight="false" outlineLevel="0" collapsed="false">
      <c r="A48" s="8" t="s">
        <v>226</v>
      </c>
      <c r="B48" s="8" t="s">
        <v>227</v>
      </c>
      <c r="C48" s="9" t="n">
        <v>73</v>
      </c>
      <c r="D48" s="8" t="s">
        <v>90</v>
      </c>
      <c r="E48" s="8" t="s">
        <v>186</v>
      </c>
      <c r="F48" s="8" t="s">
        <v>262</v>
      </c>
      <c r="G48" s="9" t="n">
        <v>10</v>
      </c>
      <c r="H48" s="10" t="n">
        <v>45760</v>
      </c>
    </row>
    <row r="49" customFormat="false" ht="15" hidden="false" customHeight="false" outlineLevel="0" collapsed="false">
      <c r="A49" s="8" t="s">
        <v>229</v>
      </c>
      <c r="B49" s="8" t="s">
        <v>230</v>
      </c>
      <c r="C49" s="9" t="n">
        <v>86</v>
      </c>
      <c r="D49" s="8" t="s">
        <v>90</v>
      </c>
      <c r="E49" s="8" t="s">
        <v>427</v>
      </c>
      <c r="F49" s="8" t="s">
        <v>277</v>
      </c>
      <c r="G49" s="9" t="n">
        <v>130</v>
      </c>
      <c r="H49" s="10" t="n">
        <v>45908</v>
      </c>
    </row>
    <row r="50" customFormat="false" ht="15" hidden="false" customHeight="false" outlineLevel="0" collapsed="false">
      <c r="A50" s="8" t="s">
        <v>233</v>
      </c>
      <c r="B50" s="8" t="s">
        <v>234</v>
      </c>
      <c r="C50" s="9" t="n">
        <v>50</v>
      </c>
      <c r="D50" s="8" t="s">
        <v>46</v>
      </c>
      <c r="E50" s="8" t="s">
        <v>72</v>
      </c>
      <c r="F50" s="8" t="s">
        <v>214</v>
      </c>
      <c r="G50" s="9" t="n">
        <v>870</v>
      </c>
      <c r="H50" s="10" t="n">
        <v>45913</v>
      </c>
    </row>
    <row r="51" customFormat="false" ht="15" hidden="false" customHeight="false" outlineLevel="0" collapsed="false">
      <c r="A51" s="8" t="s">
        <v>237</v>
      </c>
      <c r="B51" s="8" t="s">
        <v>238</v>
      </c>
      <c r="C51" s="9" t="n">
        <v>54</v>
      </c>
      <c r="D51" s="8" t="s">
        <v>90</v>
      </c>
      <c r="E51" s="8" t="s">
        <v>468</v>
      </c>
      <c r="F51" s="8" t="s">
        <v>145</v>
      </c>
      <c r="G51" s="9" t="n">
        <v>35</v>
      </c>
      <c r="H51" s="10" t="n">
        <v>46159</v>
      </c>
    </row>
    <row r="52" customFormat="false" ht="15" hidden="false" customHeight="false" outlineLevel="0" collapsed="false">
      <c r="A52" s="8" t="s">
        <v>241</v>
      </c>
      <c r="B52" s="8" t="s">
        <v>242</v>
      </c>
      <c r="C52" s="9" t="n">
        <v>73</v>
      </c>
      <c r="D52" s="8" t="s">
        <v>90</v>
      </c>
      <c r="E52" s="8" t="s">
        <v>68</v>
      </c>
      <c r="F52" s="8" t="s">
        <v>69</v>
      </c>
      <c r="G52" s="9" t="n">
        <v>335</v>
      </c>
      <c r="H52" s="10" t="n">
        <v>45666</v>
      </c>
    </row>
    <row r="53" customFormat="false" ht="15" hidden="false" customHeight="false" outlineLevel="0" collapsed="false">
      <c r="A53" s="8" t="s">
        <v>244</v>
      </c>
      <c r="B53" s="8" t="s">
        <v>245</v>
      </c>
      <c r="C53" s="9" t="n">
        <v>24</v>
      </c>
      <c r="D53" s="8" t="s">
        <v>90</v>
      </c>
      <c r="E53" s="8" t="s">
        <v>72</v>
      </c>
      <c r="F53" s="8" t="s">
        <v>214</v>
      </c>
      <c r="G53" s="9" t="n">
        <v>920</v>
      </c>
      <c r="H53" s="10" t="n">
        <v>46029</v>
      </c>
    </row>
    <row r="54" customFormat="false" ht="15" hidden="false" customHeight="false" outlineLevel="0" collapsed="false">
      <c r="A54" s="8" t="s">
        <v>246</v>
      </c>
      <c r="B54" s="8" t="s">
        <v>247</v>
      </c>
      <c r="C54" s="9" t="n">
        <v>46</v>
      </c>
      <c r="D54" s="8" t="s">
        <v>90</v>
      </c>
      <c r="E54" s="8" t="s">
        <v>649</v>
      </c>
      <c r="F54" s="8" t="s">
        <v>154</v>
      </c>
      <c r="G54" s="9" t="n">
        <v>315</v>
      </c>
      <c r="H54" s="10" t="n">
        <v>45805</v>
      </c>
    </row>
    <row r="55" customFormat="false" ht="15" hidden="false" customHeight="false" outlineLevel="0" collapsed="false">
      <c r="A55" s="8" t="s">
        <v>248</v>
      </c>
      <c r="B55" s="8" t="s">
        <v>249</v>
      </c>
      <c r="C55" s="9" t="n">
        <v>16</v>
      </c>
      <c r="D55" s="8" t="s">
        <v>90</v>
      </c>
      <c r="E55" s="8" t="s">
        <v>649</v>
      </c>
      <c r="F55" s="8" t="s">
        <v>154</v>
      </c>
      <c r="G55" s="9" t="n">
        <v>220</v>
      </c>
      <c r="H55" s="10" t="n">
        <v>45816</v>
      </c>
    </row>
    <row r="56" customFormat="false" ht="15" hidden="false" customHeight="false" outlineLevel="0" collapsed="false">
      <c r="A56" s="8" t="s">
        <v>252</v>
      </c>
      <c r="B56" s="8" t="s">
        <v>253</v>
      </c>
      <c r="C56" s="9" t="n">
        <v>31</v>
      </c>
      <c r="D56" s="8" t="s">
        <v>46</v>
      </c>
      <c r="E56" s="8" t="s">
        <v>651</v>
      </c>
      <c r="F56" s="8" t="s">
        <v>323</v>
      </c>
      <c r="G56" s="9" t="n">
        <v>1790</v>
      </c>
      <c r="H56" s="10" t="n">
        <v>46164</v>
      </c>
    </row>
    <row r="57" customFormat="false" ht="15" hidden="false" customHeight="false" outlineLevel="0" collapsed="false">
      <c r="A57" s="8" t="s">
        <v>256</v>
      </c>
      <c r="B57" s="8" t="s">
        <v>257</v>
      </c>
      <c r="C57" s="9" t="n">
        <v>61</v>
      </c>
      <c r="D57" s="8" t="s">
        <v>90</v>
      </c>
      <c r="E57" s="8" t="s">
        <v>649</v>
      </c>
      <c r="F57" s="8" t="s">
        <v>154</v>
      </c>
      <c r="G57" s="9" t="n">
        <v>210</v>
      </c>
      <c r="H57" s="10" t="n">
        <v>45960</v>
      </c>
    </row>
    <row r="58" customFormat="false" ht="15" hidden="false" customHeight="false" outlineLevel="0" collapsed="false">
      <c r="A58" s="8" t="s">
        <v>259</v>
      </c>
      <c r="B58" s="8" t="s">
        <v>260</v>
      </c>
      <c r="C58" s="9" t="n">
        <v>46</v>
      </c>
      <c r="D58" s="8" t="s">
        <v>46</v>
      </c>
      <c r="E58" s="8" t="s">
        <v>186</v>
      </c>
      <c r="F58" s="8" t="s">
        <v>262</v>
      </c>
      <c r="G58" s="9" t="n">
        <v>5</v>
      </c>
      <c r="H58" s="10" t="n">
        <v>45877</v>
      </c>
    </row>
    <row r="59" customFormat="false" ht="15" hidden="false" customHeight="false" outlineLevel="0" collapsed="false">
      <c r="A59" s="8" t="s">
        <v>263</v>
      </c>
      <c r="B59" s="8" t="s">
        <v>264</v>
      </c>
      <c r="C59" s="9" t="n">
        <v>61</v>
      </c>
      <c r="D59" s="8" t="s">
        <v>46</v>
      </c>
      <c r="E59" s="8" t="s">
        <v>72</v>
      </c>
      <c r="F59" s="8" t="s">
        <v>214</v>
      </c>
      <c r="G59" s="9" t="n">
        <v>500</v>
      </c>
      <c r="H59" s="10" t="n">
        <v>45877</v>
      </c>
    </row>
    <row r="60" customFormat="false" ht="15" hidden="false" customHeight="false" outlineLevel="0" collapsed="false">
      <c r="A60" s="8" t="s">
        <v>265</v>
      </c>
      <c r="B60" s="8" t="s">
        <v>266</v>
      </c>
      <c r="C60" s="9" t="n">
        <v>58</v>
      </c>
      <c r="D60" s="8" t="s">
        <v>90</v>
      </c>
      <c r="E60" s="8" t="s">
        <v>49</v>
      </c>
      <c r="F60" s="8" t="s">
        <v>52</v>
      </c>
      <c r="G60" s="9" t="n">
        <v>10</v>
      </c>
      <c r="H60" s="10" t="n">
        <v>46162</v>
      </c>
    </row>
    <row r="61" customFormat="false" ht="15" hidden="false" customHeight="false" outlineLevel="0" collapsed="false">
      <c r="A61" s="8" t="s">
        <v>267</v>
      </c>
      <c r="B61" s="8" t="s">
        <v>652</v>
      </c>
      <c r="C61" s="9" t="n">
        <v>67</v>
      </c>
      <c r="D61" s="8" t="s">
        <v>90</v>
      </c>
      <c r="E61" s="8" t="s">
        <v>68</v>
      </c>
      <c r="F61" s="8" t="s">
        <v>69</v>
      </c>
      <c r="G61" s="9" t="n">
        <v>310</v>
      </c>
      <c r="H61" s="10" t="n">
        <v>45598</v>
      </c>
    </row>
    <row r="62" customFormat="false" ht="15" hidden="false" customHeight="false" outlineLevel="0" collapsed="false">
      <c r="A62" s="8" t="s">
        <v>269</v>
      </c>
      <c r="B62" s="8" t="s">
        <v>270</v>
      </c>
      <c r="C62" s="9" t="n">
        <v>40</v>
      </c>
      <c r="D62" s="8" t="s">
        <v>46</v>
      </c>
      <c r="E62" s="8" t="s">
        <v>49</v>
      </c>
      <c r="F62" s="8" t="s">
        <v>52</v>
      </c>
      <c r="G62" s="9" t="n">
        <v>5</v>
      </c>
      <c r="H62" s="10" t="n">
        <v>45868</v>
      </c>
    </row>
    <row r="63" customFormat="false" ht="15" hidden="false" customHeight="false" outlineLevel="0" collapsed="false">
      <c r="A63" s="8" t="s">
        <v>271</v>
      </c>
      <c r="B63" s="8" t="s">
        <v>272</v>
      </c>
      <c r="C63" s="9" t="n">
        <v>75</v>
      </c>
      <c r="D63" s="8" t="s">
        <v>90</v>
      </c>
      <c r="E63" s="8" t="s">
        <v>298</v>
      </c>
      <c r="F63" s="8" t="s">
        <v>390</v>
      </c>
      <c r="G63" s="9" t="n">
        <v>515</v>
      </c>
      <c r="H63" s="10" t="n">
        <v>46184</v>
      </c>
    </row>
    <row r="64" customFormat="false" ht="15" hidden="false" customHeight="false" outlineLevel="0" collapsed="false">
      <c r="A64" s="8" t="s">
        <v>273</v>
      </c>
      <c r="B64" s="8" t="s">
        <v>274</v>
      </c>
      <c r="C64" s="9" t="n">
        <v>40</v>
      </c>
      <c r="D64" s="8" t="s">
        <v>90</v>
      </c>
      <c r="E64" s="8" t="s">
        <v>186</v>
      </c>
      <c r="F64" s="8" t="s">
        <v>262</v>
      </c>
      <c r="G64" s="9" t="n">
        <v>5</v>
      </c>
      <c r="H64" s="10" t="n">
        <v>45611</v>
      </c>
    </row>
    <row r="65" customFormat="false" ht="15" hidden="false" customHeight="false" outlineLevel="0" collapsed="false">
      <c r="A65" s="8" t="s">
        <v>275</v>
      </c>
      <c r="B65" s="8" t="s">
        <v>276</v>
      </c>
      <c r="C65" s="9" t="n">
        <v>54</v>
      </c>
      <c r="D65" s="8" t="s">
        <v>46</v>
      </c>
      <c r="E65" s="8" t="s">
        <v>427</v>
      </c>
      <c r="F65" s="8" t="s">
        <v>277</v>
      </c>
      <c r="G65" s="9" t="n">
        <v>140</v>
      </c>
      <c r="H65" s="10" t="n">
        <v>46006</v>
      </c>
    </row>
    <row r="66" customFormat="false" ht="15" hidden="false" customHeight="false" outlineLevel="0" collapsed="false">
      <c r="A66" s="8" t="s">
        <v>278</v>
      </c>
      <c r="B66" s="8" t="s">
        <v>279</v>
      </c>
      <c r="C66" s="9" t="n">
        <v>32</v>
      </c>
      <c r="D66" s="8" t="s">
        <v>46</v>
      </c>
      <c r="E66" s="8" t="s">
        <v>72</v>
      </c>
      <c r="F66" s="8" t="s">
        <v>214</v>
      </c>
      <c r="G66" s="9" t="n">
        <v>750</v>
      </c>
      <c r="H66" s="8"/>
    </row>
    <row r="67" customFormat="false" ht="15" hidden="false" customHeight="false" outlineLevel="0" collapsed="false">
      <c r="A67" s="8" t="s">
        <v>280</v>
      </c>
      <c r="B67" s="8" t="s">
        <v>281</v>
      </c>
      <c r="C67" s="9" t="n">
        <v>55</v>
      </c>
      <c r="D67" s="8" t="s">
        <v>46</v>
      </c>
      <c r="E67" s="8" t="s">
        <v>49</v>
      </c>
      <c r="F67" s="8" t="s">
        <v>52</v>
      </c>
      <c r="G67" s="9" t="n">
        <v>5</v>
      </c>
      <c r="H67" s="10" t="n">
        <v>46100</v>
      </c>
    </row>
    <row r="68" customFormat="false" ht="15" hidden="false" customHeight="false" outlineLevel="0" collapsed="false">
      <c r="A68" s="8" t="s">
        <v>282</v>
      </c>
      <c r="B68" s="8" t="s">
        <v>283</v>
      </c>
      <c r="C68" s="9" t="n">
        <v>46</v>
      </c>
      <c r="D68" s="8" t="s">
        <v>46</v>
      </c>
      <c r="E68" s="8" t="s">
        <v>72</v>
      </c>
      <c r="F68" s="8" t="s">
        <v>214</v>
      </c>
      <c r="G68" s="9" t="n">
        <v>780</v>
      </c>
      <c r="H68" s="10" t="n">
        <v>45985</v>
      </c>
    </row>
    <row r="69" customFormat="false" ht="15" hidden="false" customHeight="false" outlineLevel="0" collapsed="false">
      <c r="A69" s="8" t="s">
        <v>284</v>
      </c>
      <c r="B69" s="8" t="s">
        <v>99</v>
      </c>
      <c r="C69" s="9" t="n">
        <v>58</v>
      </c>
      <c r="D69" s="8" t="s">
        <v>46</v>
      </c>
      <c r="E69" s="8" t="s">
        <v>427</v>
      </c>
      <c r="F69" s="8" t="s">
        <v>277</v>
      </c>
      <c r="G69" s="9" t="n">
        <v>185</v>
      </c>
      <c r="H69" s="10" t="n">
        <v>46145</v>
      </c>
    </row>
    <row r="70" customFormat="false" ht="15" hidden="false" customHeight="false" outlineLevel="0" collapsed="false">
      <c r="A70" s="8" t="s">
        <v>285</v>
      </c>
      <c r="B70" s="8" t="s">
        <v>286</v>
      </c>
      <c r="C70" s="9" t="n">
        <v>89</v>
      </c>
      <c r="D70" s="8" t="s">
        <v>90</v>
      </c>
      <c r="E70" s="8" t="s">
        <v>49</v>
      </c>
      <c r="F70" s="8" t="s">
        <v>52</v>
      </c>
      <c r="G70" s="9" t="n">
        <v>10</v>
      </c>
      <c r="H70" s="10" t="n">
        <v>46121</v>
      </c>
    </row>
    <row r="71" customFormat="false" ht="15" hidden="false" customHeight="false" outlineLevel="0" collapsed="false">
      <c r="A71" s="8" t="s">
        <v>287</v>
      </c>
      <c r="B71" s="8" t="s">
        <v>288</v>
      </c>
      <c r="C71" s="9" t="n">
        <v>31</v>
      </c>
      <c r="D71" s="8" t="s">
        <v>90</v>
      </c>
      <c r="E71" s="8" t="s">
        <v>468</v>
      </c>
      <c r="F71" s="8" t="s">
        <v>145</v>
      </c>
      <c r="G71" s="9" t="n">
        <v>50</v>
      </c>
      <c r="H71" s="10" t="n">
        <v>46166</v>
      </c>
    </row>
    <row r="72" customFormat="false" ht="15" hidden="false" customHeight="false" outlineLevel="0" collapsed="false">
      <c r="A72" s="8" t="s">
        <v>289</v>
      </c>
      <c r="B72" s="8" t="s">
        <v>290</v>
      </c>
      <c r="C72" s="9" t="n">
        <v>46</v>
      </c>
      <c r="D72" s="8" t="s">
        <v>90</v>
      </c>
      <c r="E72" s="8" t="s">
        <v>647</v>
      </c>
      <c r="F72" s="8" t="s">
        <v>277</v>
      </c>
      <c r="G72" s="9" t="n">
        <v>165</v>
      </c>
      <c r="H72" s="10" t="n">
        <v>45715</v>
      </c>
    </row>
    <row r="73" customFormat="false" ht="15" hidden="false" customHeight="false" outlineLevel="0" collapsed="false">
      <c r="A73" s="8" t="s">
        <v>291</v>
      </c>
      <c r="B73" s="8" t="s">
        <v>71</v>
      </c>
      <c r="C73" s="9" t="n">
        <v>42</v>
      </c>
      <c r="D73" s="8" t="s">
        <v>46</v>
      </c>
      <c r="E73" s="8" t="s">
        <v>72</v>
      </c>
      <c r="F73" s="8" t="s">
        <v>214</v>
      </c>
      <c r="G73" s="9" t="n">
        <v>1000</v>
      </c>
      <c r="H73" s="10" t="n">
        <v>46254</v>
      </c>
    </row>
    <row r="74" customFormat="false" ht="15" hidden="false" customHeight="false" outlineLevel="0" collapsed="false">
      <c r="A74" s="8" t="s">
        <v>292</v>
      </c>
      <c r="B74" s="8" t="s">
        <v>293</v>
      </c>
      <c r="C74" s="9" t="n">
        <v>41</v>
      </c>
      <c r="D74" s="8" t="s">
        <v>90</v>
      </c>
      <c r="E74" s="8" t="s">
        <v>49</v>
      </c>
      <c r="F74" s="8" t="s">
        <v>52</v>
      </c>
      <c r="G74" s="9" t="n">
        <v>5</v>
      </c>
      <c r="H74" s="10" t="n">
        <v>46246</v>
      </c>
    </row>
    <row r="75" customFormat="false" ht="15" hidden="false" customHeight="false" outlineLevel="0" collapsed="false">
      <c r="A75" s="8" t="s">
        <v>294</v>
      </c>
      <c r="B75" s="8" t="s">
        <v>295</v>
      </c>
      <c r="C75" s="9" t="n">
        <v>20</v>
      </c>
      <c r="D75" s="8" t="s">
        <v>46</v>
      </c>
      <c r="E75" s="8" t="s">
        <v>49</v>
      </c>
      <c r="F75" s="8" t="s">
        <v>52</v>
      </c>
      <c r="G75" s="9" t="n">
        <v>5</v>
      </c>
      <c r="H75" s="10" t="n">
        <v>45832</v>
      </c>
    </row>
    <row r="76" customFormat="false" ht="15" hidden="false" customHeight="false" outlineLevel="0" collapsed="false">
      <c r="A76" s="8" t="s">
        <v>296</v>
      </c>
      <c r="B76" s="8" t="s">
        <v>297</v>
      </c>
      <c r="C76" s="9" t="n">
        <v>32</v>
      </c>
      <c r="D76" s="8" t="s">
        <v>46</v>
      </c>
      <c r="E76" s="8" t="s">
        <v>298</v>
      </c>
      <c r="F76" s="8" t="s">
        <v>390</v>
      </c>
      <c r="G76" s="9" t="n">
        <v>605</v>
      </c>
      <c r="H76" s="10" t="n">
        <v>45754</v>
      </c>
    </row>
    <row r="77" customFormat="false" ht="15" hidden="false" customHeight="false" outlineLevel="0" collapsed="false">
      <c r="A77" s="8" t="s">
        <v>300</v>
      </c>
      <c r="B77" s="8" t="s">
        <v>301</v>
      </c>
      <c r="C77" s="9" t="n">
        <v>45</v>
      </c>
      <c r="D77" s="8" t="s">
        <v>90</v>
      </c>
      <c r="E77" s="8" t="s">
        <v>72</v>
      </c>
      <c r="F77" s="8" t="s">
        <v>214</v>
      </c>
      <c r="G77" s="9" t="n">
        <v>575</v>
      </c>
      <c r="H77" s="10" t="n">
        <v>46015</v>
      </c>
    </row>
    <row r="78" customFormat="false" ht="15" hidden="false" customHeight="false" outlineLevel="0" collapsed="false">
      <c r="A78" s="8" t="s">
        <v>302</v>
      </c>
      <c r="B78" s="8" t="s">
        <v>245</v>
      </c>
      <c r="C78" s="9" t="n">
        <v>4</v>
      </c>
      <c r="D78" s="8" t="s">
        <v>90</v>
      </c>
      <c r="E78" s="8" t="s">
        <v>501</v>
      </c>
      <c r="F78" s="8" t="s">
        <v>166</v>
      </c>
      <c r="G78" s="9" t="n">
        <v>80</v>
      </c>
      <c r="H78" s="10" t="n">
        <v>45768</v>
      </c>
    </row>
    <row r="79" customFormat="false" ht="15" hidden="false" customHeight="false" outlineLevel="0" collapsed="false">
      <c r="A79" s="8" t="s">
        <v>303</v>
      </c>
      <c r="B79" s="8" t="s">
        <v>304</v>
      </c>
      <c r="C79" s="9" t="n">
        <v>37</v>
      </c>
      <c r="D79" s="8" t="s">
        <v>46</v>
      </c>
      <c r="E79" s="8" t="s">
        <v>649</v>
      </c>
      <c r="F79" s="8" t="s">
        <v>154</v>
      </c>
      <c r="G79" s="9" t="n">
        <v>285</v>
      </c>
      <c r="H79" s="10" t="n">
        <v>45666</v>
      </c>
    </row>
    <row r="80" customFormat="false" ht="15" hidden="false" customHeight="false" outlineLevel="0" collapsed="false">
      <c r="A80" s="8" t="s">
        <v>305</v>
      </c>
      <c r="B80" s="8" t="s">
        <v>306</v>
      </c>
      <c r="C80" s="9" t="n">
        <v>11</v>
      </c>
      <c r="D80" s="8" t="s">
        <v>46</v>
      </c>
      <c r="E80" s="8" t="s">
        <v>468</v>
      </c>
      <c r="F80" s="8" t="s">
        <v>145</v>
      </c>
      <c r="G80" s="9" t="n">
        <v>35</v>
      </c>
      <c r="H80" s="10" t="n">
        <v>46194</v>
      </c>
    </row>
    <row r="81" customFormat="false" ht="15" hidden="false" customHeight="false" outlineLevel="0" collapsed="false">
      <c r="A81" s="8" t="s">
        <v>308</v>
      </c>
      <c r="B81" s="8" t="s">
        <v>309</v>
      </c>
      <c r="C81" s="9" t="n">
        <v>46</v>
      </c>
      <c r="D81" s="8" t="s">
        <v>648</v>
      </c>
      <c r="E81" s="8" t="s">
        <v>49</v>
      </c>
      <c r="F81" s="8" t="s">
        <v>52</v>
      </c>
      <c r="G81" s="9" t="n">
        <v>10</v>
      </c>
      <c r="H81" s="10" t="n">
        <v>45829</v>
      </c>
    </row>
    <row r="82" customFormat="false" ht="15" hidden="false" customHeight="false" outlineLevel="0" collapsed="false">
      <c r="A82" s="8" t="s">
        <v>310</v>
      </c>
      <c r="B82" s="8" t="s">
        <v>311</v>
      </c>
      <c r="C82" s="9" t="n">
        <v>32</v>
      </c>
      <c r="D82" s="8" t="s">
        <v>46</v>
      </c>
      <c r="E82" s="8" t="s">
        <v>378</v>
      </c>
      <c r="F82" s="8" t="s">
        <v>115</v>
      </c>
      <c r="G82" s="9" t="n">
        <v>285</v>
      </c>
      <c r="H82" s="10" t="n">
        <v>45889</v>
      </c>
    </row>
    <row r="83" customFormat="false" ht="15" hidden="false" customHeight="false" outlineLevel="0" collapsed="false">
      <c r="A83" s="8" t="s">
        <v>313</v>
      </c>
      <c r="B83" s="8" t="s">
        <v>314</v>
      </c>
      <c r="C83" s="9" t="n">
        <v>79</v>
      </c>
      <c r="D83" s="8" t="s">
        <v>46</v>
      </c>
      <c r="E83" s="8" t="s">
        <v>49</v>
      </c>
      <c r="F83" s="8" t="s">
        <v>52</v>
      </c>
      <c r="G83" s="9" t="n">
        <v>5</v>
      </c>
      <c r="H83" s="10" t="n">
        <v>46228</v>
      </c>
    </row>
    <row r="84" customFormat="false" ht="15" hidden="false" customHeight="false" outlineLevel="0" collapsed="false">
      <c r="A84" s="8" t="s">
        <v>315</v>
      </c>
      <c r="B84" s="8" t="s">
        <v>316</v>
      </c>
      <c r="C84" s="9" t="n">
        <v>60</v>
      </c>
      <c r="D84" s="8" t="s">
        <v>90</v>
      </c>
      <c r="E84" s="8" t="s">
        <v>68</v>
      </c>
      <c r="F84" s="8" t="s">
        <v>69</v>
      </c>
      <c r="G84" s="9" t="n">
        <v>360</v>
      </c>
      <c r="H84" s="10" t="n">
        <v>45972</v>
      </c>
    </row>
    <row r="85" customFormat="false" ht="15" hidden="false" customHeight="false" outlineLevel="0" collapsed="false">
      <c r="A85" s="8" t="s">
        <v>318</v>
      </c>
      <c r="B85" s="8" t="s">
        <v>319</v>
      </c>
      <c r="C85" s="9" t="n">
        <v>22</v>
      </c>
      <c r="D85" s="8" t="s">
        <v>90</v>
      </c>
      <c r="E85" s="8" t="s">
        <v>72</v>
      </c>
      <c r="F85" s="8" t="s">
        <v>214</v>
      </c>
      <c r="G85" s="9" t="n">
        <v>645</v>
      </c>
      <c r="H85" s="10" t="n">
        <v>45831</v>
      </c>
    </row>
    <row r="86" customFormat="false" ht="15" hidden="false" customHeight="false" outlineLevel="0" collapsed="false">
      <c r="A86" s="8" t="s">
        <v>320</v>
      </c>
      <c r="B86" s="8" t="s">
        <v>108</v>
      </c>
      <c r="C86" s="9" t="n">
        <v>28</v>
      </c>
      <c r="D86" s="8" t="s">
        <v>90</v>
      </c>
      <c r="E86" s="8" t="s">
        <v>647</v>
      </c>
      <c r="F86" s="8" t="s">
        <v>647</v>
      </c>
      <c r="G86" s="9" t="n">
        <v>30</v>
      </c>
      <c r="H86" s="10" t="n">
        <v>45542</v>
      </c>
    </row>
    <row r="87" customFormat="false" ht="15" hidden="false" customHeight="false" outlineLevel="0" collapsed="false">
      <c r="A87" s="8" t="s">
        <v>321</v>
      </c>
      <c r="B87" s="8" t="s">
        <v>322</v>
      </c>
      <c r="C87" s="9" t="n">
        <v>38</v>
      </c>
      <c r="D87" s="8" t="s">
        <v>46</v>
      </c>
      <c r="E87" s="8" t="s">
        <v>651</v>
      </c>
      <c r="F87" s="8" t="s">
        <v>323</v>
      </c>
      <c r="G87" s="9" t="n">
        <v>595</v>
      </c>
      <c r="H87" s="10" t="n">
        <v>45778</v>
      </c>
    </row>
    <row r="88" customFormat="false" ht="15" hidden="false" customHeight="false" outlineLevel="0" collapsed="false">
      <c r="A88" s="8" t="s">
        <v>324</v>
      </c>
      <c r="B88" s="8" t="s">
        <v>325</v>
      </c>
      <c r="C88" s="9" t="n">
        <v>63</v>
      </c>
      <c r="D88" s="8" t="s">
        <v>90</v>
      </c>
      <c r="E88" s="8" t="s">
        <v>72</v>
      </c>
      <c r="F88" s="8" t="s">
        <v>214</v>
      </c>
      <c r="G88" s="9" t="n">
        <v>880</v>
      </c>
      <c r="H88" s="8"/>
    </row>
    <row r="89" customFormat="false" ht="15" hidden="false" customHeight="false" outlineLevel="0" collapsed="false">
      <c r="A89" s="8" t="s">
        <v>326</v>
      </c>
      <c r="B89" s="8" t="s">
        <v>327</v>
      </c>
      <c r="C89" s="9" t="n">
        <v>46</v>
      </c>
      <c r="D89" s="8" t="s">
        <v>46</v>
      </c>
      <c r="E89" s="8" t="s">
        <v>298</v>
      </c>
      <c r="F89" s="8" t="s">
        <v>390</v>
      </c>
      <c r="G89" s="9" t="n">
        <v>575</v>
      </c>
      <c r="H89" s="10" t="n">
        <v>45889</v>
      </c>
    </row>
    <row r="90" customFormat="false" ht="15" hidden="false" customHeight="false" outlineLevel="0" collapsed="false">
      <c r="A90" s="8" t="s">
        <v>329</v>
      </c>
      <c r="B90" s="8" t="s">
        <v>330</v>
      </c>
      <c r="C90" s="9" t="n">
        <v>52</v>
      </c>
      <c r="D90" s="8" t="s">
        <v>46</v>
      </c>
      <c r="E90" s="8" t="s">
        <v>49</v>
      </c>
      <c r="F90" s="8" t="s">
        <v>52</v>
      </c>
      <c r="G90" s="9" t="n">
        <v>5</v>
      </c>
      <c r="H90" s="10" t="n">
        <v>45806</v>
      </c>
    </row>
    <row r="91" customFormat="false" ht="15" hidden="false" customHeight="false" outlineLevel="0" collapsed="false">
      <c r="A91" s="8" t="s">
        <v>331</v>
      </c>
      <c r="B91" s="8" t="s">
        <v>332</v>
      </c>
      <c r="C91" s="9" t="n">
        <v>49</v>
      </c>
      <c r="D91" s="8" t="s">
        <v>46</v>
      </c>
      <c r="E91" s="8" t="s">
        <v>49</v>
      </c>
      <c r="F91" s="8" t="s">
        <v>52</v>
      </c>
      <c r="G91" s="9" t="n">
        <v>10</v>
      </c>
      <c r="H91" s="10" t="n">
        <v>45669</v>
      </c>
    </row>
    <row r="92" customFormat="false" ht="15" hidden="false" customHeight="false" outlineLevel="0" collapsed="false">
      <c r="A92" s="8" t="s">
        <v>333</v>
      </c>
      <c r="B92" s="8" t="s">
        <v>334</v>
      </c>
      <c r="C92" s="9" t="n">
        <v>59</v>
      </c>
      <c r="D92" s="8" t="s">
        <v>90</v>
      </c>
      <c r="E92" s="8" t="s">
        <v>647</v>
      </c>
      <c r="F92" s="8" t="s">
        <v>145</v>
      </c>
      <c r="G92" s="9" t="n">
        <v>85</v>
      </c>
      <c r="H92" s="10" t="n">
        <v>46231</v>
      </c>
    </row>
    <row r="93" customFormat="false" ht="15" hidden="false" customHeight="false" outlineLevel="0" collapsed="false">
      <c r="A93" s="8" t="s">
        <v>335</v>
      </c>
      <c r="B93" s="8" t="s">
        <v>336</v>
      </c>
      <c r="C93" s="9" t="n">
        <v>49</v>
      </c>
      <c r="D93" s="8" t="s">
        <v>46</v>
      </c>
      <c r="E93" s="8" t="s">
        <v>49</v>
      </c>
      <c r="F93" s="8" t="s">
        <v>52</v>
      </c>
      <c r="G93" s="9" t="n">
        <v>5</v>
      </c>
      <c r="H93" s="10" t="n">
        <v>45770</v>
      </c>
    </row>
    <row r="94" customFormat="false" ht="15" hidden="false" customHeight="false" outlineLevel="0" collapsed="false">
      <c r="A94" s="8" t="s">
        <v>337</v>
      </c>
      <c r="B94" s="8" t="s">
        <v>338</v>
      </c>
      <c r="C94" s="9" t="n">
        <v>78</v>
      </c>
      <c r="D94" s="8" t="s">
        <v>46</v>
      </c>
      <c r="E94" s="8" t="s">
        <v>649</v>
      </c>
      <c r="F94" s="8" t="s">
        <v>154</v>
      </c>
      <c r="G94" s="9" t="n">
        <v>220</v>
      </c>
      <c r="H94" s="10" t="n">
        <v>46094</v>
      </c>
    </row>
    <row r="95" customFormat="false" ht="15" hidden="false" customHeight="false" outlineLevel="0" collapsed="false">
      <c r="A95" s="8" t="s">
        <v>340</v>
      </c>
      <c r="B95" s="8" t="s">
        <v>341</v>
      </c>
      <c r="C95" s="9" t="n">
        <v>52</v>
      </c>
      <c r="D95" s="8" t="s">
        <v>46</v>
      </c>
      <c r="E95" s="8" t="s">
        <v>649</v>
      </c>
      <c r="F95" s="8" t="s">
        <v>154</v>
      </c>
      <c r="G95" s="9" t="n">
        <v>230</v>
      </c>
      <c r="H95" s="10" t="n">
        <v>45976</v>
      </c>
    </row>
    <row r="96" customFormat="false" ht="15" hidden="false" customHeight="false" outlineLevel="0" collapsed="false">
      <c r="A96" s="8" t="s">
        <v>342</v>
      </c>
      <c r="B96" s="8" t="s">
        <v>343</v>
      </c>
      <c r="C96" s="9" t="n">
        <v>52</v>
      </c>
      <c r="D96" s="8" t="s">
        <v>90</v>
      </c>
      <c r="E96" s="8" t="s">
        <v>49</v>
      </c>
      <c r="F96" s="8" t="s">
        <v>52</v>
      </c>
      <c r="G96" s="9" t="n">
        <v>5</v>
      </c>
      <c r="H96" s="10" t="n">
        <v>46079</v>
      </c>
    </row>
    <row r="97" customFormat="false" ht="15" hidden="false" customHeight="false" outlineLevel="0" collapsed="false">
      <c r="A97" s="8" t="s">
        <v>344</v>
      </c>
      <c r="B97" s="8" t="s">
        <v>345</v>
      </c>
      <c r="C97" s="9" t="n">
        <v>64</v>
      </c>
      <c r="D97" s="8" t="s">
        <v>46</v>
      </c>
      <c r="E97" s="8" t="s">
        <v>649</v>
      </c>
      <c r="F97" s="8" t="s">
        <v>154</v>
      </c>
      <c r="G97" s="9" t="n">
        <v>260</v>
      </c>
      <c r="H97" s="10" t="n">
        <v>46223</v>
      </c>
    </row>
    <row r="98" customFormat="false" ht="15" hidden="false" customHeight="false" outlineLevel="0" collapsed="false">
      <c r="A98" s="8" t="s">
        <v>346</v>
      </c>
      <c r="B98" s="8" t="s">
        <v>652</v>
      </c>
      <c r="C98" s="9" t="n">
        <v>47</v>
      </c>
      <c r="D98" s="8" t="s">
        <v>90</v>
      </c>
      <c r="E98" s="8" t="s">
        <v>186</v>
      </c>
      <c r="F98" s="8" t="s">
        <v>262</v>
      </c>
      <c r="G98" s="9" t="n">
        <v>5</v>
      </c>
      <c r="H98" s="10" t="n">
        <v>45677</v>
      </c>
    </row>
    <row r="99" customFormat="false" ht="15" hidden="false" customHeight="false" outlineLevel="0" collapsed="false">
      <c r="A99" s="8" t="s">
        <v>348</v>
      </c>
      <c r="B99" s="8" t="s">
        <v>349</v>
      </c>
      <c r="C99" s="9" t="n">
        <v>27</v>
      </c>
      <c r="D99" s="8" t="s">
        <v>90</v>
      </c>
      <c r="E99" s="8" t="s">
        <v>72</v>
      </c>
      <c r="F99" s="8" t="s">
        <v>214</v>
      </c>
      <c r="G99" s="9" t="n">
        <v>655</v>
      </c>
      <c r="H99" s="10" t="n">
        <v>45613</v>
      </c>
    </row>
    <row r="100" customFormat="false" ht="15" hidden="false" customHeight="false" outlineLevel="0" collapsed="false">
      <c r="A100" s="8" t="s">
        <v>350</v>
      </c>
      <c r="B100" s="8" t="s">
        <v>351</v>
      </c>
      <c r="C100" s="9" t="n">
        <v>87</v>
      </c>
      <c r="D100" s="8" t="s">
        <v>46</v>
      </c>
      <c r="E100" s="8" t="s">
        <v>427</v>
      </c>
      <c r="F100" s="8" t="s">
        <v>277</v>
      </c>
      <c r="G100" s="9" t="n">
        <v>170</v>
      </c>
      <c r="H100" s="10" t="n">
        <v>45884</v>
      </c>
    </row>
    <row r="101" customFormat="false" ht="15" hidden="false" customHeight="false" outlineLevel="0" collapsed="false">
      <c r="A101" s="8" t="s">
        <v>353</v>
      </c>
      <c r="B101" s="8" t="s">
        <v>354</v>
      </c>
      <c r="C101" s="9" t="n">
        <v>45</v>
      </c>
      <c r="D101" s="8" t="s">
        <v>90</v>
      </c>
      <c r="E101" s="8" t="s">
        <v>649</v>
      </c>
      <c r="F101" s="8" t="s">
        <v>154</v>
      </c>
      <c r="G101" s="9" t="n">
        <v>290</v>
      </c>
      <c r="H101" s="10" t="n">
        <v>46129</v>
      </c>
    </row>
    <row r="102" customFormat="false" ht="15" hidden="false" customHeight="false" outlineLevel="0" collapsed="false">
      <c r="A102" s="8" t="s">
        <v>356</v>
      </c>
      <c r="B102" s="8" t="s">
        <v>357</v>
      </c>
      <c r="C102" s="9" t="n">
        <v>60</v>
      </c>
      <c r="D102" s="8" t="s">
        <v>46</v>
      </c>
      <c r="E102" s="8" t="s">
        <v>468</v>
      </c>
      <c r="F102" s="8" t="s">
        <v>145</v>
      </c>
      <c r="G102" s="9" t="n">
        <v>85</v>
      </c>
      <c r="H102" s="10" t="n">
        <v>45942</v>
      </c>
    </row>
    <row r="103" customFormat="false" ht="15" hidden="false" customHeight="false" outlineLevel="0" collapsed="false">
      <c r="A103" s="8" t="s">
        <v>358</v>
      </c>
      <c r="B103" s="8" t="s">
        <v>359</v>
      </c>
      <c r="C103" s="9" t="n">
        <v>46</v>
      </c>
      <c r="D103" s="8" t="s">
        <v>46</v>
      </c>
      <c r="E103" s="8" t="s">
        <v>49</v>
      </c>
      <c r="F103" s="8" t="s">
        <v>52</v>
      </c>
      <c r="G103" s="9" t="n">
        <v>10</v>
      </c>
      <c r="H103" s="10" t="n">
        <v>45548</v>
      </c>
    </row>
    <row r="104" customFormat="false" ht="15" hidden="false" customHeight="false" outlineLevel="0" collapsed="false">
      <c r="A104" s="8" t="s">
        <v>360</v>
      </c>
      <c r="B104" s="8" t="s">
        <v>361</v>
      </c>
      <c r="C104" s="9" t="n">
        <v>51</v>
      </c>
      <c r="D104" s="8" t="s">
        <v>90</v>
      </c>
      <c r="E104" s="8" t="s">
        <v>68</v>
      </c>
      <c r="F104" s="8" t="s">
        <v>69</v>
      </c>
      <c r="G104" s="9" t="n">
        <v>275</v>
      </c>
      <c r="H104" s="10" t="n">
        <v>46020</v>
      </c>
    </row>
    <row r="105" customFormat="false" ht="15" hidden="false" customHeight="false" outlineLevel="0" collapsed="false">
      <c r="A105" s="8" t="s">
        <v>362</v>
      </c>
      <c r="B105" s="8" t="s">
        <v>363</v>
      </c>
      <c r="C105" s="9" t="n">
        <v>50</v>
      </c>
      <c r="D105" s="8" t="s">
        <v>46</v>
      </c>
      <c r="E105" s="8" t="s">
        <v>186</v>
      </c>
      <c r="F105" s="8" t="s">
        <v>262</v>
      </c>
      <c r="G105" s="9" t="n">
        <v>10</v>
      </c>
      <c r="H105" s="10" t="n">
        <v>45829</v>
      </c>
    </row>
    <row r="106" customFormat="false" ht="15" hidden="false" customHeight="false" outlineLevel="0" collapsed="false">
      <c r="A106" s="8" t="s">
        <v>364</v>
      </c>
      <c r="B106" s="8" t="s">
        <v>365</v>
      </c>
      <c r="C106" s="9" t="n">
        <v>44</v>
      </c>
      <c r="D106" s="8" t="s">
        <v>46</v>
      </c>
      <c r="E106" s="8" t="s">
        <v>378</v>
      </c>
      <c r="F106" s="8" t="s">
        <v>115</v>
      </c>
      <c r="G106" s="9" t="n">
        <v>495</v>
      </c>
      <c r="H106" s="10" t="n">
        <v>46192</v>
      </c>
    </row>
    <row r="107" customFormat="false" ht="15" hidden="false" customHeight="false" outlineLevel="0" collapsed="false">
      <c r="A107" s="8" t="s">
        <v>367</v>
      </c>
      <c r="B107" s="8" t="s">
        <v>368</v>
      </c>
      <c r="C107" s="9" t="n">
        <v>55</v>
      </c>
      <c r="D107" s="8" t="s">
        <v>90</v>
      </c>
      <c r="E107" s="8" t="s">
        <v>378</v>
      </c>
      <c r="F107" s="8" t="s">
        <v>647</v>
      </c>
      <c r="G107" s="9" t="n">
        <v>430</v>
      </c>
      <c r="H107" s="10" t="n">
        <v>45767</v>
      </c>
    </row>
    <row r="108" customFormat="false" ht="15" hidden="false" customHeight="false" outlineLevel="0" collapsed="false">
      <c r="A108" s="8" t="s">
        <v>370</v>
      </c>
      <c r="B108" s="8" t="s">
        <v>75</v>
      </c>
      <c r="C108" s="9" t="n">
        <v>38</v>
      </c>
      <c r="D108" s="8" t="s">
        <v>46</v>
      </c>
      <c r="E108" s="8" t="s">
        <v>427</v>
      </c>
      <c r="F108" s="8" t="s">
        <v>277</v>
      </c>
      <c r="G108" s="9" t="n">
        <v>115</v>
      </c>
      <c r="H108" s="10" t="n">
        <v>45907</v>
      </c>
    </row>
    <row r="109" customFormat="false" ht="15" hidden="false" customHeight="false" outlineLevel="0" collapsed="false">
      <c r="A109" s="8" t="s">
        <v>372</v>
      </c>
      <c r="B109" s="8" t="s">
        <v>373</v>
      </c>
      <c r="C109" s="9" t="n">
        <v>25</v>
      </c>
      <c r="D109" s="8" t="s">
        <v>46</v>
      </c>
      <c r="E109" s="8" t="s">
        <v>49</v>
      </c>
      <c r="F109" s="8" t="s">
        <v>52</v>
      </c>
      <c r="G109" s="9" t="n">
        <v>10</v>
      </c>
      <c r="H109" s="8"/>
    </row>
    <row r="110" customFormat="false" ht="15" hidden="false" customHeight="false" outlineLevel="0" collapsed="false">
      <c r="A110" s="8" t="s">
        <v>374</v>
      </c>
      <c r="B110" s="8" t="s">
        <v>375</v>
      </c>
      <c r="C110" s="9" t="n">
        <v>18</v>
      </c>
      <c r="D110" s="8" t="s">
        <v>46</v>
      </c>
      <c r="E110" s="8" t="s">
        <v>468</v>
      </c>
      <c r="F110" s="8" t="s">
        <v>145</v>
      </c>
      <c r="G110" s="9" t="n">
        <v>45</v>
      </c>
      <c r="H110" s="10" t="n">
        <v>45777</v>
      </c>
    </row>
    <row r="111" customFormat="false" ht="15" hidden="false" customHeight="false" outlineLevel="0" collapsed="false">
      <c r="A111" s="8" t="s">
        <v>376</v>
      </c>
      <c r="B111" s="8" t="s">
        <v>377</v>
      </c>
      <c r="C111" s="9" t="n">
        <v>39</v>
      </c>
      <c r="D111" s="8" t="s">
        <v>90</v>
      </c>
      <c r="E111" s="8" t="s">
        <v>378</v>
      </c>
      <c r="F111" s="8" t="s">
        <v>115</v>
      </c>
      <c r="G111" s="9" t="n">
        <v>325</v>
      </c>
      <c r="H111" s="10" t="n">
        <v>45740</v>
      </c>
    </row>
    <row r="112" customFormat="false" ht="15" hidden="false" customHeight="false" outlineLevel="0" collapsed="false">
      <c r="A112" s="8" t="s">
        <v>379</v>
      </c>
      <c r="B112" s="8" t="s">
        <v>380</v>
      </c>
      <c r="C112" s="9" t="n">
        <v>83</v>
      </c>
      <c r="D112" s="8" t="s">
        <v>90</v>
      </c>
      <c r="E112" s="8" t="s">
        <v>72</v>
      </c>
      <c r="F112" s="8" t="s">
        <v>214</v>
      </c>
      <c r="G112" s="9" t="n">
        <v>905</v>
      </c>
      <c r="H112" s="10" t="n">
        <v>45806</v>
      </c>
    </row>
    <row r="113" customFormat="false" ht="15" hidden="false" customHeight="false" outlineLevel="0" collapsed="false">
      <c r="A113" s="8" t="s">
        <v>381</v>
      </c>
      <c r="B113" s="8" t="s">
        <v>382</v>
      </c>
      <c r="C113" s="9" t="n">
        <v>51</v>
      </c>
      <c r="D113" s="8" t="s">
        <v>90</v>
      </c>
      <c r="E113" s="8" t="s">
        <v>49</v>
      </c>
      <c r="F113" s="8" t="s">
        <v>52</v>
      </c>
      <c r="G113" s="9" t="n">
        <v>5</v>
      </c>
      <c r="H113" s="10" t="n">
        <v>45631</v>
      </c>
    </row>
    <row r="114" customFormat="false" ht="15" hidden="false" customHeight="false" outlineLevel="0" collapsed="false">
      <c r="A114" s="8" t="s">
        <v>383</v>
      </c>
      <c r="B114" s="8" t="s">
        <v>384</v>
      </c>
      <c r="C114" s="9" t="n">
        <v>70</v>
      </c>
      <c r="D114" s="8" t="s">
        <v>90</v>
      </c>
      <c r="E114" s="8" t="s">
        <v>378</v>
      </c>
      <c r="F114" s="8" t="s">
        <v>115</v>
      </c>
      <c r="G114" s="9" t="n">
        <v>395</v>
      </c>
      <c r="H114" s="10" t="n">
        <v>45960</v>
      </c>
    </row>
    <row r="115" customFormat="false" ht="15" hidden="false" customHeight="false" outlineLevel="0" collapsed="false">
      <c r="A115" s="8" t="s">
        <v>385</v>
      </c>
      <c r="B115" s="8" t="s">
        <v>386</v>
      </c>
      <c r="C115" s="9" t="n">
        <v>27</v>
      </c>
      <c r="D115" s="8" t="s">
        <v>46</v>
      </c>
      <c r="E115" s="8" t="s">
        <v>378</v>
      </c>
      <c r="F115" s="8" t="s">
        <v>115</v>
      </c>
      <c r="G115" s="9" t="n">
        <v>265</v>
      </c>
      <c r="H115" s="10" t="n">
        <v>45587</v>
      </c>
    </row>
    <row r="116" customFormat="false" ht="15" hidden="false" customHeight="false" outlineLevel="0" collapsed="false">
      <c r="A116" s="8" t="s">
        <v>387</v>
      </c>
      <c r="B116" s="8" t="s">
        <v>338</v>
      </c>
      <c r="C116" s="9" t="n">
        <v>33</v>
      </c>
      <c r="D116" s="8" t="s">
        <v>46</v>
      </c>
      <c r="E116" s="8" t="s">
        <v>72</v>
      </c>
      <c r="F116" s="8" t="s">
        <v>214</v>
      </c>
      <c r="G116" s="9" t="n">
        <v>760</v>
      </c>
      <c r="H116" s="10" t="n">
        <v>46036</v>
      </c>
    </row>
    <row r="117" customFormat="false" ht="15" hidden="false" customHeight="false" outlineLevel="0" collapsed="false">
      <c r="A117" s="8" t="s">
        <v>388</v>
      </c>
      <c r="B117" s="8" t="s">
        <v>389</v>
      </c>
      <c r="C117" s="9" t="n">
        <v>51</v>
      </c>
      <c r="D117" s="8" t="s">
        <v>46</v>
      </c>
      <c r="E117" s="8" t="s">
        <v>298</v>
      </c>
      <c r="F117" s="8" t="s">
        <v>390</v>
      </c>
      <c r="G117" s="9" t="n">
        <v>500</v>
      </c>
      <c r="H117" s="10" t="n">
        <v>45896</v>
      </c>
    </row>
    <row r="118" customFormat="false" ht="15" hidden="false" customHeight="false" outlineLevel="0" collapsed="false">
      <c r="A118" s="8" t="s">
        <v>391</v>
      </c>
      <c r="B118" s="8" t="s">
        <v>392</v>
      </c>
      <c r="C118" s="9" t="n">
        <v>60</v>
      </c>
      <c r="D118" s="8" t="s">
        <v>46</v>
      </c>
      <c r="E118" s="8" t="s">
        <v>561</v>
      </c>
      <c r="F118" s="8" t="s">
        <v>394</v>
      </c>
      <c r="G118" s="9" t="n">
        <v>75</v>
      </c>
      <c r="H118" s="10" t="n">
        <v>46033</v>
      </c>
    </row>
    <row r="119" customFormat="false" ht="15" hidden="false" customHeight="false" outlineLevel="0" collapsed="false">
      <c r="A119" s="8" t="s">
        <v>395</v>
      </c>
      <c r="B119" s="8" t="s">
        <v>396</v>
      </c>
      <c r="C119" s="9" t="n">
        <v>33</v>
      </c>
      <c r="D119" s="8" t="s">
        <v>46</v>
      </c>
      <c r="E119" s="8" t="s">
        <v>49</v>
      </c>
      <c r="F119" s="8" t="s">
        <v>52</v>
      </c>
      <c r="G119" s="9" t="n">
        <v>10</v>
      </c>
      <c r="H119" s="10" t="n">
        <v>46215</v>
      </c>
    </row>
    <row r="120" customFormat="false" ht="15" hidden="false" customHeight="false" outlineLevel="0" collapsed="false">
      <c r="A120" s="8" t="s">
        <v>397</v>
      </c>
      <c r="B120" s="8" t="s">
        <v>398</v>
      </c>
      <c r="C120" s="9" t="n">
        <v>72</v>
      </c>
      <c r="D120" s="8" t="s">
        <v>46</v>
      </c>
      <c r="E120" s="8" t="s">
        <v>427</v>
      </c>
      <c r="F120" s="8" t="s">
        <v>277</v>
      </c>
      <c r="G120" s="9" t="n">
        <v>180</v>
      </c>
      <c r="H120" s="10" t="n">
        <v>45807</v>
      </c>
    </row>
    <row r="121" customFormat="false" ht="15" hidden="false" customHeight="false" outlineLevel="0" collapsed="false">
      <c r="A121" s="8" t="s">
        <v>400</v>
      </c>
      <c r="B121" s="8" t="s">
        <v>401</v>
      </c>
      <c r="C121" s="9" t="n">
        <v>75</v>
      </c>
      <c r="D121" s="8" t="s">
        <v>46</v>
      </c>
      <c r="E121" s="8" t="s">
        <v>49</v>
      </c>
      <c r="F121" s="8" t="s">
        <v>52</v>
      </c>
      <c r="G121" s="9" t="n">
        <v>5</v>
      </c>
      <c r="H121" s="10" t="n">
        <v>46107</v>
      </c>
    </row>
    <row r="122" customFormat="false" ht="15" hidden="false" customHeight="false" outlineLevel="0" collapsed="false">
      <c r="A122" s="8" t="s">
        <v>402</v>
      </c>
      <c r="B122" s="8" t="s">
        <v>202</v>
      </c>
      <c r="C122" s="9" t="n">
        <v>88</v>
      </c>
      <c r="D122" s="8" t="s">
        <v>46</v>
      </c>
      <c r="E122" s="8" t="s">
        <v>298</v>
      </c>
      <c r="F122" s="8" t="s">
        <v>390</v>
      </c>
      <c r="G122" s="9" t="n">
        <v>530</v>
      </c>
      <c r="H122" s="8"/>
    </row>
    <row r="123" customFormat="false" ht="15" hidden="false" customHeight="false" outlineLevel="0" collapsed="false">
      <c r="A123" s="8" t="s">
        <v>403</v>
      </c>
      <c r="B123" s="8" t="s">
        <v>124</v>
      </c>
      <c r="C123" s="9" t="n">
        <v>22</v>
      </c>
      <c r="D123" s="8" t="s">
        <v>90</v>
      </c>
      <c r="E123" s="8" t="s">
        <v>561</v>
      </c>
      <c r="F123" s="8" t="s">
        <v>394</v>
      </c>
      <c r="G123" s="9" t="n">
        <v>55</v>
      </c>
      <c r="H123" s="10" t="n">
        <v>46176</v>
      </c>
    </row>
    <row r="124" customFormat="false" ht="15" hidden="false" customHeight="false" outlineLevel="0" collapsed="false">
      <c r="A124" s="8" t="s">
        <v>404</v>
      </c>
      <c r="B124" s="8" t="s">
        <v>182</v>
      </c>
      <c r="C124" s="9" t="n">
        <v>59</v>
      </c>
      <c r="D124" s="8" t="s">
        <v>90</v>
      </c>
      <c r="E124" s="8" t="s">
        <v>647</v>
      </c>
      <c r="F124" s="8" t="s">
        <v>647</v>
      </c>
      <c r="G124" s="9" t="n">
        <v>115</v>
      </c>
      <c r="H124" s="10" t="n">
        <v>45776</v>
      </c>
    </row>
    <row r="125" customFormat="false" ht="15" hidden="false" customHeight="false" outlineLevel="0" collapsed="false">
      <c r="A125" s="8" t="s">
        <v>405</v>
      </c>
      <c r="B125" s="8" t="s">
        <v>406</v>
      </c>
      <c r="C125" s="9" t="n">
        <v>21</v>
      </c>
      <c r="D125" s="8" t="s">
        <v>90</v>
      </c>
      <c r="E125" s="8" t="s">
        <v>72</v>
      </c>
      <c r="F125" s="8" t="s">
        <v>214</v>
      </c>
      <c r="G125" s="9" t="n">
        <v>875</v>
      </c>
      <c r="H125" s="10" t="n">
        <v>45975</v>
      </c>
    </row>
    <row r="126" customFormat="false" ht="15" hidden="false" customHeight="false" outlineLevel="0" collapsed="false">
      <c r="A126" s="8" t="s">
        <v>407</v>
      </c>
      <c r="B126" s="8" t="s">
        <v>408</v>
      </c>
      <c r="C126" s="9" t="n">
        <v>42</v>
      </c>
      <c r="D126" s="8" t="s">
        <v>46</v>
      </c>
      <c r="E126" s="8" t="s">
        <v>427</v>
      </c>
      <c r="F126" s="8" t="s">
        <v>277</v>
      </c>
      <c r="G126" s="9" t="n">
        <v>145</v>
      </c>
      <c r="H126" s="10" t="n">
        <v>46057</v>
      </c>
    </row>
    <row r="127" customFormat="false" ht="15" hidden="false" customHeight="false" outlineLevel="0" collapsed="false">
      <c r="A127" s="8" t="s">
        <v>409</v>
      </c>
      <c r="B127" s="8" t="s">
        <v>410</v>
      </c>
      <c r="C127" s="9" t="n">
        <v>9</v>
      </c>
      <c r="D127" s="8" t="s">
        <v>648</v>
      </c>
      <c r="E127" s="8" t="s">
        <v>501</v>
      </c>
      <c r="F127" s="8" t="s">
        <v>166</v>
      </c>
      <c r="G127" s="9" t="n">
        <v>65</v>
      </c>
      <c r="H127" s="10" t="n">
        <v>45597</v>
      </c>
    </row>
    <row r="128" customFormat="false" ht="15" hidden="false" customHeight="false" outlineLevel="0" collapsed="false">
      <c r="A128" s="8" t="s">
        <v>411</v>
      </c>
      <c r="B128" s="8" t="s">
        <v>412</v>
      </c>
      <c r="C128" s="9" t="n">
        <v>65</v>
      </c>
      <c r="D128" s="8" t="s">
        <v>46</v>
      </c>
      <c r="E128" s="8" t="s">
        <v>501</v>
      </c>
      <c r="F128" s="8" t="s">
        <v>166</v>
      </c>
      <c r="G128" s="9" t="n">
        <v>105</v>
      </c>
      <c r="H128" s="10" t="n">
        <v>45953</v>
      </c>
    </row>
    <row r="129" customFormat="false" ht="15" hidden="false" customHeight="false" outlineLevel="0" collapsed="false">
      <c r="A129" s="8" t="s">
        <v>414</v>
      </c>
      <c r="B129" s="8" t="s">
        <v>415</v>
      </c>
      <c r="C129" s="9" t="n">
        <v>43</v>
      </c>
      <c r="D129" s="8" t="s">
        <v>46</v>
      </c>
      <c r="E129" s="8" t="s">
        <v>148</v>
      </c>
      <c r="F129" s="8" t="s">
        <v>646</v>
      </c>
      <c r="G129" s="9" t="n">
        <v>65</v>
      </c>
      <c r="H129" s="10" t="n">
        <v>45960</v>
      </c>
    </row>
    <row r="130" customFormat="false" ht="15" hidden="false" customHeight="false" outlineLevel="0" collapsed="false">
      <c r="A130" s="8" t="s">
        <v>416</v>
      </c>
      <c r="B130" s="8" t="s">
        <v>417</v>
      </c>
      <c r="C130" s="9" t="n">
        <v>40</v>
      </c>
      <c r="D130" s="8" t="s">
        <v>90</v>
      </c>
      <c r="E130" s="8" t="s">
        <v>186</v>
      </c>
      <c r="F130" s="8" t="s">
        <v>262</v>
      </c>
      <c r="G130" s="9" t="n">
        <v>10</v>
      </c>
      <c r="H130" s="10" t="n">
        <v>46158</v>
      </c>
    </row>
    <row r="131" customFormat="false" ht="15" hidden="false" customHeight="false" outlineLevel="0" collapsed="false">
      <c r="A131" s="8" t="s">
        <v>418</v>
      </c>
      <c r="B131" s="8" t="s">
        <v>419</v>
      </c>
      <c r="C131" s="9" t="n">
        <v>48</v>
      </c>
      <c r="D131" s="8" t="s">
        <v>46</v>
      </c>
      <c r="E131" s="8" t="s">
        <v>68</v>
      </c>
      <c r="F131" s="8" t="s">
        <v>69</v>
      </c>
      <c r="G131" s="9" t="n">
        <v>400</v>
      </c>
      <c r="H131" s="10" t="n">
        <v>45784</v>
      </c>
    </row>
    <row r="132" customFormat="false" ht="15" hidden="false" customHeight="false" outlineLevel="0" collapsed="false">
      <c r="A132" s="8" t="s">
        <v>421</v>
      </c>
      <c r="B132" s="8" t="s">
        <v>422</v>
      </c>
      <c r="C132" s="9" t="n">
        <v>55</v>
      </c>
      <c r="D132" s="8" t="s">
        <v>90</v>
      </c>
      <c r="E132" s="8" t="s">
        <v>72</v>
      </c>
      <c r="F132" s="8" t="s">
        <v>214</v>
      </c>
      <c r="G132" s="9" t="n">
        <v>565</v>
      </c>
      <c r="H132" s="10" t="n">
        <v>45898</v>
      </c>
    </row>
    <row r="133" customFormat="false" ht="15" hidden="false" customHeight="false" outlineLevel="0" collapsed="false">
      <c r="A133" s="8" t="s">
        <v>423</v>
      </c>
      <c r="B133" s="8" t="s">
        <v>424</v>
      </c>
      <c r="C133" s="9" t="n">
        <v>24</v>
      </c>
      <c r="D133" s="8" t="s">
        <v>90</v>
      </c>
      <c r="E133" s="8" t="s">
        <v>298</v>
      </c>
      <c r="F133" s="8" t="s">
        <v>390</v>
      </c>
      <c r="G133" s="9" t="n">
        <v>580</v>
      </c>
      <c r="H133" s="10" t="n">
        <v>45537</v>
      </c>
    </row>
    <row r="134" customFormat="false" ht="15" hidden="false" customHeight="false" outlineLevel="0" collapsed="false">
      <c r="A134" s="8" t="s">
        <v>425</v>
      </c>
      <c r="B134" s="8" t="s">
        <v>426</v>
      </c>
      <c r="C134" s="9" t="n">
        <v>27</v>
      </c>
      <c r="D134" s="8" t="s">
        <v>46</v>
      </c>
      <c r="E134" s="8" t="s">
        <v>427</v>
      </c>
      <c r="F134" s="8" t="s">
        <v>277</v>
      </c>
      <c r="G134" s="9" t="n">
        <v>135</v>
      </c>
      <c r="H134" s="10" t="n">
        <v>45817</v>
      </c>
    </row>
    <row r="135" customFormat="false" ht="15" hidden="false" customHeight="false" outlineLevel="0" collapsed="false">
      <c r="A135" s="8" t="s">
        <v>428</v>
      </c>
      <c r="B135" s="8" t="s">
        <v>429</v>
      </c>
      <c r="C135" s="9" t="n">
        <v>46</v>
      </c>
      <c r="D135" s="8" t="s">
        <v>46</v>
      </c>
      <c r="E135" s="8" t="s">
        <v>651</v>
      </c>
      <c r="F135" s="8" t="s">
        <v>323</v>
      </c>
      <c r="G135" s="9" t="n">
        <v>1560</v>
      </c>
      <c r="H135" s="10" t="n">
        <v>45664</v>
      </c>
    </row>
    <row r="136" customFormat="false" ht="15" hidden="false" customHeight="false" outlineLevel="0" collapsed="false">
      <c r="A136" s="8" t="s">
        <v>33</v>
      </c>
      <c r="B136" s="8" t="s">
        <v>431</v>
      </c>
      <c r="C136" s="9" t="n">
        <v>45</v>
      </c>
      <c r="D136" s="8" t="s">
        <v>46</v>
      </c>
      <c r="E136" s="8" t="s">
        <v>49</v>
      </c>
      <c r="F136" s="8" t="s">
        <v>52</v>
      </c>
      <c r="G136" s="9" t="n">
        <v>5</v>
      </c>
      <c r="H136" s="10" t="n">
        <v>46140</v>
      </c>
    </row>
    <row r="137" customFormat="false" ht="15" hidden="false" customHeight="false" outlineLevel="0" collapsed="false">
      <c r="A137" s="8" t="s">
        <v>432</v>
      </c>
      <c r="B137" s="8" t="s">
        <v>433</v>
      </c>
      <c r="C137" s="9" t="n">
        <v>69</v>
      </c>
      <c r="D137" s="8" t="s">
        <v>90</v>
      </c>
      <c r="E137" s="8" t="s">
        <v>647</v>
      </c>
      <c r="F137" s="8" t="s">
        <v>69</v>
      </c>
      <c r="G137" s="9" t="n">
        <v>400</v>
      </c>
      <c r="H137" s="10" t="n">
        <v>45916</v>
      </c>
    </row>
    <row r="138" customFormat="false" ht="15" hidden="false" customHeight="false" outlineLevel="0" collapsed="false">
      <c r="A138" s="8" t="s">
        <v>434</v>
      </c>
      <c r="B138" s="8" t="s">
        <v>304</v>
      </c>
      <c r="C138" s="9" t="n">
        <v>21</v>
      </c>
      <c r="D138" s="8" t="s">
        <v>46</v>
      </c>
      <c r="E138" s="8" t="s">
        <v>49</v>
      </c>
      <c r="F138" s="8" t="s">
        <v>52</v>
      </c>
      <c r="G138" s="9" t="n">
        <v>5</v>
      </c>
      <c r="H138" s="10" t="n">
        <v>46206</v>
      </c>
    </row>
    <row r="139" customFormat="false" ht="15" hidden="false" customHeight="false" outlineLevel="0" collapsed="false">
      <c r="A139" s="8" t="s">
        <v>435</v>
      </c>
      <c r="B139" s="8" t="s">
        <v>436</v>
      </c>
      <c r="C139" s="9" t="n">
        <v>59</v>
      </c>
      <c r="D139" s="8" t="s">
        <v>46</v>
      </c>
      <c r="E139" s="8" t="s">
        <v>49</v>
      </c>
      <c r="F139" s="8" t="s">
        <v>52</v>
      </c>
      <c r="G139" s="9" t="n">
        <v>10</v>
      </c>
      <c r="H139" s="10" t="n">
        <v>45812</v>
      </c>
    </row>
    <row r="140" customFormat="false" ht="15" hidden="false" customHeight="false" outlineLevel="0" collapsed="false">
      <c r="A140" s="8" t="s">
        <v>437</v>
      </c>
      <c r="B140" s="8" t="s">
        <v>438</v>
      </c>
      <c r="C140" s="9" t="n">
        <v>46</v>
      </c>
      <c r="D140" s="8" t="s">
        <v>90</v>
      </c>
      <c r="E140" s="8" t="s">
        <v>501</v>
      </c>
      <c r="F140" s="8" t="s">
        <v>166</v>
      </c>
      <c r="G140" s="9" t="n">
        <v>120</v>
      </c>
      <c r="H140" s="10" t="n">
        <v>46175</v>
      </c>
    </row>
    <row r="141" customFormat="false" ht="15" hidden="false" customHeight="false" outlineLevel="0" collapsed="false">
      <c r="A141" s="8" t="s">
        <v>441</v>
      </c>
      <c r="B141" s="8" t="s">
        <v>442</v>
      </c>
      <c r="C141" s="9" t="n">
        <v>46</v>
      </c>
      <c r="D141" s="8" t="s">
        <v>46</v>
      </c>
      <c r="E141" s="8" t="s">
        <v>427</v>
      </c>
      <c r="F141" s="8" t="s">
        <v>277</v>
      </c>
      <c r="G141" s="9" t="n">
        <v>145</v>
      </c>
      <c r="H141" s="10" t="n">
        <v>45882</v>
      </c>
    </row>
    <row r="142" customFormat="false" ht="15" hidden="false" customHeight="false" outlineLevel="0" collapsed="false">
      <c r="A142" s="8" t="s">
        <v>443</v>
      </c>
      <c r="B142" s="8" t="s">
        <v>444</v>
      </c>
      <c r="C142" s="9" t="n">
        <v>33</v>
      </c>
      <c r="D142" s="8" t="s">
        <v>648</v>
      </c>
      <c r="E142" s="8" t="s">
        <v>49</v>
      </c>
      <c r="F142" s="8" t="s">
        <v>52</v>
      </c>
      <c r="G142" s="9" t="n">
        <v>10</v>
      </c>
      <c r="H142" s="10" t="n">
        <v>46172</v>
      </c>
    </row>
    <row r="143" customFormat="false" ht="15" hidden="false" customHeight="false" outlineLevel="0" collapsed="false">
      <c r="A143" s="8" t="s">
        <v>445</v>
      </c>
      <c r="B143" s="8" t="s">
        <v>368</v>
      </c>
      <c r="C143" s="9" t="n">
        <v>59</v>
      </c>
      <c r="D143" s="8" t="s">
        <v>90</v>
      </c>
      <c r="E143" s="8" t="s">
        <v>501</v>
      </c>
      <c r="F143" s="8" t="s">
        <v>166</v>
      </c>
      <c r="G143" s="9" t="n">
        <v>115</v>
      </c>
      <c r="H143" s="10" t="n">
        <v>46006</v>
      </c>
    </row>
    <row r="144" customFormat="false" ht="15" hidden="false" customHeight="false" outlineLevel="0" collapsed="false">
      <c r="A144" s="8" t="s">
        <v>446</v>
      </c>
      <c r="B144" s="8" t="s">
        <v>242</v>
      </c>
      <c r="C144" s="9" t="n">
        <v>31</v>
      </c>
      <c r="D144" s="8" t="s">
        <v>90</v>
      </c>
      <c r="E144" s="8" t="s">
        <v>649</v>
      </c>
      <c r="F144" s="8" t="s">
        <v>154</v>
      </c>
      <c r="G144" s="9" t="n">
        <v>270</v>
      </c>
      <c r="H144" s="10" t="n">
        <v>45845</v>
      </c>
    </row>
    <row r="145" customFormat="false" ht="15" hidden="false" customHeight="false" outlineLevel="0" collapsed="false">
      <c r="A145" s="8" t="s">
        <v>447</v>
      </c>
      <c r="B145" s="8" t="s">
        <v>448</v>
      </c>
      <c r="C145" s="9" t="n">
        <v>61</v>
      </c>
      <c r="D145" s="8" t="s">
        <v>46</v>
      </c>
      <c r="E145" s="8" t="s">
        <v>298</v>
      </c>
      <c r="F145" s="8" t="s">
        <v>647</v>
      </c>
      <c r="G145" s="9" t="n">
        <v>570</v>
      </c>
      <c r="H145" s="10" t="n">
        <v>45591</v>
      </c>
    </row>
    <row r="146" customFormat="false" ht="15" hidden="false" customHeight="false" outlineLevel="0" collapsed="false">
      <c r="A146" s="8" t="s">
        <v>449</v>
      </c>
      <c r="B146" s="8" t="s">
        <v>450</v>
      </c>
      <c r="C146" s="9" t="n">
        <v>26</v>
      </c>
      <c r="D146" s="8" t="s">
        <v>648</v>
      </c>
      <c r="E146" s="8" t="s">
        <v>468</v>
      </c>
      <c r="F146" s="8" t="s">
        <v>145</v>
      </c>
      <c r="G146" s="9" t="n">
        <v>75</v>
      </c>
      <c r="H146" s="10" t="n">
        <v>45926</v>
      </c>
    </row>
    <row r="147" customFormat="false" ht="15" hidden="false" customHeight="false" outlineLevel="0" collapsed="false">
      <c r="A147" s="8" t="s">
        <v>451</v>
      </c>
      <c r="B147" s="8" t="s">
        <v>452</v>
      </c>
      <c r="C147" s="9" t="n">
        <v>34</v>
      </c>
      <c r="D147" s="8" t="s">
        <v>90</v>
      </c>
      <c r="E147" s="8" t="s">
        <v>468</v>
      </c>
      <c r="F147" s="8" t="s">
        <v>145</v>
      </c>
      <c r="G147" s="9" t="n">
        <v>100</v>
      </c>
      <c r="H147" s="10" t="n">
        <v>45629</v>
      </c>
    </row>
    <row r="148" customFormat="false" ht="15" hidden="false" customHeight="false" outlineLevel="0" collapsed="false">
      <c r="A148" s="8" t="s">
        <v>453</v>
      </c>
      <c r="B148" s="8" t="s">
        <v>454</v>
      </c>
      <c r="C148" s="9" t="n">
        <v>46</v>
      </c>
      <c r="D148" s="8" t="s">
        <v>46</v>
      </c>
      <c r="E148" s="8" t="s">
        <v>68</v>
      </c>
      <c r="F148" s="8" t="s">
        <v>69</v>
      </c>
      <c r="G148" s="9" t="n">
        <v>327</v>
      </c>
      <c r="H148" s="10" t="n">
        <v>45623</v>
      </c>
    </row>
    <row r="149" customFormat="false" ht="15" hidden="false" customHeight="false" outlineLevel="0" collapsed="false">
      <c r="A149" s="8" t="s">
        <v>455</v>
      </c>
      <c r="B149" s="8" t="s">
        <v>456</v>
      </c>
      <c r="C149" s="9" t="n">
        <v>47</v>
      </c>
      <c r="D149" s="8" t="s">
        <v>648</v>
      </c>
      <c r="E149" s="8" t="s">
        <v>378</v>
      </c>
      <c r="F149" s="8" t="s">
        <v>115</v>
      </c>
      <c r="G149" s="9" t="n">
        <v>320</v>
      </c>
      <c r="H149" s="10" t="n">
        <v>46071</v>
      </c>
    </row>
    <row r="150" customFormat="false" ht="15" hidden="false" customHeight="false" outlineLevel="0" collapsed="false">
      <c r="A150" s="8" t="s">
        <v>457</v>
      </c>
      <c r="B150" s="8" t="s">
        <v>458</v>
      </c>
      <c r="C150" s="9" t="n">
        <v>66</v>
      </c>
      <c r="D150" s="8" t="s">
        <v>46</v>
      </c>
      <c r="E150" s="8" t="s">
        <v>148</v>
      </c>
      <c r="F150" s="8" t="s">
        <v>646</v>
      </c>
      <c r="G150" s="9" t="n">
        <v>85</v>
      </c>
      <c r="H150" s="10" t="n">
        <v>45860</v>
      </c>
    </row>
    <row r="151" customFormat="false" ht="15" hidden="false" customHeight="false" outlineLevel="0" collapsed="false">
      <c r="A151" s="8" t="s">
        <v>460</v>
      </c>
      <c r="B151" s="8" t="s">
        <v>377</v>
      </c>
      <c r="C151" s="9" t="n">
        <v>38</v>
      </c>
      <c r="D151" s="8" t="s">
        <v>90</v>
      </c>
      <c r="E151" s="8" t="s">
        <v>49</v>
      </c>
      <c r="F151" s="8" t="s">
        <v>52</v>
      </c>
      <c r="G151" s="9" t="n">
        <v>10</v>
      </c>
      <c r="H151" s="10" t="n">
        <v>45623</v>
      </c>
    </row>
    <row r="152" customFormat="false" ht="15" hidden="false" customHeight="false" outlineLevel="0" collapsed="false">
      <c r="A152" s="8" t="s">
        <v>461</v>
      </c>
      <c r="B152" s="8" t="s">
        <v>462</v>
      </c>
      <c r="C152" s="9" t="n">
        <v>26</v>
      </c>
      <c r="D152" s="8" t="s">
        <v>90</v>
      </c>
      <c r="E152" s="8" t="s">
        <v>49</v>
      </c>
      <c r="F152" s="8" t="s">
        <v>52</v>
      </c>
      <c r="G152" s="9" t="n">
        <v>5</v>
      </c>
      <c r="H152" s="10" t="n">
        <v>46101</v>
      </c>
    </row>
    <row r="153" customFormat="false" ht="15" hidden="false" customHeight="false" outlineLevel="0" collapsed="false">
      <c r="A153" s="8" t="s">
        <v>463</v>
      </c>
      <c r="B153" s="8" t="s">
        <v>464</v>
      </c>
      <c r="C153" s="9" t="n">
        <v>37</v>
      </c>
      <c r="D153" s="8" t="s">
        <v>90</v>
      </c>
      <c r="E153" s="8" t="s">
        <v>378</v>
      </c>
      <c r="F153" s="8" t="s">
        <v>115</v>
      </c>
      <c r="G153" s="9" t="n">
        <v>420</v>
      </c>
      <c r="H153" s="10" t="n">
        <v>46079</v>
      </c>
    </row>
    <row r="154" customFormat="false" ht="15" hidden="false" customHeight="false" outlineLevel="0" collapsed="false">
      <c r="A154" s="8" t="s">
        <v>465</v>
      </c>
      <c r="B154" s="8" t="s">
        <v>466</v>
      </c>
      <c r="C154" s="9" t="n">
        <v>60</v>
      </c>
      <c r="D154" s="8" t="s">
        <v>90</v>
      </c>
      <c r="E154" s="8" t="s">
        <v>649</v>
      </c>
      <c r="F154" s="8" t="s">
        <v>154</v>
      </c>
      <c r="G154" s="9" t="n">
        <v>250</v>
      </c>
      <c r="H154" s="10" t="n">
        <v>45982</v>
      </c>
    </row>
    <row r="155" customFormat="false" ht="15" hidden="false" customHeight="false" outlineLevel="0" collapsed="false">
      <c r="A155" s="8" t="s">
        <v>467</v>
      </c>
      <c r="B155" s="8" t="s">
        <v>276</v>
      </c>
      <c r="C155" s="9" t="n">
        <v>44</v>
      </c>
      <c r="D155" s="8" t="s">
        <v>46</v>
      </c>
      <c r="E155" s="8" t="s">
        <v>468</v>
      </c>
      <c r="F155" s="8" t="s">
        <v>145</v>
      </c>
      <c r="G155" s="9" t="n">
        <v>100</v>
      </c>
      <c r="H155" s="10" t="n">
        <v>45994</v>
      </c>
    </row>
    <row r="156" customFormat="false" ht="15" hidden="false" customHeight="false" outlineLevel="0" collapsed="false">
      <c r="A156" s="8" t="s">
        <v>470</v>
      </c>
      <c r="B156" s="8" t="s">
        <v>471</v>
      </c>
      <c r="C156" s="9" t="n">
        <v>81</v>
      </c>
      <c r="D156" s="8" t="s">
        <v>46</v>
      </c>
      <c r="E156" s="8" t="s">
        <v>468</v>
      </c>
      <c r="F156" s="8" t="s">
        <v>145</v>
      </c>
      <c r="G156" s="9" t="n">
        <v>95</v>
      </c>
      <c r="H156" s="10" t="n">
        <v>46260</v>
      </c>
    </row>
    <row r="157" customFormat="false" ht="15" hidden="false" customHeight="false" outlineLevel="0" collapsed="false">
      <c r="A157" s="8" t="s">
        <v>472</v>
      </c>
      <c r="B157" s="8" t="s">
        <v>473</v>
      </c>
      <c r="C157" s="9" t="n">
        <v>22</v>
      </c>
      <c r="D157" s="8" t="s">
        <v>90</v>
      </c>
      <c r="E157" s="8" t="s">
        <v>68</v>
      </c>
      <c r="F157" s="8" t="s">
        <v>69</v>
      </c>
      <c r="G157" s="9" t="n">
        <v>380</v>
      </c>
      <c r="H157" s="10" t="n">
        <v>46194</v>
      </c>
    </row>
    <row r="158" customFormat="false" ht="15" hidden="false" customHeight="false" outlineLevel="0" collapsed="false">
      <c r="A158" s="8" t="s">
        <v>474</v>
      </c>
      <c r="B158" s="8" t="s">
        <v>475</v>
      </c>
      <c r="C158" s="9" t="n">
        <v>15</v>
      </c>
      <c r="D158" s="8" t="s">
        <v>90</v>
      </c>
      <c r="E158" s="8" t="s">
        <v>148</v>
      </c>
      <c r="F158" s="8" t="s">
        <v>646</v>
      </c>
      <c r="G158" s="9" t="n">
        <v>60</v>
      </c>
      <c r="H158" s="10" t="n">
        <v>46121</v>
      </c>
    </row>
    <row r="159" customFormat="false" ht="15" hidden="false" customHeight="false" outlineLevel="0" collapsed="false">
      <c r="A159" s="8" t="s">
        <v>477</v>
      </c>
      <c r="B159" s="8" t="s">
        <v>478</v>
      </c>
      <c r="C159" s="9" t="n">
        <v>11</v>
      </c>
      <c r="D159" s="8" t="s">
        <v>90</v>
      </c>
      <c r="E159" s="8" t="s">
        <v>501</v>
      </c>
      <c r="F159" s="8" t="s">
        <v>166</v>
      </c>
      <c r="G159" s="9" t="n">
        <v>65</v>
      </c>
      <c r="H159" s="10" t="n">
        <v>45942</v>
      </c>
    </row>
    <row r="160" customFormat="false" ht="15" hidden="false" customHeight="false" outlineLevel="0" collapsed="false">
      <c r="A160" s="8" t="s">
        <v>479</v>
      </c>
      <c r="B160" s="8" t="s">
        <v>480</v>
      </c>
      <c r="C160" s="9" t="n">
        <v>42</v>
      </c>
      <c r="D160" s="8" t="s">
        <v>90</v>
      </c>
      <c r="E160" s="8" t="s">
        <v>72</v>
      </c>
      <c r="F160" s="8" t="s">
        <v>214</v>
      </c>
      <c r="G160" s="9" t="n">
        <v>580</v>
      </c>
      <c r="H160" s="10" t="n">
        <v>45967</v>
      </c>
    </row>
    <row r="161" customFormat="false" ht="15" hidden="false" customHeight="false" outlineLevel="0" collapsed="false">
      <c r="A161" s="8" t="s">
        <v>481</v>
      </c>
      <c r="B161" s="8" t="s">
        <v>482</v>
      </c>
      <c r="C161" s="9" t="n">
        <v>50</v>
      </c>
      <c r="D161" s="8" t="s">
        <v>46</v>
      </c>
      <c r="E161" s="8" t="s">
        <v>186</v>
      </c>
      <c r="F161" s="8" t="s">
        <v>262</v>
      </c>
      <c r="G161" s="9" t="n">
        <v>10</v>
      </c>
      <c r="H161" s="10" t="n">
        <v>45682</v>
      </c>
    </row>
    <row r="162" customFormat="false" ht="15" hidden="false" customHeight="false" outlineLevel="0" collapsed="false">
      <c r="A162" s="8" t="s">
        <v>483</v>
      </c>
      <c r="B162" s="8" t="s">
        <v>484</v>
      </c>
      <c r="C162" s="9" t="n">
        <v>43</v>
      </c>
      <c r="D162" s="8" t="s">
        <v>46</v>
      </c>
      <c r="E162" s="8" t="s">
        <v>649</v>
      </c>
      <c r="F162" s="8" t="s">
        <v>154</v>
      </c>
      <c r="G162" s="9" t="n">
        <v>260</v>
      </c>
      <c r="H162" s="10" t="n">
        <v>46042</v>
      </c>
    </row>
    <row r="163" customFormat="false" ht="15" hidden="false" customHeight="false" outlineLevel="0" collapsed="false">
      <c r="A163" s="8" t="s">
        <v>486</v>
      </c>
      <c r="B163" s="8" t="s">
        <v>487</v>
      </c>
      <c r="C163" s="9" t="n">
        <v>67</v>
      </c>
      <c r="D163" s="8" t="s">
        <v>46</v>
      </c>
      <c r="E163" s="8" t="s">
        <v>651</v>
      </c>
      <c r="F163" s="8" t="s">
        <v>323</v>
      </c>
      <c r="G163" s="9" t="n">
        <v>1565</v>
      </c>
      <c r="H163" s="10" t="n">
        <v>45563</v>
      </c>
    </row>
    <row r="164" customFormat="false" ht="15" hidden="false" customHeight="false" outlineLevel="0" collapsed="false">
      <c r="A164" s="8" t="s">
        <v>488</v>
      </c>
      <c r="B164" s="8" t="s">
        <v>489</v>
      </c>
      <c r="C164" s="9" t="n">
        <v>57</v>
      </c>
      <c r="D164" s="8" t="s">
        <v>46</v>
      </c>
      <c r="E164" s="8" t="s">
        <v>298</v>
      </c>
      <c r="F164" s="8" t="s">
        <v>390</v>
      </c>
      <c r="G164" s="9" t="n">
        <v>590</v>
      </c>
      <c r="H164" s="8"/>
    </row>
    <row r="165" customFormat="false" ht="15" hidden="false" customHeight="false" outlineLevel="0" collapsed="false">
      <c r="A165" s="8" t="s">
        <v>490</v>
      </c>
      <c r="B165" s="8" t="s">
        <v>491</v>
      </c>
      <c r="C165" s="9" t="n">
        <v>17</v>
      </c>
      <c r="D165" s="8" t="s">
        <v>90</v>
      </c>
      <c r="E165" s="8" t="s">
        <v>501</v>
      </c>
      <c r="F165" s="8" t="s">
        <v>166</v>
      </c>
      <c r="G165" s="9" t="n">
        <v>75</v>
      </c>
      <c r="H165" s="10" t="n">
        <v>46035</v>
      </c>
    </row>
    <row r="166" customFormat="false" ht="15" hidden="false" customHeight="false" outlineLevel="0" collapsed="false">
      <c r="A166" s="8" t="s">
        <v>492</v>
      </c>
      <c r="B166" s="8" t="s">
        <v>493</v>
      </c>
      <c r="C166" s="9" t="n">
        <v>50</v>
      </c>
      <c r="D166" s="8" t="s">
        <v>90</v>
      </c>
      <c r="E166" s="8" t="s">
        <v>647</v>
      </c>
      <c r="F166" s="8" t="s">
        <v>69</v>
      </c>
      <c r="G166" s="9" t="n">
        <v>327</v>
      </c>
      <c r="H166" s="10" t="n">
        <v>46224</v>
      </c>
    </row>
    <row r="167" customFormat="false" ht="15" hidden="false" customHeight="false" outlineLevel="0" collapsed="false">
      <c r="A167" s="8" t="s">
        <v>494</v>
      </c>
      <c r="B167" s="8" t="s">
        <v>495</v>
      </c>
      <c r="C167" s="9" t="n">
        <v>46</v>
      </c>
      <c r="D167" s="8" t="s">
        <v>46</v>
      </c>
      <c r="E167" s="8" t="s">
        <v>427</v>
      </c>
      <c r="F167" s="8" t="s">
        <v>277</v>
      </c>
      <c r="G167" s="9" t="n">
        <v>115</v>
      </c>
      <c r="H167" s="10" t="n">
        <v>46176</v>
      </c>
    </row>
    <row r="168" customFormat="false" ht="15" hidden="false" customHeight="false" outlineLevel="0" collapsed="false">
      <c r="A168" s="8" t="s">
        <v>496</v>
      </c>
      <c r="B168" s="8" t="s">
        <v>497</v>
      </c>
      <c r="C168" s="9" t="n">
        <v>46</v>
      </c>
      <c r="D168" s="8" t="s">
        <v>46</v>
      </c>
      <c r="E168" s="8" t="s">
        <v>427</v>
      </c>
      <c r="F168" s="8" t="s">
        <v>647</v>
      </c>
      <c r="G168" s="9" t="n">
        <v>170</v>
      </c>
      <c r="H168" s="10" t="n">
        <v>45820</v>
      </c>
    </row>
    <row r="169" customFormat="false" ht="15" hidden="false" customHeight="false" outlineLevel="0" collapsed="false">
      <c r="A169" s="8" t="s">
        <v>498</v>
      </c>
      <c r="B169" s="8" t="s">
        <v>499</v>
      </c>
      <c r="C169" s="9" t="n">
        <v>23</v>
      </c>
      <c r="D169" s="8" t="s">
        <v>46</v>
      </c>
      <c r="E169" s="8" t="s">
        <v>298</v>
      </c>
      <c r="F169" s="8" t="s">
        <v>390</v>
      </c>
      <c r="G169" s="9" t="n">
        <v>585</v>
      </c>
      <c r="H169" s="10" t="n">
        <v>45766</v>
      </c>
    </row>
    <row r="170" customFormat="false" ht="15" hidden="false" customHeight="false" outlineLevel="0" collapsed="false">
      <c r="A170" s="8" t="s">
        <v>500</v>
      </c>
      <c r="B170" s="8" t="s">
        <v>288</v>
      </c>
      <c r="C170" s="9" t="n">
        <v>53</v>
      </c>
      <c r="D170" s="8" t="s">
        <v>90</v>
      </c>
      <c r="E170" s="8" t="s">
        <v>501</v>
      </c>
      <c r="F170" s="8" t="s">
        <v>166</v>
      </c>
      <c r="G170" s="9" t="n">
        <v>100</v>
      </c>
      <c r="H170" s="10" t="n">
        <v>45573</v>
      </c>
    </row>
    <row r="171" customFormat="false" ht="15" hidden="false" customHeight="false" outlineLevel="0" collapsed="false">
      <c r="A171" s="8" t="s">
        <v>502</v>
      </c>
      <c r="B171" s="8" t="s">
        <v>503</v>
      </c>
      <c r="C171" s="9" t="n">
        <v>57</v>
      </c>
      <c r="D171" s="8" t="s">
        <v>90</v>
      </c>
      <c r="E171" s="8" t="s">
        <v>468</v>
      </c>
      <c r="F171" s="8" t="s">
        <v>145</v>
      </c>
      <c r="G171" s="9" t="n">
        <v>55</v>
      </c>
      <c r="H171" s="10" t="n">
        <v>46088</v>
      </c>
    </row>
    <row r="172" customFormat="false" ht="15" hidden="false" customHeight="false" outlineLevel="0" collapsed="false">
      <c r="A172" s="8" t="s">
        <v>504</v>
      </c>
      <c r="B172" s="8" t="s">
        <v>505</v>
      </c>
      <c r="C172" s="9" t="n">
        <v>46</v>
      </c>
      <c r="D172" s="8" t="s">
        <v>90</v>
      </c>
      <c r="E172" s="8" t="s">
        <v>298</v>
      </c>
      <c r="F172" s="8" t="s">
        <v>390</v>
      </c>
      <c r="G172" s="9" t="n">
        <v>520</v>
      </c>
      <c r="H172" s="10" t="n">
        <v>46239</v>
      </c>
    </row>
    <row r="173" customFormat="false" ht="15" hidden="false" customHeight="false" outlineLevel="0" collapsed="false">
      <c r="A173" s="8" t="s">
        <v>506</v>
      </c>
      <c r="B173" s="8" t="s">
        <v>349</v>
      </c>
      <c r="C173" s="9" t="n">
        <v>28</v>
      </c>
      <c r="D173" s="8" t="s">
        <v>90</v>
      </c>
      <c r="E173" s="8" t="s">
        <v>72</v>
      </c>
      <c r="F173" s="8" t="s">
        <v>214</v>
      </c>
      <c r="G173" s="9" t="n">
        <v>500</v>
      </c>
      <c r="H173" s="10" t="n">
        <v>45699</v>
      </c>
    </row>
    <row r="174" customFormat="false" ht="15" hidden="false" customHeight="false" outlineLevel="0" collapsed="false">
      <c r="A174" s="8" t="s">
        <v>507</v>
      </c>
      <c r="B174" s="8" t="s">
        <v>508</v>
      </c>
      <c r="C174" s="9" t="n">
        <v>66</v>
      </c>
      <c r="D174" s="8" t="s">
        <v>90</v>
      </c>
      <c r="E174" s="8" t="s">
        <v>427</v>
      </c>
      <c r="F174" s="8" t="s">
        <v>277</v>
      </c>
      <c r="G174" s="9" t="n">
        <v>190</v>
      </c>
      <c r="H174" s="10" t="n">
        <v>45974</v>
      </c>
    </row>
    <row r="175" customFormat="false" ht="15" hidden="false" customHeight="false" outlineLevel="0" collapsed="false">
      <c r="A175" s="8" t="s">
        <v>509</v>
      </c>
      <c r="B175" s="8" t="s">
        <v>510</v>
      </c>
      <c r="C175" s="9" t="n">
        <v>42</v>
      </c>
      <c r="D175" s="8" t="s">
        <v>90</v>
      </c>
      <c r="E175" s="8" t="s">
        <v>378</v>
      </c>
      <c r="F175" s="8" t="s">
        <v>115</v>
      </c>
      <c r="G175" s="9" t="n">
        <v>295</v>
      </c>
      <c r="H175" s="10" t="n">
        <v>45814</v>
      </c>
    </row>
    <row r="176" customFormat="false" ht="15" hidden="false" customHeight="false" outlineLevel="0" collapsed="false">
      <c r="A176" s="8" t="s">
        <v>511</v>
      </c>
      <c r="B176" s="8" t="s">
        <v>512</v>
      </c>
      <c r="C176" s="9" t="n">
        <v>77</v>
      </c>
      <c r="D176" s="8" t="s">
        <v>46</v>
      </c>
      <c r="E176" s="8" t="s">
        <v>468</v>
      </c>
      <c r="F176" s="8" t="s">
        <v>145</v>
      </c>
      <c r="G176" s="9" t="n">
        <v>45</v>
      </c>
      <c r="H176" s="10" t="n">
        <v>46043</v>
      </c>
    </row>
    <row r="177" customFormat="false" ht="15" hidden="false" customHeight="false" outlineLevel="0" collapsed="false">
      <c r="A177" s="8" t="s">
        <v>513</v>
      </c>
      <c r="B177" s="8" t="s">
        <v>514</v>
      </c>
      <c r="C177" s="9" t="n">
        <v>70</v>
      </c>
      <c r="D177" s="8" t="s">
        <v>46</v>
      </c>
      <c r="E177" s="8" t="s">
        <v>49</v>
      </c>
      <c r="F177" s="8" t="s">
        <v>52</v>
      </c>
      <c r="G177" s="9" t="n">
        <v>5</v>
      </c>
      <c r="H177" s="10" t="n">
        <v>45606</v>
      </c>
    </row>
    <row r="178" customFormat="false" ht="15" hidden="false" customHeight="false" outlineLevel="0" collapsed="false">
      <c r="A178" s="8" t="s">
        <v>515</v>
      </c>
      <c r="B178" s="8" t="s">
        <v>516</v>
      </c>
      <c r="C178" s="9" t="n">
        <v>12</v>
      </c>
      <c r="D178" s="8" t="s">
        <v>46</v>
      </c>
      <c r="E178" s="8" t="s">
        <v>68</v>
      </c>
      <c r="F178" s="8" t="s">
        <v>69</v>
      </c>
      <c r="G178" s="9" t="n">
        <v>300</v>
      </c>
      <c r="H178" s="10" t="n">
        <v>45787</v>
      </c>
    </row>
    <row r="179" customFormat="false" ht="15" hidden="false" customHeight="false" outlineLevel="0" collapsed="false">
      <c r="A179" s="8" t="s">
        <v>518</v>
      </c>
      <c r="B179" s="8" t="s">
        <v>519</v>
      </c>
      <c r="C179" s="9" t="n">
        <v>24</v>
      </c>
      <c r="D179" s="8" t="s">
        <v>46</v>
      </c>
      <c r="E179" s="8" t="s">
        <v>49</v>
      </c>
      <c r="F179" s="8" t="s">
        <v>52</v>
      </c>
      <c r="G179" s="9" t="n">
        <v>5</v>
      </c>
      <c r="H179" s="10" t="n">
        <v>46001</v>
      </c>
    </row>
    <row r="180" customFormat="false" ht="15" hidden="false" customHeight="false" outlineLevel="0" collapsed="false">
      <c r="A180" s="8" t="s">
        <v>520</v>
      </c>
      <c r="B180" s="8" t="s">
        <v>521</v>
      </c>
      <c r="C180" s="9" t="n">
        <v>82</v>
      </c>
      <c r="D180" s="8" t="s">
        <v>90</v>
      </c>
      <c r="E180" s="8" t="s">
        <v>72</v>
      </c>
      <c r="F180" s="8" t="s">
        <v>214</v>
      </c>
      <c r="G180" s="9" t="n">
        <v>595</v>
      </c>
      <c r="H180" s="10" t="n">
        <v>46207</v>
      </c>
    </row>
    <row r="181" customFormat="false" ht="15" hidden="false" customHeight="false" outlineLevel="0" collapsed="false">
      <c r="A181" s="8" t="s">
        <v>522</v>
      </c>
      <c r="B181" s="8" t="s">
        <v>338</v>
      </c>
      <c r="C181" s="9" t="n">
        <v>25</v>
      </c>
      <c r="D181" s="8" t="s">
        <v>46</v>
      </c>
      <c r="E181" s="8" t="s">
        <v>649</v>
      </c>
      <c r="F181" s="8" t="s">
        <v>154</v>
      </c>
      <c r="G181" s="9" t="n">
        <v>200</v>
      </c>
      <c r="H181" s="10" t="n">
        <v>45720</v>
      </c>
    </row>
    <row r="182" customFormat="false" ht="15" hidden="false" customHeight="false" outlineLevel="0" collapsed="false">
      <c r="A182" s="8" t="s">
        <v>524</v>
      </c>
      <c r="B182" s="8" t="s">
        <v>525</v>
      </c>
      <c r="C182" s="9" t="n">
        <v>45</v>
      </c>
      <c r="D182" s="8" t="s">
        <v>46</v>
      </c>
      <c r="E182" s="8" t="s">
        <v>561</v>
      </c>
      <c r="F182" s="8" t="s">
        <v>394</v>
      </c>
      <c r="G182" s="9" t="n">
        <v>60</v>
      </c>
      <c r="H182" s="10" t="n">
        <v>46201</v>
      </c>
    </row>
    <row r="183" customFormat="false" ht="15" hidden="false" customHeight="false" outlineLevel="0" collapsed="false">
      <c r="A183" s="8" t="s">
        <v>527</v>
      </c>
      <c r="B183" s="8" t="s">
        <v>528</v>
      </c>
      <c r="C183" s="9" t="n">
        <v>19</v>
      </c>
      <c r="D183" s="8" t="s">
        <v>90</v>
      </c>
      <c r="E183" s="8" t="s">
        <v>224</v>
      </c>
      <c r="F183" s="8" t="s">
        <v>650</v>
      </c>
      <c r="G183" s="9" t="n">
        <v>30</v>
      </c>
      <c r="H183" s="10" t="n">
        <v>46207</v>
      </c>
    </row>
    <row r="184" customFormat="false" ht="15" hidden="false" customHeight="false" outlineLevel="0" collapsed="false">
      <c r="A184" s="8" t="s">
        <v>531</v>
      </c>
      <c r="B184" s="8" t="s">
        <v>532</v>
      </c>
      <c r="C184" s="9" t="n">
        <v>45</v>
      </c>
      <c r="D184" s="8" t="s">
        <v>90</v>
      </c>
      <c r="E184" s="8" t="s">
        <v>468</v>
      </c>
      <c r="F184" s="8" t="s">
        <v>145</v>
      </c>
      <c r="G184" s="9" t="n">
        <v>40</v>
      </c>
      <c r="H184" s="10" t="n">
        <v>46273</v>
      </c>
    </row>
    <row r="185" customFormat="false" ht="15" hidden="false" customHeight="false" outlineLevel="0" collapsed="false">
      <c r="A185" s="8" t="s">
        <v>533</v>
      </c>
      <c r="B185" s="8" t="s">
        <v>534</v>
      </c>
      <c r="C185" s="9" t="n">
        <v>47</v>
      </c>
      <c r="D185" s="8" t="s">
        <v>90</v>
      </c>
      <c r="E185" s="8" t="s">
        <v>49</v>
      </c>
      <c r="F185" s="8" t="s">
        <v>52</v>
      </c>
      <c r="G185" s="9" t="n">
        <v>5</v>
      </c>
      <c r="H185" s="10" t="n">
        <v>46055</v>
      </c>
    </row>
    <row r="186" customFormat="false" ht="15" hidden="false" customHeight="false" outlineLevel="0" collapsed="false">
      <c r="A186" s="8" t="s">
        <v>535</v>
      </c>
      <c r="B186" s="8" t="s">
        <v>536</v>
      </c>
      <c r="C186" s="9" t="n">
        <v>40</v>
      </c>
      <c r="D186" s="8" t="s">
        <v>46</v>
      </c>
      <c r="E186" s="8" t="s">
        <v>427</v>
      </c>
      <c r="F186" s="8" t="s">
        <v>277</v>
      </c>
      <c r="G186" s="9" t="n">
        <v>185</v>
      </c>
      <c r="H186" s="10" t="n">
        <v>45965</v>
      </c>
    </row>
    <row r="187" customFormat="false" ht="15" hidden="false" customHeight="false" outlineLevel="0" collapsed="false">
      <c r="A187" s="8" t="s">
        <v>537</v>
      </c>
      <c r="B187" s="8" t="s">
        <v>538</v>
      </c>
      <c r="C187" s="9" t="n">
        <v>34</v>
      </c>
      <c r="D187" s="8" t="s">
        <v>90</v>
      </c>
      <c r="E187" s="8" t="s">
        <v>468</v>
      </c>
      <c r="F187" s="8" t="s">
        <v>145</v>
      </c>
      <c r="G187" s="9" t="n">
        <v>100</v>
      </c>
      <c r="H187" s="10" t="n">
        <v>45641</v>
      </c>
    </row>
    <row r="188" customFormat="false" ht="15" hidden="false" customHeight="false" outlineLevel="0" collapsed="false">
      <c r="A188" s="8" t="s">
        <v>539</v>
      </c>
      <c r="B188" s="8" t="s">
        <v>540</v>
      </c>
      <c r="C188" s="9" t="n">
        <v>56</v>
      </c>
      <c r="D188" s="8" t="s">
        <v>90</v>
      </c>
      <c r="E188" s="8" t="s">
        <v>68</v>
      </c>
      <c r="F188" s="8" t="s">
        <v>69</v>
      </c>
      <c r="G188" s="9" t="n">
        <v>265</v>
      </c>
      <c r="H188" s="10" t="n">
        <v>46088</v>
      </c>
    </row>
    <row r="189" customFormat="false" ht="15" hidden="false" customHeight="false" outlineLevel="0" collapsed="false">
      <c r="A189" s="8" t="s">
        <v>541</v>
      </c>
      <c r="B189" s="8" t="s">
        <v>542</v>
      </c>
      <c r="C189" s="9" t="n">
        <v>49</v>
      </c>
      <c r="D189" s="8" t="s">
        <v>46</v>
      </c>
      <c r="E189" s="8" t="s">
        <v>72</v>
      </c>
      <c r="F189" s="8" t="s">
        <v>214</v>
      </c>
      <c r="G189" s="9" t="n">
        <v>660</v>
      </c>
      <c r="H189" s="10" t="n">
        <v>46230</v>
      </c>
    </row>
    <row r="190" customFormat="false" ht="15" hidden="false" customHeight="false" outlineLevel="0" collapsed="false">
      <c r="A190" s="8" t="s">
        <v>543</v>
      </c>
      <c r="B190" s="8" t="s">
        <v>544</v>
      </c>
      <c r="C190" s="9" t="n">
        <v>43</v>
      </c>
      <c r="D190" s="8" t="s">
        <v>46</v>
      </c>
      <c r="E190" s="8" t="s">
        <v>427</v>
      </c>
      <c r="F190" s="8" t="s">
        <v>277</v>
      </c>
      <c r="G190" s="9" t="n">
        <v>155</v>
      </c>
      <c r="H190" s="10" t="n">
        <v>46061</v>
      </c>
    </row>
    <row r="191" customFormat="false" ht="15" hidden="false" customHeight="false" outlineLevel="0" collapsed="false">
      <c r="A191" s="8" t="s">
        <v>545</v>
      </c>
      <c r="B191" s="8" t="s">
        <v>546</v>
      </c>
      <c r="C191" s="9" t="n">
        <v>81</v>
      </c>
      <c r="D191" s="8" t="s">
        <v>90</v>
      </c>
      <c r="E191" s="8" t="s">
        <v>49</v>
      </c>
      <c r="F191" s="8" t="s">
        <v>52</v>
      </c>
      <c r="G191" s="9" t="n">
        <v>5</v>
      </c>
      <c r="H191" s="10" t="n">
        <v>46089</v>
      </c>
    </row>
    <row r="192" customFormat="false" ht="15" hidden="false" customHeight="false" outlineLevel="0" collapsed="false">
      <c r="A192" s="8" t="s">
        <v>547</v>
      </c>
      <c r="B192" s="8" t="s">
        <v>548</v>
      </c>
      <c r="C192" s="9" t="n">
        <v>23</v>
      </c>
      <c r="D192" s="8" t="s">
        <v>46</v>
      </c>
      <c r="E192" s="8" t="s">
        <v>49</v>
      </c>
      <c r="F192" s="8" t="s">
        <v>52</v>
      </c>
      <c r="G192" s="9" t="n">
        <v>5</v>
      </c>
      <c r="H192" s="10" t="n">
        <v>46262</v>
      </c>
    </row>
    <row r="193" customFormat="false" ht="15" hidden="false" customHeight="false" outlineLevel="0" collapsed="false">
      <c r="A193" s="8" t="s">
        <v>549</v>
      </c>
      <c r="B193" s="8" t="s">
        <v>473</v>
      </c>
      <c r="C193" s="9" t="n">
        <v>24</v>
      </c>
      <c r="D193" s="8" t="s">
        <v>90</v>
      </c>
      <c r="E193" s="8" t="s">
        <v>647</v>
      </c>
      <c r="F193" s="8" t="s">
        <v>214</v>
      </c>
      <c r="G193" s="9" t="n">
        <v>850</v>
      </c>
      <c r="H193" s="10" t="n">
        <v>45670</v>
      </c>
    </row>
    <row r="194" customFormat="false" ht="15" hidden="false" customHeight="false" outlineLevel="0" collapsed="false">
      <c r="A194" s="8" t="s">
        <v>550</v>
      </c>
      <c r="B194" s="8" t="s">
        <v>551</v>
      </c>
      <c r="C194" s="9" t="n">
        <v>51</v>
      </c>
      <c r="D194" s="8" t="s">
        <v>90</v>
      </c>
      <c r="E194" s="8" t="s">
        <v>298</v>
      </c>
      <c r="F194" s="8" t="s">
        <v>390</v>
      </c>
      <c r="G194" s="9" t="n">
        <v>570</v>
      </c>
      <c r="H194" s="10" t="n">
        <v>45870</v>
      </c>
    </row>
    <row r="195" customFormat="false" ht="15" hidden="false" customHeight="false" outlineLevel="0" collapsed="false">
      <c r="A195" s="8" t="s">
        <v>552</v>
      </c>
      <c r="B195" s="8" t="s">
        <v>264</v>
      </c>
      <c r="C195" s="9" t="n">
        <v>28</v>
      </c>
      <c r="D195" s="8" t="s">
        <v>46</v>
      </c>
      <c r="E195" s="8" t="s">
        <v>649</v>
      </c>
      <c r="F195" s="8" t="s">
        <v>154</v>
      </c>
      <c r="G195" s="9" t="n">
        <v>230</v>
      </c>
      <c r="H195" s="10" t="n">
        <v>45990</v>
      </c>
    </row>
    <row r="196" customFormat="false" ht="15" hidden="false" customHeight="false" outlineLevel="0" collapsed="false">
      <c r="A196" s="8" t="s">
        <v>553</v>
      </c>
      <c r="B196" s="8" t="s">
        <v>480</v>
      </c>
      <c r="C196" s="9" t="n">
        <v>35</v>
      </c>
      <c r="D196" s="8" t="s">
        <v>90</v>
      </c>
      <c r="E196" s="8" t="s">
        <v>72</v>
      </c>
      <c r="F196" s="8" t="s">
        <v>214</v>
      </c>
      <c r="G196" s="9" t="n">
        <v>920</v>
      </c>
      <c r="H196" s="10" t="n">
        <v>45733</v>
      </c>
    </row>
    <row r="197" customFormat="false" ht="15" hidden="false" customHeight="false" outlineLevel="0" collapsed="false">
      <c r="A197" s="8" t="s">
        <v>554</v>
      </c>
      <c r="B197" s="8" t="s">
        <v>555</v>
      </c>
      <c r="C197" s="9" t="n">
        <v>25</v>
      </c>
      <c r="D197" s="8" t="s">
        <v>46</v>
      </c>
      <c r="E197" s="8" t="s">
        <v>649</v>
      </c>
      <c r="F197" s="8" t="s">
        <v>154</v>
      </c>
      <c r="G197" s="9" t="n">
        <v>265</v>
      </c>
      <c r="H197" s="10" t="n">
        <v>46206</v>
      </c>
    </row>
    <row r="198" customFormat="false" ht="15" hidden="false" customHeight="false" outlineLevel="0" collapsed="false">
      <c r="A198" s="8" t="s">
        <v>556</v>
      </c>
      <c r="B198" s="8" t="s">
        <v>557</v>
      </c>
      <c r="C198" s="9" t="n">
        <v>17</v>
      </c>
      <c r="D198" s="8" t="s">
        <v>46</v>
      </c>
      <c r="E198" s="8" t="s">
        <v>148</v>
      </c>
      <c r="F198" s="8" t="s">
        <v>646</v>
      </c>
      <c r="G198" s="9" t="n">
        <v>30</v>
      </c>
      <c r="H198" s="10" t="n">
        <v>46168</v>
      </c>
    </row>
    <row r="199" customFormat="false" ht="15" hidden="false" customHeight="false" outlineLevel="0" collapsed="false">
      <c r="A199" s="8" t="s">
        <v>559</v>
      </c>
      <c r="B199" s="8" t="s">
        <v>560</v>
      </c>
      <c r="C199" s="9" t="n">
        <v>64</v>
      </c>
      <c r="D199" s="8" t="s">
        <v>90</v>
      </c>
      <c r="E199" s="8" t="s">
        <v>561</v>
      </c>
      <c r="F199" s="8" t="s">
        <v>394</v>
      </c>
      <c r="G199" s="9" t="n">
        <v>120</v>
      </c>
      <c r="H199" s="10" t="n">
        <v>45855</v>
      </c>
    </row>
    <row r="200" customFormat="false" ht="15" hidden="false" customHeight="false" outlineLevel="0" collapsed="false">
      <c r="A200" s="8" t="s">
        <v>563</v>
      </c>
      <c r="B200" s="8" t="s">
        <v>564</v>
      </c>
      <c r="C200" s="9" t="n">
        <v>41</v>
      </c>
      <c r="D200" s="8" t="s">
        <v>90</v>
      </c>
      <c r="E200" s="8" t="s">
        <v>378</v>
      </c>
      <c r="F200" s="8" t="s">
        <v>115</v>
      </c>
      <c r="G200" s="9" t="n">
        <v>255</v>
      </c>
      <c r="H200" s="10" t="n">
        <v>45629</v>
      </c>
    </row>
    <row r="201" customFormat="false" ht="15" hidden="false" customHeight="false" outlineLevel="0" collapsed="false">
      <c r="A201" s="8" t="s">
        <v>566</v>
      </c>
      <c r="B201" s="8" t="s">
        <v>567</v>
      </c>
      <c r="C201" s="9" t="n">
        <v>37</v>
      </c>
      <c r="D201" s="8" t="s">
        <v>90</v>
      </c>
      <c r="E201" s="8" t="s">
        <v>651</v>
      </c>
      <c r="F201" s="8" t="s">
        <v>323</v>
      </c>
      <c r="G201" s="9" t="n">
        <v>490</v>
      </c>
      <c r="H201" s="10" t="n">
        <v>46008</v>
      </c>
    </row>
    <row r="202" customFormat="false" ht="15" hidden="false" customHeight="false" outlineLevel="0" collapsed="false">
      <c r="A202" s="8" t="s">
        <v>569</v>
      </c>
      <c r="B202" s="8" t="s">
        <v>570</v>
      </c>
      <c r="C202" s="9" t="n">
        <v>49</v>
      </c>
      <c r="D202" s="8" t="s">
        <v>46</v>
      </c>
      <c r="E202" s="8" t="s">
        <v>649</v>
      </c>
      <c r="F202" s="8" t="s">
        <v>154</v>
      </c>
      <c r="G202" s="9" t="n">
        <v>305</v>
      </c>
      <c r="H202" s="10" t="n">
        <v>46069</v>
      </c>
    </row>
    <row r="203" customFormat="false" ht="15" hidden="false" customHeight="false" outlineLevel="0" collapsed="false">
      <c r="A203" s="8" t="s">
        <v>571</v>
      </c>
      <c r="B203" s="8" t="s">
        <v>572</v>
      </c>
      <c r="C203" s="9" t="n">
        <v>55</v>
      </c>
      <c r="D203" s="8" t="s">
        <v>46</v>
      </c>
      <c r="E203" s="8" t="s">
        <v>49</v>
      </c>
      <c r="F203" s="8" t="s">
        <v>52</v>
      </c>
      <c r="G203" s="9" t="n">
        <v>5</v>
      </c>
      <c r="H203" s="10" t="n">
        <v>45640</v>
      </c>
    </row>
    <row r="204" customFormat="false" ht="15" hidden="false" customHeight="false" outlineLevel="0" collapsed="false">
      <c r="A204" s="8" t="s">
        <v>573</v>
      </c>
      <c r="B204" s="8" t="s">
        <v>574</v>
      </c>
      <c r="C204" s="9" t="n">
        <v>34</v>
      </c>
      <c r="D204" s="8" t="s">
        <v>90</v>
      </c>
      <c r="E204" s="8" t="s">
        <v>298</v>
      </c>
      <c r="F204" s="8" t="s">
        <v>390</v>
      </c>
      <c r="G204" s="9" t="n">
        <v>640</v>
      </c>
      <c r="H204" s="10" t="n">
        <v>46134</v>
      </c>
    </row>
    <row r="205" customFormat="false" ht="15" hidden="false" customHeight="false" outlineLevel="0" collapsed="false">
      <c r="A205" s="8" t="s">
        <v>575</v>
      </c>
      <c r="B205" s="8" t="s">
        <v>576</v>
      </c>
      <c r="C205" s="9" t="n">
        <v>51</v>
      </c>
      <c r="D205" s="8" t="s">
        <v>46</v>
      </c>
      <c r="E205" s="8" t="s">
        <v>186</v>
      </c>
      <c r="F205" s="8" t="s">
        <v>262</v>
      </c>
      <c r="G205" s="9" t="n">
        <v>10</v>
      </c>
      <c r="H205" s="10" t="n">
        <v>46200</v>
      </c>
    </row>
    <row r="206" customFormat="false" ht="15" hidden="false" customHeight="false" outlineLevel="0" collapsed="false">
      <c r="A206" s="8" t="s">
        <v>577</v>
      </c>
      <c r="B206" s="8" t="s">
        <v>519</v>
      </c>
      <c r="C206" s="9" t="n">
        <v>46</v>
      </c>
      <c r="D206" s="8" t="s">
        <v>46</v>
      </c>
      <c r="E206" s="8" t="s">
        <v>72</v>
      </c>
      <c r="F206" s="8" t="s">
        <v>214</v>
      </c>
      <c r="G206" s="9" t="n">
        <v>1000</v>
      </c>
      <c r="H206" s="10" t="n">
        <v>46129</v>
      </c>
    </row>
    <row r="207" customFormat="false" ht="15" hidden="false" customHeight="false" outlineLevel="0" collapsed="false">
      <c r="A207" s="8" t="s">
        <v>578</v>
      </c>
      <c r="B207" s="8" t="s">
        <v>579</v>
      </c>
      <c r="C207" s="9" t="n">
        <v>67</v>
      </c>
      <c r="D207" s="8" t="s">
        <v>90</v>
      </c>
      <c r="E207" s="8" t="s">
        <v>561</v>
      </c>
      <c r="F207" s="8" t="s">
        <v>394</v>
      </c>
      <c r="G207" s="9" t="n">
        <v>25</v>
      </c>
      <c r="H207" s="10" t="n">
        <v>46232</v>
      </c>
    </row>
    <row r="208" customFormat="false" ht="15" hidden="false" customHeight="false" outlineLevel="0" collapsed="false">
      <c r="A208" s="8" t="s">
        <v>581</v>
      </c>
      <c r="B208" s="8" t="s">
        <v>582</v>
      </c>
      <c r="C208" s="9" t="n">
        <v>61</v>
      </c>
      <c r="D208" s="8" t="s">
        <v>46</v>
      </c>
      <c r="E208" s="8" t="s">
        <v>298</v>
      </c>
      <c r="F208" s="8" t="s">
        <v>390</v>
      </c>
      <c r="G208" s="9" t="n">
        <v>510</v>
      </c>
      <c r="H208" s="10" t="n">
        <v>45752</v>
      </c>
    </row>
    <row r="209" customFormat="false" ht="15" hidden="false" customHeight="false" outlineLevel="0" collapsed="false">
      <c r="A209" s="8" t="s">
        <v>583</v>
      </c>
      <c r="B209" s="8" t="s">
        <v>652</v>
      </c>
      <c r="C209" s="9" t="n">
        <v>72</v>
      </c>
      <c r="D209" s="8" t="s">
        <v>90</v>
      </c>
      <c r="E209" s="8" t="s">
        <v>298</v>
      </c>
      <c r="F209" s="8" t="s">
        <v>390</v>
      </c>
      <c r="G209" s="9" t="n">
        <v>615</v>
      </c>
      <c r="H209" s="10" t="n">
        <v>46099</v>
      </c>
    </row>
    <row r="210" customFormat="false" ht="15" hidden="false" customHeight="false" outlineLevel="0" collapsed="false">
      <c r="A210" s="8" t="s">
        <v>584</v>
      </c>
      <c r="B210" s="8" t="s">
        <v>585</v>
      </c>
      <c r="C210" s="9" t="n">
        <v>64</v>
      </c>
      <c r="D210" s="8" t="s">
        <v>90</v>
      </c>
      <c r="E210" s="8" t="s">
        <v>298</v>
      </c>
      <c r="F210" s="8" t="s">
        <v>390</v>
      </c>
      <c r="G210" s="9" t="n">
        <v>540</v>
      </c>
      <c r="H210" s="10" t="n">
        <v>45562</v>
      </c>
    </row>
    <row r="211" customFormat="false" ht="15" hidden="false" customHeight="false" outlineLevel="0" collapsed="false">
      <c r="A211" s="8" t="s">
        <v>586</v>
      </c>
      <c r="B211" s="8" t="s">
        <v>587</v>
      </c>
      <c r="C211" s="9" t="n">
        <v>35</v>
      </c>
      <c r="D211" s="8" t="s">
        <v>90</v>
      </c>
      <c r="E211" s="8" t="s">
        <v>298</v>
      </c>
      <c r="F211" s="8" t="s">
        <v>390</v>
      </c>
      <c r="G211" s="9" t="n">
        <v>515</v>
      </c>
      <c r="H211" s="10" t="n">
        <v>45856</v>
      </c>
    </row>
    <row r="212" customFormat="false" ht="15" hidden="false" customHeight="false" outlineLevel="0" collapsed="false">
      <c r="A212" s="8" t="s">
        <v>588</v>
      </c>
      <c r="B212" s="8" t="s">
        <v>589</v>
      </c>
      <c r="C212" s="9" t="n">
        <v>46</v>
      </c>
      <c r="D212" s="8" t="s">
        <v>90</v>
      </c>
      <c r="E212" s="8" t="s">
        <v>68</v>
      </c>
      <c r="F212" s="8" t="s">
        <v>69</v>
      </c>
      <c r="G212" s="9" t="n">
        <v>310</v>
      </c>
      <c r="H212" s="10" t="n">
        <v>46055</v>
      </c>
    </row>
    <row r="213" customFormat="false" ht="15" hidden="false" customHeight="false" outlineLevel="0" collapsed="false">
      <c r="A213" s="8" t="s">
        <v>590</v>
      </c>
      <c r="B213" s="8" t="s">
        <v>591</v>
      </c>
      <c r="C213" s="9" t="n">
        <v>21</v>
      </c>
      <c r="D213" s="8" t="s">
        <v>46</v>
      </c>
      <c r="E213" s="8" t="s">
        <v>468</v>
      </c>
      <c r="F213" s="8" t="s">
        <v>145</v>
      </c>
      <c r="G213" s="9" t="n">
        <v>62</v>
      </c>
      <c r="H213" s="10" t="n">
        <v>46197</v>
      </c>
    </row>
    <row r="214" customFormat="false" ht="15" hidden="false" customHeight="false" outlineLevel="0" collapsed="false">
      <c r="A214" s="8" t="s">
        <v>592</v>
      </c>
      <c r="B214" s="8" t="s">
        <v>593</v>
      </c>
      <c r="C214" s="9" t="n">
        <v>44</v>
      </c>
      <c r="D214" s="8" t="s">
        <v>90</v>
      </c>
      <c r="E214" s="8" t="s">
        <v>72</v>
      </c>
      <c r="F214" s="8" t="s">
        <v>214</v>
      </c>
      <c r="G214" s="9" t="n">
        <v>635</v>
      </c>
      <c r="H214" s="10" t="n">
        <v>45774</v>
      </c>
    </row>
    <row r="215" customFormat="false" ht="15" hidden="false" customHeight="false" outlineLevel="0" collapsed="false">
      <c r="A215" s="8" t="s">
        <v>594</v>
      </c>
      <c r="B215" s="8" t="s">
        <v>595</v>
      </c>
      <c r="C215" s="9" t="n">
        <v>19</v>
      </c>
      <c r="D215" s="8" t="s">
        <v>46</v>
      </c>
      <c r="E215" s="8" t="s">
        <v>298</v>
      </c>
      <c r="F215" s="8" t="s">
        <v>647</v>
      </c>
      <c r="G215" s="9" t="n">
        <v>620</v>
      </c>
      <c r="H215" s="10" t="n">
        <v>45882</v>
      </c>
    </row>
    <row r="216" customFormat="false" ht="15" hidden="false" customHeight="false" outlineLevel="0" collapsed="false">
      <c r="A216" s="8" t="s">
        <v>596</v>
      </c>
      <c r="B216" s="8" t="s">
        <v>71</v>
      </c>
      <c r="C216" s="9" t="n">
        <v>32</v>
      </c>
      <c r="D216" s="8" t="s">
        <v>46</v>
      </c>
      <c r="E216" s="8" t="s">
        <v>148</v>
      </c>
      <c r="F216" s="8" t="s">
        <v>646</v>
      </c>
      <c r="G216" s="9" t="n">
        <v>85</v>
      </c>
      <c r="H216" s="10" t="n">
        <v>45820</v>
      </c>
    </row>
    <row r="217" customFormat="false" ht="15" hidden="false" customHeight="false" outlineLevel="0" collapsed="false">
      <c r="A217" s="8" t="s">
        <v>597</v>
      </c>
      <c r="B217" s="8" t="s">
        <v>598</v>
      </c>
      <c r="C217" s="9" t="n">
        <v>65</v>
      </c>
      <c r="D217" s="8" t="s">
        <v>46</v>
      </c>
      <c r="E217" s="8" t="s">
        <v>49</v>
      </c>
      <c r="F217" s="8" t="s">
        <v>52</v>
      </c>
      <c r="G217" s="9" t="n">
        <v>5</v>
      </c>
      <c r="H217" s="10" t="n">
        <v>45703</v>
      </c>
    </row>
    <row r="218" customFormat="false" ht="15" hidden="false" customHeight="false" outlineLevel="0" collapsed="false">
      <c r="A218" s="8" t="s">
        <v>599</v>
      </c>
      <c r="B218" s="8" t="s">
        <v>124</v>
      </c>
      <c r="C218" s="9" t="n">
        <v>22</v>
      </c>
      <c r="D218" s="8" t="s">
        <v>90</v>
      </c>
      <c r="E218" s="8" t="s">
        <v>468</v>
      </c>
      <c r="F218" s="8" t="s">
        <v>145</v>
      </c>
      <c r="G218" s="9" t="n">
        <v>65</v>
      </c>
      <c r="H218" s="8"/>
    </row>
    <row r="219" customFormat="false" ht="15" hidden="false" customHeight="false" outlineLevel="0" collapsed="false">
      <c r="A219" s="8" t="s">
        <v>600</v>
      </c>
      <c r="B219" s="8" t="s">
        <v>601</v>
      </c>
      <c r="C219" s="9" t="n">
        <v>73</v>
      </c>
      <c r="D219" s="8" t="s">
        <v>90</v>
      </c>
      <c r="E219" s="8" t="s">
        <v>561</v>
      </c>
      <c r="F219" s="8" t="s">
        <v>394</v>
      </c>
      <c r="G219" s="9" t="n">
        <v>65</v>
      </c>
      <c r="H219" s="10" t="n">
        <v>46166</v>
      </c>
    </row>
    <row r="220" customFormat="false" ht="15" hidden="false" customHeight="false" outlineLevel="0" collapsed="false">
      <c r="A220" s="8" t="s">
        <v>602</v>
      </c>
      <c r="B220" s="8" t="s">
        <v>603</v>
      </c>
      <c r="C220" s="9" t="n">
        <v>46</v>
      </c>
      <c r="D220" s="8" t="s">
        <v>90</v>
      </c>
      <c r="E220" s="8" t="s">
        <v>298</v>
      </c>
      <c r="F220" s="8" t="s">
        <v>647</v>
      </c>
      <c r="G220" s="9" t="n">
        <v>500</v>
      </c>
      <c r="H220" s="10" t="n">
        <v>46115</v>
      </c>
    </row>
    <row r="221" customFormat="false" ht="15" hidden="false" customHeight="false" outlineLevel="0" collapsed="false">
      <c r="A221" s="8" t="s">
        <v>604</v>
      </c>
      <c r="B221" s="8" t="s">
        <v>605</v>
      </c>
      <c r="C221" s="9" t="n">
        <v>64</v>
      </c>
      <c r="D221" s="8" t="s">
        <v>90</v>
      </c>
      <c r="E221" s="8" t="s">
        <v>501</v>
      </c>
      <c r="F221" s="8" t="s">
        <v>166</v>
      </c>
      <c r="G221" s="9" t="n">
        <v>90</v>
      </c>
      <c r="H221" s="10" t="n">
        <v>46039</v>
      </c>
    </row>
    <row r="222" customFormat="false" ht="15" hidden="false" customHeight="false" outlineLevel="0" collapsed="false">
      <c r="A222" s="8" t="s">
        <v>606</v>
      </c>
      <c r="B222" s="8" t="s">
        <v>607</v>
      </c>
      <c r="C222" s="9" t="n">
        <v>61</v>
      </c>
      <c r="D222" s="8" t="s">
        <v>90</v>
      </c>
      <c r="E222" s="8" t="s">
        <v>561</v>
      </c>
      <c r="F222" s="8" t="s">
        <v>394</v>
      </c>
      <c r="G222" s="9" t="n">
        <v>95</v>
      </c>
      <c r="H222" s="10" t="n">
        <v>45629</v>
      </c>
    </row>
    <row r="223" customFormat="false" ht="15" hidden="false" customHeight="false" outlineLevel="0" collapsed="false">
      <c r="A223" s="8" t="s">
        <v>608</v>
      </c>
      <c r="B223" s="8" t="s">
        <v>609</v>
      </c>
      <c r="C223" s="9" t="n">
        <v>42</v>
      </c>
      <c r="D223" s="8" t="s">
        <v>46</v>
      </c>
      <c r="E223" s="8" t="s">
        <v>378</v>
      </c>
      <c r="F223" s="8" t="s">
        <v>115</v>
      </c>
      <c r="G223" s="9" t="n">
        <v>330</v>
      </c>
      <c r="H223" s="10" t="n">
        <v>45882</v>
      </c>
    </row>
    <row r="224" customFormat="false" ht="15" hidden="false" customHeight="false" outlineLevel="0" collapsed="false">
      <c r="A224" s="8" t="s">
        <v>610</v>
      </c>
      <c r="B224" s="8" t="s">
        <v>611</v>
      </c>
      <c r="C224" s="9" t="n">
        <v>45</v>
      </c>
      <c r="D224" s="8" t="s">
        <v>46</v>
      </c>
      <c r="E224" s="8" t="s">
        <v>49</v>
      </c>
      <c r="F224" s="8" t="s">
        <v>52</v>
      </c>
      <c r="G224" s="9" t="n">
        <v>5</v>
      </c>
      <c r="H224" s="10" t="n">
        <v>45856</v>
      </c>
    </row>
    <row r="225" customFormat="false" ht="15" hidden="false" customHeight="false" outlineLevel="0" collapsed="false">
      <c r="A225" s="8" t="s">
        <v>612</v>
      </c>
      <c r="B225" s="8" t="s">
        <v>613</v>
      </c>
      <c r="C225" s="9" t="n">
        <v>22</v>
      </c>
      <c r="D225" s="8" t="s">
        <v>46</v>
      </c>
      <c r="E225" s="8" t="s">
        <v>224</v>
      </c>
      <c r="F225" s="8" t="s">
        <v>650</v>
      </c>
      <c r="G225" s="9" t="n">
        <v>40</v>
      </c>
      <c r="H225" s="10" t="n">
        <v>46088</v>
      </c>
    </row>
    <row r="226" customFormat="false" ht="15" hidden="false" customHeight="false" outlineLevel="0" collapsed="false">
      <c r="A226" s="8" t="s">
        <v>615</v>
      </c>
      <c r="B226" s="8" t="s">
        <v>616</v>
      </c>
      <c r="C226" s="9" t="n">
        <v>62</v>
      </c>
      <c r="D226" s="8" t="s">
        <v>46</v>
      </c>
      <c r="E226" s="8" t="s">
        <v>72</v>
      </c>
      <c r="F226" s="8" t="s">
        <v>214</v>
      </c>
      <c r="G226" s="9" t="n">
        <v>890</v>
      </c>
      <c r="H226" s="10" t="n">
        <v>45927</v>
      </c>
    </row>
    <row r="227" customFormat="false" ht="15" hidden="false" customHeight="false" outlineLevel="0" collapsed="false">
      <c r="A227" s="8" t="s">
        <v>617</v>
      </c>
      <c r="B227" s="8" t="s">
        <v>618</v>
      </c>
      <c r="C227" s="9" t="n">
        <v>43</v>
      </c>
      <c r="D227" s="8" t="s">
        <v>90</v>
      </c>
      <c r="E227" s="8" t="s">
        <v>49</v>
      </c>
      <c r="F227" s="8" t="s">
        <v>52</v>
      </c>
      <c r="G227" s="9" t="n">
        <v>5</v>
      </c>
      <c r="H227" s="10" t="n">
        <v>45859</v>
      </c>
    </row>
    <row r="228" customFormat="false" ht="15" hidden="false" customHeight="false" outlineLevel="0" collapsed="false">
      <c r="A228" s="8" t="s">
        <v>619</v>
      </c>
      <c r="B228" s="8" t="s">
        <v>570</v>
      </c>
      <c r="C228" s="9" t="n">
        <v>32</v>
      </c>
      <c r="D228" s="8" t="s">
        <v>46</v>
      </c>
      <c r="E228" s="8" t="s">
        <v>49</v>
      </c>
      <c r="F228" s="8" t="s">
        <v>52</v>
      </c>
      <c r="G228" s="9" t="n">
        <v>5</v>
      </c>
      <c r="H228" s="10" t="n">
        <v>46138</v>
      </c>
    </row>
    <row r="229" customFormat="false" ht="15" hidden="false" customHeight="false" outlineLevel="0" collapsed="false">
      <c r="A229" s="8" t="s">
        <v>620</v>
      </c>
      <c r="B229" s="8" t="s">
        <v>124</v>
      </c>
      <c r="C229" s="9" t="n">
        <v>46</v>
      </c>
      <c r="D229" s="8" t="s">
        <v>90</v>
      </c>
      <c r="E229" s="8" t="s">
        <v>68</v>
      </c>
      <c r="F229" s="8" t="s">
        <v>69</v>
      </c>
      <c r="G229" s="9" t="n">
        <v>365</v>
      </c>
      <c r="H229" s="10" t="n">
        <v>45859</v>
      </c>
    </row>
    <row r="230" customFormat="false" ht="15" hidden="false" customHeight="false" outlineLevel="0" collapsed="false">
      <c r="A230" s="8" t="s">
        <v>621</v>
      </c>
      <c r="B230" s="8" t="s">
        <v>622</v>
      </c>
      <c r="C230" s="9" t="n">
        <v>29</v>
      </c>
      <c r="D230" s="8" t="s">
        <v>90</v>
      </c>
      <c r="E230" s="8" t="s">
        <v>427</v>
      </c>
      <c r="F230" s="8" t="s">
        <v>647</v>
      </c>
      <c r="G230" s="9" t="n">
        <v>185</v>
      </c>
      <c r="H230" s="10" t="n">
        <v>45578</v>
      </c>
    </row>
    <row r="231" customFormat="false" ht="15" hidden="false" customHeight="false" outlineLevel="0" collapsed="false">
      <c r="A231" s="8" t="s">
        <v>623</v>
      </c>
      <c r="B231" s="8" t="s">
        <v>624</v>
      </c>
      <c r="C231" s="9" t="n">
        <v>95</v>
      </c>
      <c r="D231" s="8" t="s">
        <v>46</v>
      </c>
      <c r="E231" s="8" t="s">
        <v>378</v>
      </c>
      <c r="F231" s="8" t="s">
        <v>115</v>
      </c>
      <c r="G231" s="9" t="n">
        <v>385</v>
      </c>
      <c r="H231" s="10" t="n">
        <v>46146</v>
      </c>
    </row>
  </sheetData>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tableParts>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E5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6"/>
    <col collapsed="false" customWidth="true" hidden="false" outlineLevel="0" max="3" min="3" style="0" width="19"/>
    <col collapsed="false" customWidth="true" hidden="false" outlineLevel="0" max="4" min="4" style="0" width="18"/>
    <col collapsed="false" customWidth="true" hidden="false" outlineLevel="0" max="5" min="5" style="0" width="22"/>
  </cols>
  <sheetData>
    <row r="2" customFormat="false" ht="19.7" hidden="false" customHeight="false" outlineLevel="0" collapsed="false">
      <c r="B2" s="1" t="s">
        <v>653</v>
      </c>
    </row>
    <row r="3" customFormat="false" ht="15" hidden="false" customHeight="false" outlineLevel="0" collapsed="false">
      <c r="B3" s="2" t="s">
        <v>654</v>
      </c>
    </row>
    <row r="5" customFormat="false" ht="15" hidden="false" customHeight="false" outlineLevel="0" collapsed="false">
      <c r="B5" s="11" t="s">
        <v>655</v>
      </c>
      <c r="C5" s="11"/>
    </row>
    <row r="6" customFormat="false" ht="15" hidden="false" customHeight="false" outlineLevel="0" collapsed="false">
      <c r="B6" s="8" t="s">
        <v>656</v>
      </c>
      <c r="C6" s="16" t="n">
        <f aca="false">COUNTA('Cleaned Data'!A2:A231)</f>
        <v>230</v>
      </c>
    </row>
    <row r="7" customFormat="false" ht="15" hidden="false" customHeight="false" outlineLevel="0" collapsed="false">
      <c r="B7" s="8" t="s">
        <v>657</v>
      </c>
      <c r="C7" s="17" t="n">
        <f aca="false">ROUND(AVERAGE('Cleaned Data'!C2:C231),1)</f>
        <v>46.4</v>
      </c>
    </row>
    <row r="8" customFormat="false" ht="15" hidden="false" customHeight="false" outlineLevel="0" collapsed="false">
      <c r="B8" s="8" t="s">
        <v>658</v>
      </c>
      <c r="C8" s="16" t="n">
        <f aca="false">MEDIAN('Cleaned Data'!C2:C231)</f>
        <v>46</v>
      </c>
    </row>
    <row r="9" customFormat="false" ht="15" hidden="false" customHeight="false" outlineLevel="0" collapsed="false">
      <c r="B9" s="8" t="s">
        <v>659</v>
      </c>
      <c r="C9" s="16" t="n">
        <f aca="false">MIN('Cleaned Data'!C2:C231)</f>
        <v>4</v>
      </c>
    </row>
    <row r="10" customFormat="false" ht="15" hidden="false" customHeight="false" outlineLevel="0" collapsed="false">
      <c r="B10" s="8" t="s">
        <v>660</v>
      </c>
      <c r="C10" s="16" t="n">
        <f aca="false">MAX('Cleaned Data'!C2:C231)</f>
        <v>95</v>
      </c>
    </row>
    <row r="11" customFormat="false" ht="15" hidden="false" customHeight="false" outlineLevel="0" collapsed="false">
      <c r="B11" s="8" t="s">
        <v>661</v>
      </c>
      <c r="C11" s="17" t="n">
        <f aca="false">ROUND(AVERAGE('Cleaned Data'!G2:G231),1)</f>
        <v>275.3</v>
      </c>
    </row>
    <row r="13" customFormat="false" ht="15" hidden="false" customHeight="false" outlineLevel="0" collapsed="false">
      <c r="B13" s="11" t="s">
        <v>662</v>
      </c>
      <c r="C13" s="11"/>
      <c r="D13" s="11"/>
    </row>
    <row r="14" customFormat="false" ht="15" hidden="false" customHeight="false" outlineLevel="0" collapsed="false">
      <c r="B14" s="5" t="s">
        <v>44</v>
      </c>
      <c r="C14" s="5" t="s">
        <v>663</v>
      </c>
      <c r="D14" s="5" t="s">
        <v>664</v>
      </c>
    </row>
    <row r="15" customFormat="false" ht="15" hidden="false" customHeight="false" outlineLevel="0" collapsed="false">
      <c r="B15" s="13" t="s">
        <v>46</v>
      </c>
      <c r="C15" s="13" t="n">
        <f aca="false">COUNTIF('Cleaned Data'!D2:D231,"Male")</f>
        <v>114</v>
      </c>
      <c r="D15" s="14" t="n">
        <f aca="false">C15/'Analysis Summary'!$C$6</f>
        <v>0.495652173913044</v>
      </c>
    </row>
    <row r="16" customFormat="false" ht="15" hidden="false" customHeight="false" outlineLevel="0" collapsed="false">
      <c r="B16" s="13" t="s">
        <v>90</v>
      </c>
      <c r="C16" s="13" t="n">
        <f aca="false">COUNTIF('Cleaned Data'!D2:D231,"Female")</f>
        <v>110</v>
      </c>
      <c r="D16" s="14" t="n">
        <f aca="false">C16/'Analysis Summary'!$C$6</f>
        <v>0.478260869565217</v>
      </c>
    </row>
    <row r="17" customFormat="false" ht="15" hidden="false" customHeight="false" outlineLevel="0" collapsed="false">
      <c r="B17" s="13" t="s">
        <v>648</v>
      </c>
      <c r="C17" s="13" t="n">
        <f aca="false">COUNTIF('Cleaned Data'!D2:D231,"Unknown")</f>
        <v>6</v>
      </c>
      <c r="D17" s="14" t="n">
        <f aca="false">C17/'Analysis Summary'!$C$6</f>
        <v>0.0260869565217391</v>
      </c>
    </row>
    <row r="19" customFormat="false" ht="15" hidden="false" customHeight="false" outlineLevel="0" collapsed="false">
      <c r="B19" s="11" t="s">
        <v>665</v>
      </c>
      <c r="C19" s="11"/>
      <c r="D19" s="11"/>
      <c r="E19" s="11"/>
    </row>
    <row r="20" customFormat="false" ht="15" hidden="false" customHeight="false" outlineLevel="0" collapsed="false">
      <c r="B20" s="5" t="s">
        <v>47</v>
      </c>
      <c r="C20" s="5" t="s">
        <v>663</v>
      </c>
      <c r="D20" s="5" t="s">
        <v>664</v>
      </c>
      <c r="E20" s="5" t="s">
        <v>666</v>
      </c>
    </row>
    <row r="21" customFormat="false" ht="15" hidden="false" customHeight="false" outlineLevel="0" collapsed="false">
      <c r="B21" s="13" t="s">
        <v>49</v>
      </c>
      <c r="C21" s="13" t="n">
        <f aca="false">COUNTIF('Cleaned Data'!E2:E231,"Hypertension")</f>
        <v>43</v>
      </c>
      <c r="D21" s="14" t="n">
        <f aca="false">C21/'Analysis Summary'!$C$6</f>
        <v>0.18695652173913</v>
      </c>
      <c r="E21" s="13" t="n">
        <f aca="false">ROUND(AVERAGEIFS('Cleaned Data'!C2:C231,'Cleaned Data'!E2:E231,B21),1)</f>
        <v>48.6</v>
      </c>
    </row>
    <row r="22" customFormat="false" ht="15" hidden="false" customHeight="false" outlineLevel="0" collapsed="false">
      <c r="B22" s="13" t="s">
        <v>72</v>
      </c>
      <c r="C22" s="13" t="n">
        <f aca="false">COUNTIF('Cleaned Data'!E2:E231,"Diabetes")</f>
        <v>30</v>
      </c>
      <c r="D22" s="14" t="n">
        <f aca="false">C22/'Analysis Summary'!$C$6</f>
        <v>0.130434782608696</v>
      </c>
      <c r="E22" s="13" t="n">
        <f aca="false">ROUND(AVERAGEIFS('Cleaned Data'!C2:C231,'Cleaned Data'!E2:E231,B22),1)</f>
        <v>46.2</v>
      </c>
    </row>
    <row r="23" customFormat="false" ht="15" hidden="false" customHeight="false" outlineLevel="0" collapsed="false">
      <c r="B23" s="13" t="s">
        <v>298</v>
      </c>
      <c r="C23" s="13" t="n">
        <f aca="false">COUNTIF('Cleaned Data'!E2:E231,"Flu")</f>
        <v>22</v>
      </c>
      <c r="D23" s="14" t="n">
        <f aca="false">C23/'Analysis Summary'!$C$6</f>
        <v>0.0956521739130435</v>
      </c>
      <c r="E23" s="13" t="n">
        <f aca="false">ROUND(AVERAGEIFS('Cleaned Data'!C2:C231,'Cleaned Data'!E2:E231,B23),1)</f>
        <v>49.6</v>
      </c>
    </row>
    <row r="24" customFormat="false" ht="15" hidden="false" customHeight="false" outlineLevel="0" collapsed="false">
      <c r="B24" s="13" t="s">
        <v>468</v>
      </c>
      <c r="C24" s="13" t="n">
        <f aca="false">COUNTIF('Cleaned Data'!E2:E231,"Migraine")</f>
        <v>19</v>
      </c>
      <c r="D24" s="14" t="n">
        <f aca="false">C24/'Analysis Summary'!$C$6</f>
        <v>0.0826086956521739</v>
      </c>
      <c r="E24" s="13" t="n">
        <f aca="false">ROUND(AVERAGEIFS('Cleaned Data'!C2:C231,'Cleaned Data'!E2:E231,B24),1)</f>
        <v>40.1</v>
      </c>
    </row>
    <row r="25" customFormat="false" ht="15" hidden="false" customHeight="false" outlineLevel="0" collapsed="false">
      <c r="B25" s="13" t="s">
        <v>427</v>
      </c>
      <c r="C25" s="13" t="n">
        <f aca="false">COUNTIF('Cleaned Data'!E2:E231,"Asthma")</f>
        <v>18</v>
      </c>
      <c r="D25" s="14" t="n">
        <f aca="false">C25/'Analysis Summary'!$C$6</f>
        <v>0.0782608695652174</v>
      </c>
      <c r="E25" s="13" t="n">
        <f aca="false">ROUND(AVERAGEIFS('Cleaned Data'!C2:C231,'Cleaned Data'!E2:E231,B25),1)</f>
        <v>49.9</v>
      </c>
    </row>
    <row r="26" customFormat="false" ht="15" hidden="false" customHeight="false" outlineLevel="0" collapsed="false">
      <c r="B26" s="13" t="s">
        <v>649</v>
      </c>
      <c r="C26" s="13" t="n">
        <f aca="false">COUNTIF('Cleaned Data'!E2:E231,"Anemia")</f>
        <v>16</v>
      </c>
      <c r="D26" s="14" t="n">
        <f aca="false">C26/'Analysis Summary'!$C$6</f>
        <v>0.0695652173913044</v>
      </c>
      <c r="E26" s="13" t="n">
        <f aca="false">ROUND(AVERAGEIFS('Cleaned Data'!C2:C231,'Cleaned Data'!E2:E231,B26),1)</f>
        <v>44.3</v>
      </c>
    </row>
    <row r="27" customFormat="false" ht="15" hidden="false" customHeight="false" outlineLevel="0" collapsed="false">
      <c r="B27" s="13" t="s">
        <v>68</v>
      </c>
      <c r="C27" s="13" t="n">
        <f aca="false">COUNTIF('Cleaned Data'!E2:E231,"Arthritis")</f>
        <v>14</v>
      </c>
      <c r="D27" s="14" t="n">
        <f aca="false">C27/'Analysis Summary'!$C$6</f>
        <v>0.0608695652173913</v>
      </c>
      <c r="E27" s="13" t="n">
        <f aca="false">ROUND(AVERAGEIFS('Cleaned Data'!C2:C231,'Cleaned Data'!E2:E231,B27),1)</f>
        <v>50.4</v>
      </c>
    </row>
    <row r="28" customFormat="false" ht="15" hidden="false" customHeight="false" outlineLevel="0" collapsed="false">
      <c r="B28" s="13" t="s">
        <v>378</v>
      </c>
      <c r="C28" s="13" t="n">
        <f aca="false">COUNTIF('Cleaned Data'!E2:E231,"Bronchitis")</f>
        <v>14</v>
      </c>
      <c r="D28" s="14" t="n">
        <f aca="false">C28/'Analysis Summary'!$C$6</f>
        <v>0.0608695652173913</v>
      </c>
      <c r="E28" s="13" t="n">
        <f aca="false">ROUND(AVERAGEIFS('Cleaned Data'!C2:C231,'Cleaned Data'!E2:E231,B28),1)</f>
        <v>48.6</v>
      </c>
    </row>
    <row r="29" customFormat="false" ht="15" hidden="false" customHeight="false" outlineLevel="0" collapsed="false">
      <c r="B29" s="13" t="s">
        <v>501</v>
      </c>
      <c r="C29" s="13" t="n">
        <f aca="false">COUNTIF('Cleaned Data'!E2:E231,"Obesity")</f>
        <v>12</v>
      </c>
      <c r="D29" s="14" t="n">
        <f aca="false">C29/'Analysis Summary'!$C$6</f>
        <v>0.0521739130434783</v>
      </c>
      <c r="E29" s="13" t="n">
        <f aca="false">ROUND(AVERAGEIFS('Cleaned Data'!C2:C231,'Cleaned Data'!E2:E231,B29),1)</f>
        <v>35.2</v>
      </c>
    </row>
    <row r="30" customFormat="false" ht="15" hidden="false" customHeight="false" outlineLevel="0" collapsed="false">
      <c r="B30" s="13" t="s">
        <v>186</v>
      </c>
      <c r="C30" s="13" t="n">
        <f aca="false">COUNTIF('Cleaned Data'!E2:E231,"Allergy")</f>
        <v>10</v>
      </c>
      <c r="D30" s="14" t="n">
        <f aca="false">C30/'Analysis Summary'!$C$6</f>
        <v>0.0434782608695652</v>
      </c>
      <c r="E30" s="13" t="n">
        <f aca="false">ROUND(AVERAGEIFS('Cleaned Data'!C2:C231,'Cleaned Data'!E2:E231,B30),1)</f>
        <v>48.8</v>
      </c>
    </row>
    <row r="31" customFormat="false" ht="15" hidden="false" customHeight="false" outlineLevel="0" collapsed="false">
      <c r="B31" s="13" t="s">
        <v>647</v>
      </c>
      <c r="C31" s="13" t="n">
        <f aca="false">COUNTIF('Cleaned Data'!E2:E231,"Not Specified")</f>
        <v>9</v>
      </c>
      <c r="D31" s="14" t="n">
        <f aca="false">C31/'Analysis Summary'!$C$6</f>
        <v>0.0391304347826087</v>
      </c>
      <c r="E31" s="13" t="n">
        <f aca="false">ROUND(AVERAGEIFS('Cleaned Data'!C2:C231,'Cleaned Data'!E2:E231,B31),1)</f>
        <v>47.2</v>
      </c>
    </row>
    <row r="32" customFormat="false" ht="15" hidden="false" customHeight="false" outlineLevel="0" collapsed="false">
      <c r="B32" s="13" t="s">
        <v>561</v>
      </c>
      <c r="C32" s="13" t="n">
        <f aca="false">COUNTIF('Cleaned Data'!E2:E231,"Thyroid Disorder")</f>
        <v>8</v>
      </c>
      <c r="D32" s="14" t="n">
        <f aca="false">C32/'Analysis Summary'!$C$6</f>
        <v>0.0347826086956522</v>
      </c>
      <c r="E32" s="13" t="n">
        <f aca="false">ROUND(AVERAGEIFS('Cleaned Data'!C2:C231,'Cleaned Data'!E2:E231,B32),1)</f>
        <v>54.4</v>
      </c>
    </row>
    <row r="33" customFormat="false" ht="15" hidden="false" customHeight="false" outlineLevel="0" collapsed="false">
      <c r="B33" s="13" t="s">
        <v>148</v>
      </c>
      <c r="C33" s="13" t="n">
        <f aca="false">COUNTIF('Cleaned Data'!E2:E231,"Depression")</f>
        <v>7</v>
      </c>
      <c r="D33" s="14" t="n">
        <f aca="false">C33/'Analysis Summary'!$C$6</f>
        <v>0.0304347826086957</v>
      </c>
      <c r="E33" s="13" t="n">
        <f aca="false">ROUND(AVERAGEIFS('Cleaned Data'!C2:C231,'Cleaned Data'!E2:E231,B33),1)</f>
        <v>39.3</v>
      </c>
    </row>
    <row r="34" customFormat="false" ht="15" hidden="false" customHeight="false" outlineLevel="0" collapsed="false">
      <c r="B34" s="13" t="s">
        <v>651</v>
      </c>
      <c r="C34" s="13" t="n">
        <f aca="false">COUNTIF('Cleaned Data'!E2:E231,"Covid-19")</f>
        <v>5</v>
      </c>
      <c r="D34" s="14" t="n">
        <f aca="false">C34/'Analysis Summary'!$C$6</f>
        <v>0.0217391304347826</v>
      </c>
      <c r="E34" s="13" t="n">
        <f aca="false">ROUND(AVERAGEIFS('Cleaned Data'!C2:C231,'Cleaned Data'!E2:E231,B34),1)</f>
        <v>43.8</v>
      </c>
    </row>
    <row r="35" customFormat="false" ht="15" hidden="false" customHeight="false" outlineLevel="0" collapsed="false">
      <c r="B35" s="13" t="s">
        <v>224</v>
      </c>
      <c r="C35" s="13" t="n">
        <f aca="false">COUNTIF('Cleaned Data'!E2:E231,"Gastritis")</f>
        <v>3</v>
      </c>
      <c r="D35" s="14" t="n">
        <f aca="false">C35/'Analysis Summary'!$C$6</f>
        <v>0.0130434782608696</v>
      </c>
      <c r="E35" s="13" t="n">
        <f aca="false">ROUND(AVERAGEIFS('Cleaned Data'!C2:C231,'Cleaned Data'!E2:E231,B35),1)</f>
        <v>27.7</v>
      </c>
    </row>
    <row r="37" customFormat="false" ht="15" hidden="false" customHeight="false" outlineLevel="0" collapsed="false">
      <c r="B37" s="11" t="s">
        <v>667</v>
      </c>
      <c r="C37" s="11"/>
      <c r="D37" s="11"/>
    </row>
    <row r="38" customFormat="false" ht="15" hidden="false" customHeight="false" outlineLevel="0" collapsed="false">
      <c r="B38" s="5" t="s">
        <v>50</v>
      </c>
      <c r="C38" s="5" t="s">
        <v>668</v>
      </c>
      <c r="D38" s="5" t="s">
        <v>669</v>
      </c>
    </row>
    <row r="39" customFormat="false" ht="15" hidden="false" customHeight="false" outlineLevel="0" collapsed="false">
      <c r="B39" s="13" t="s">
        <v>52</v>
      </c>
      <c r="C39" s="13" t="n">
        <f aca="false">COUNTIF('Cleaned Data'!F2:F231,"Amlodipine")</f>
        <v>42</v>
      </c>
      <c r="D39" s="13" t="n">
        <f aca="false">ROUND(AVERAGEIFS('Cleaned Data'!G2:G231,'Cleaned Data'!F2:F231,B39),1)</f>
        <v>6.9</v>
      </c>
    </row>
    <row r="40" customFormat="false" ht="15" hidden="false" customHeight="false" outlineLevel="0" collapsed="false">
      <c r="B40" s="13" t="s">
        <v>214</v>
      </c>
      <c r="C40" s="13" t="n">
        <f aca="false">COUNTIF('Cleaned Data'!F2:F231,"Metformin")</f>
        <v>30</v>
      </c>
      <c r="D40" s="13" t="n">
        <f aca="false">ROUND(AVERAGEIFS('Cleaned Data'!G2:G231,'Cleaned Data'!F2:F231,B40),1)</f>
        <v>760.5</v>
      </c>
    </row>
    <row r="41" customFormat="false" ht="15" hidden="false" customHeight="false" outlineLevel="0" collapsed="false">
      <c r="B41" s="13" t="s">
        <v>145</v>
      </c>
      <c r="C41" s="13" t="n">
        <f aca="false">COUNTIF('Cleaned Data'!F2:F231,"Sumatriptan")</f>
        <v>21</v>
      </c>
      <c r="D41" s="13" t="n">
        <f aca="false">ROUND(AVERAGEIFS('Cleaned Data'!G2:G231,'Cleaned Data'!F2:F231,B41),1)</f>
        <v>63.7</v>
      </c>
    </row>
    <row r="42" customFormat="false" ht="15" hidden="false" customHeight="false" outlineLevel="0" collapsed="false">
      <c r="B42" s="13" t="s">
        <v>390</v>
      </c>
      <c r="C42" s="13" t="n">
        <f aca="false">COUNTIF('Cleaned Data'!F2:F231,"Paracetamol")</f>
        <v>19</v>
      </c>
      <c r="D42" s="13" t="n">
        <f aca="false">ROUND(AVERAGEIFS('Cleaned Data'!G2:G231,'Cleaned Data'!F2:F231,B42),1)</f>
        <v>562.4</v>
      </c>
    </row>
    <row r="43" customFormat="false" ht="15" hidden="false" customHeight="false" outlineLevel="0" collapsed="false">
      <c r="B43" s="13" t="s">
        <v>277</v>
      </c>
      <c r="C43" s="13" t="n">
        <f aca="false">COUNTIF('Cleaned Data'!F2:F231,"Salbutamol")</f>
        <v>18</v>
      </c>
      <c r="D43" s="13" t="n">
        <f aca="false">ROUND(AVERAGEIFS('Cleaned Data'!G2:G231,'Cleaned Data'!F2:F231,B43),1)</f>
        <v>153.9</v>
      </c>
    </row>
    <row r="44" customFormat="false" ht="15" hidden="false" customHeight="false" outlineLevel="0" collapsed="false">
      <c r="B44" s="13" t="s">
        <v>69</v>
      </c>
      <c r="C44" s="13" t="n">
        <f aca="false">COUNTIF('Cleaned Data'!F2:F231,"Ibuprofen")</f>
        <v>16</v>
      </c>
      <c r="D44" s="13" t="n">
        <f aca="false">ROUND(AVERAGEIFS('Cleaned Data'!G2:G231,'Cleaned Data'!F2:F231,B44),1)</f>
        <v>331.5</v>
      </c>
    </row>
    <row r="45" customFormat="false" ht="15" hidden="false" customHeight="false" outlineLevel="0" collapsed="false">
      <c r="B45" s="13" t="s">
        <v>154</v>
      </c>
      <c r="C45" s="13" t="n">
        <f aca="false">COUNTIF('Cleaned Data'!F2:F231,"Ferrous Sulfate")</f>
        <v>16</v>
      </c>
      <c r="D45" s="13" t="n">
        <f aca="false">ROUND(AVERAGEIFS('Cleaned Data'!G2:G231,'Cleaned Data'!F2:F231,B45),1)</f>
        <v>253.8</v>
      </c>
    </row>
    <row r="46" customFormat="false" ht="15" hidden="false" customHeight="false" outlineLevel="0" collapsed="false">
      <c r="B46" s="13" t="s">
        <v>115</v>
      </c>
      <c r="C46" s="13" t="n">
        <f aca="false">COUNTIF('Cleaned Data'!F2:F231,"Azithromycin")</f>
        <v>13</v>
      </c>
      <c r="D46" s="13" t="n">
        <f aca="false">ROUND(AVERAGEIFS('Cleaned Data'!G2:G231,'Cleaned Data'!F2:F231,B46),1)</f>
        <v>332.7</v>
      </c>
    </row>
    <row r="47" customFormat="false" ht="15" hidden="false" customHeight="false" outlineLevel="0" collapsed="false">
      <c r="B47" s="13" t="s">
        <v>647</v>
      </c>
      <c r="C47" s="13" t="n">
        <f aca="false">COUNTIF('Cleaned Data'!F2:F231,"Not Specified")</f>
        <v>11</v>
      </c>
      <c r="D47" s="13" t="n">
        <f aca="false">ROUND(AVERAGEIFS('Cleaned Data'!G2:G231,'Cleaned Data'!F2:F231,B47),1)</f>
        <v>319.1</v>
      </c>
    </row>
    <row r="48" customFormat="false" ht="15" hidden="false" customHeight="false" outlineLevel="0" collapsed="false">
      <c r="B48" s="13" t="s">
        <v>166</v>
      </c>
      <c r="C48" s="13" t="n">
        <f aca="false">COUNTIF('Cleaned Data'!F2:F231,"Orlistat")</f>
        <v>11</v>
      </c>
      <c r="D48" s="13" t="n">
        <f aca="false">ROUND(AVERAGEIFS('Cleaned Data'!G2:G231,'Cleaned Data'!F2:F231,B48),1)</f>
        <v>90.5</v>
      </c>
    </row>
    <row r="49" customFormat="false" ht="15" hidden="false" customHeight="false" outlineLevel="0" collapsed="false">
      <c r="B49" s="13" t="s">
        <v>262</v>
      </c>
      <c r="C49" s="13" t="n">
        <f aca="false">COUNTIF('Cleaned Data'!F2:F231,"Cetirizine")</f>
        <v>10</v>
      </c>
      <c r="D49" s="13" t="n">
        <f aca="false">ROUND(AVERAGEIFS('Cleaned Data'!G2:G231,'Cleaned Data'!F2:F231,B49),1)</f>
        <v>8</v>
      </c>
    </row>
    <row r="50" customFormat="false" ht="15" hidden="false" customHeight="false" outlineLevel="0" collapsed="false">
      <c r="B50" s="13" t="s">
        <v>394</v>
      </c>
      <c r="C50" s="13" t="n">
        <f aca="false">COUNTIF('Cleaned Data'!F2:F231,"Levothyroxine")</f>
        <v>8</v>
      </c>
      <c r="D50" s="13" t="n">
        <f aca="false">ROUND(AVERAGEIFS('Cleaned Data'!G2:G231,'Cleaned Data'!F2:F231,B50),1)</f>
        <v>71.3</v>
      </c>
    </row>
    <row r="51" customFormat="false" ht="15" hidden="false" customHeight="false" outlineLevel="0" collapsed="false">
      <c r="B51" s="13" t="s">
        <v>646</v>
      </c>
      <c r="C51" s="13" t="n">
        <f aca="false">COUNTIF('Cleaned Data'!F2:F231,"Sertraline")</f>
        <v>7</v>
      </c>
      <c r="D51" s="13" t="n">
        <f aca="false">ROUND(AVERAGEIFS('Cleaned Data'!G2:G231,'Cleaned Data'!F2:F231,B51),1)</f>
        <v>68.6</v>
      </c>
    </row>
    <row r="52" customFormat="false" ht="15" hidden="false" customHeight="false" outlineLevel="0" collapsed="false">
      <c r="B52" s="13" t="s">
        <v>323</v>
      </c>
      <c r="C52" s="13" t="n">
        <f aca="false">COUNTIF('Cleaned Data'!F2:F231,"Favipiravir")</f>
        <v>5</v>
      </c>
      <c r="D52" s="13" t="n">
        <f aca="false">ROUND(AVERAGEIFS('Cleaned Data'!G2:G231,'Cleaned Data'!F2:F231,B52),1)</f>
        <v>1200</v>
      </c>
    </row>
    <row r="53" customFormat="false" ht="15" hidden="false" customHeight="false" outlineLevel="0" collapsed="false">
      <c r="B53" s="13" t="s">
        <v>650</v>
      </c>
      <c r="C53" s="13" t="n">
        <f aca="false">COUNTIF('Cleaned Data'!F2:F231,"Omeprazole")</f>
        <v>3</v>
      </c>
      <c r="D53" s="13" t="n">
        <f aca="false">ROUND(AVERAGEIFS('Cleaned Data'!G2:G231,'Cleaned Data'!F2:F231,B53),1)</f>
        <v>30</v>
      </c>
    </row>
  </sheetData>
  <mergeCells count="4">
    <mergeCell ref="B5:C5"/>
    <mergeCell ref="B13:D13"/>
    <mergeCell ref="B19:E19"/>
    <mergeCell ref="B37:D37"/>
  </mergeCells>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D6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4"/>
    <col collapsed="false" customWidth="true" hidden="false" outlineLevel="0" max="3" min="3" style="0" width="17"/>
    <col collapsed="false" customWidth="true" hidden="false" outlineLevel="0" max="4" min="4" style="0" width="13"/>
  </cols>
  <sheetData>
    <row r="2" customFormat="false" ht="19.7" hidden="false" customHeight="false" outlineLevel="0" collapsed="false">
      <c r="B2" s="1" t="s">
        <v>670</v>
      </c>
    </row>
    <row r="3" customFormat="false" ht="15" hidden="false" customHeight="false" outlineLevel="0" collapsed="false">
      <c r="B3" s="2" t="s">
        <v>671</v>
      </c>
    </row>
    <row r="5" customFormat="false" ht="15" hidden="false" customHeight="false" outlineLevel="0" collapsed="false">
      <c r="B5" s="11" t="s">
        <v>672</v>
      </c>
      <c r="C5" s="11"/>
      <c r="D5" s="11"/>
    </row>
    <row r="6" customFormat="false" ht="15" hidden="false" customHeight="false" outlineLevel="0" collapsed="false">
      <c r="B6" s="5" t="s">
        <v>47</v>
      </c>
      <c r="C6" s="5" t="s">
        <v>663</v>
      </c>
      <c r="D6" s="5" t="s">
        <v>664</v>
      </c>
    </row>
    <row r="7" customFormat="false" ht="15" hidden="false" customHeight="false" outlineLevel="0" collapsed="false">
      <c r="B7" s="13" t="s">
        <v>49</v>
      </c>
      <c r="C7" s="13" t="n">
        <f aca="false">COUNTIF('Cleaned Data'!E2:E231,"Hypertension")</f>
        <v>43</v>
      </c>
      <c r="D7" s="14" t="n">
        <f aca="false">C7/'Analysis Summary'!$C$6</f>
        <v>0.18695652173913</v>
      </c>
    </row>
    <row r="8" customFormat="false" ht="15" hidden="false" customHeight="false" outlineLevel="0" collapsed="false">
      <c r="B8" s="13" t="s">
        <v>72</v>
      </c>
      <c r="C8" s="13" t="n">
        <f aca="false">COUNTIF('Cleaned Data'!E2:E231,"Diabetes")</f>
        <v>30</v>
      </c>
      <c r="D8" s="14" t="n">
        <f aca="false">C8/'Analysis Summary'!$C$6</f>
        <v>0.130434782608696</v>
      </c>
    </row>
    <row r="9" customFormat="false" ht="15" hidden="false" customHeight="false" outlineLevel="0" collapsed="false">
      <c r="B9" s="13" t="s">
        <v>298</v>
      </c>
      <c r="C9" s="13" t="n">
        <f aca="false">COUNTIF('Cleaned Data'!E2:E231,"Flu")</f>
        <v>22</v>
      </c>
      <c r="D9" s="14" t="n">
        <f aca="false">C9/'Analysis Summary'!$C$6</f>
        <v>0.0956521739130435</v>
      </c>
    </row>
    <row r="10" customFormat="false" ht="15" hidden="false" customHeight="false" outlineLevel="0" collapsed="false">
      <c r="B10" s="13" t="s">
        <v>468</v>
      </c>
      <c r="C10" s="13" t="n">
        <f aca="false">COUNTIF('Cleaned Data'!E2:E231,"Migraine")</f>
        <v>19</v>
      </c>
      <c r="D10" s="14" t="n">
        <f aca="false">C10/'Analysis Summary'!$C$6</f>
        <v>0.0826086956521739</v>
      </c>
    </row>
    <row r="11" customFormat="false" ht="15" hidden="false" customHeight="false" outlineLevel="0" collapsed="false">
      <c r="B11" s="13" t="s">
        <v>427</v>
      </c>
      <c r="C11" s="13" t="n">
        <f aca="false">COUNTIF('Cleaned Data'!E2:E231,"Asthma")</f>
        <v>18</v>
      </c>
      <c r="D11" s="14" t="n">
        <f aca="false">C11/'Analysis Summary'!$C$6</f>
        <v>0.0782608695652174</v>
      </c>
    </row>
    <row r="12" customFormat="false" ht="15" hidden="false" customHeight="false" outlineLevel="0" collapsed="false">
      <c r="B12" s="13" t="s">
        <v>649</v>
      </c>
      <c r="C12" s="13" t="n">
        <f aca="false">COUNTIF('Cleaned Data'!E2:E231,"Anemia")</f>
        <v>16</v>
      </c>
      <c r="D12" s="14" t="n">
        <f aca="false">C12/'Analysis Summary'!$C$6</f>
        <v>0.0695652173913044</v>
      </c>
    </row>
    <row r="13" customFormat="false" ht="15" hidden="false" customHeight="false" outlineLevel="0" collapsed="false">
      <c r="B13" s="13" t="s">
        <v>68</v>
      </c>
      <c r="C13" s="13" t="n">
        <f aca="false">COUNTIF('Cleaned Data'!E2:E231,"Arthritis")</f>
        <v>14</v>
      </c>
      <c r="D13" s="14" t="n">
        <f aca="false">C13/'Analysis Summary'!$C$6</f>
        <v>0.0608695652173913</v>
      </c>
    </row>
    <row r="14" customFormat="false" ht="15" hidden="false" customHeight="false" outlineLevel="0" collapsed="false">
      <c r="B14" s="13" t="s">
        <v>378</v>
      </c>
      <c r="C14" s="13" t="n">
        <f aca="false">COUNTIF('Cleaned Data'!E2:E231,"Bronchitis")</f>
        <v>14</v>
      </c>
      <c r="D14" s="14" t="n">
        <f aca="false">C14/'Analysis Summary'!$C$6</f>
        <v>0.0608695652173913</v>
      </c>
    </row>
    <row r="15" customFormat="false" ht="15" hidden="false" customHeight="false" outlineLevel="0" collapsed="false">
      <c r="B15" s="13" t="s">
        <v>501</v>
      </c>
      <c r="C15" s="13" t="n">
        <f aca="false">COUNTIF('Cleaned Data'!E2:E231,"Obesity")</f>
        <v>12</v>
      </c>
      <c r="D15" s="14" t="n">
        <f aca="false">C15/'Analysis Summary'!$C$6</f>
        <v>0.0521739130434783</v>
      </c>
    </row>
    <row r="16" customFormat="false" ht="15" hidden="false" customHeight="false" outlineLevel="0" collapsed="false">
      <c r="B16" s="13" t="s">
        <v>186</v>
      </c>
      <c r="C16" s="13" t="n">
        <f aca="false">COUNTIF('Cleaned Data'!E2:E231,"Allergy")</f>
        <v>10</v>
      </c>
      <c r="D16" s="14" t="n">
        <f aca="false">C16/'Analysis Summary'!$C$6</f>
        <v>0.0434782608695652</v>
      </c>
    </row>
    <row r="17" customFormat="false" ht="15" hidden="false" customHeight="false" outlineLevel="0" collapsed="false">
      <c r="B17" s="13" t="s">
        <v>647</v>
      </c>
      <c r="C17" s="13" t="n">
        <f aca="false">COUNTIF('Cleaned Data'!E2:E231,"Not Specified")</f>
        <v>9</v>
      </c>
      <c r="D17" s="14" t="n">
        <f aca="false">C17/'Analysis Summary'!$C$6</f>
        <v>0.0391304347826087</v>
      </c>
    </row>
    <row r="18" customFormat="false" ht="15" hidden="false" customHeight="false" outlineLevel="0" collapsed="false">
      <c r="B18" s="13" t="s">
        <v>561</v>
      </c>
      <c r="C18" s="13" t="n">
        <f aca="false">COUNTIF('Cleaned Data'!E2:E231,"Thyroid Disorder")</f>
        <v>8</v>
      </c>
      <c r="D18" s="14" t="n">
        <f aca="false">C18/'Analysis Summary'!$C$6</f>
        <v>0.0347826086956522</v>
      </c>
    </row>
    <row r="19" customFormat="false" ht="15" hidden="false" customHeight="false" outlineLevel="0" collapsed="false">
      <c r="B19" s="13" t="s">
        <v>148</v>
      </c>
      <c r="C19" s="13" t="n">
        <f aca="false">COUNTIF('Cleaned Data'!E2:E231,"Depression")</f>
        <v>7</v>
      </c>
      <c r="D19" s="14" t="n">
        <f aca="false">C19/'Analysis Summary'!$C$6</f>
        <v>0.0304347826086957</v>
      </c>
    </row>
    <row r="20" customFormat="false" ht="15" hidden="false" customHeight="false" outlineLevel="0" collapsed="false">
      <c r="B20" s="13" t="s">
        <v>651</v>
      </c>
      <c r="C20" s="13" t="n">
        <f aca="false">COUNTIF('Cleaned Data'!E2:E231,"Covid-19")</f>
        <v>5</v>
      </c>
      <c r="D20" s="14" t="n">
        <f aca="false">C20/'Analysis Summary'!$C$6</f>
        <v>0.0217391304347826</v>
      </c>
    </row>
    <row r="21" customFormat="false" ht="15" hidden="false" customHeight="false" outlineLevel="0" collapsed="false">
      <c r="B21" s="13" t="s">
        <v>224</v>
      </c>
      <c r="C21" s="13" t="n">
        <f aca="false">COUNTIF('Cleaned Data'!E2:E231,"Gastritis")</f>
        <v>3</v>
      </c>
      <c r="D21" s="14" t="n">
        <f aca="false">C21/'Analysis Summary'!$C$6</f>
        <v>0.0130434782608696</v>
      </c>
    </row>
    <row r="24" customFormat="false" ht="15" hidden="false" customHeight="false" outlineLevel="0" collapsed="false">
      <c r="B24" s="11" t="s">
        <v>673</v>
      </c>
      <c r="C24" s="11"/>
      <c r="D24" s="11"/>
    </row>
    <row r="25" customFormat="false" ht="15" hidden="false" customHeight="false" outlineLevel="0" collapsed="false">
      <c r="B25" s="5" t="s">
        <v>674</v>
      </c>
      <c r="C25" s="5" t="s">
        <v>663</v>
      </c>
      <c r="D25" s="5" t="s">
        <v>664</v>
      </c>
    </row>
    <row r="26" customFormat="false" ht="15" hidden="false" customHeight="false" outlineLevel="0" collapsed="false">
      <c r="B26" s="13" t="s">
        <v>675</v>
      </c>
      <c r="C26" s="13" t="n">
        <f aca="false">COUNTIFS('Cleaned Data'!C2:C231,"&gt;=0",'Cleaned Data'!C2:C231,"&lt;=10")</f>
        <v>3</v>
      </c>
      <c r="D26" s="14" t="n">
        <f aca="false">C26/'Analysis Summary'!$C$6</f>
        <v>0.0130434782608696</v>
      </c>
    </row>
    <row r="27" customFormat="false" ht="15" hidden="false" customHeight="false" outlineLevel="0" collapsed="false">
      <c r="B27" s="13" t="s">
        <v>676</v>
      </c>
      <c r="C27" s="13" t="n">
        <f aca="false">COUNTIFS('Cleaned Data'!C2:C231,"&gt;=11",'Cleaned Data'!C2:C231,"&lt;=20")</f>
        <v>12</v>
      </c>
      <c r="D27" s="14" t="n">
        <f aca="false">C27/'Analysis Summary'!$C$6</f>
        <v>0.0521739130434783</v>
      </c>
    </row>
    <row r="28" customFormat="false" ht="15" hidden="false" customHeight="false" outlineLevel="0" collapsed="false">
      <c r="B28" s="13" t="s">
        <v>677</v>
      </c>
      <c r="C28" s="13" t="n">
        <f aca="false">COUNTIFS('Cleaned Data'!C2:C231,"&gt;=21",'Cleaned Data'!C2:C231,"&lt;=30")</f>
        <v>28</v>
      </c>
      <c r="D28" s="14" t="n">
        <f aca="false">C28/'Analysis Summary'!$C$6</f>
        <v>0.121739130434783</v>
      </c>
    </row>
    <row r="29" customFormat="false" ht="15" hidden="false" customHeight="false" outlineLevel="0" collapsed="false">
      <c r="B29" s="13" t="s">
        <v>678</v>
      </c>
      <c r="C29" s="13" t="n">
        <f aca="false">COUNTIFS('Cleaned Data'!C2:C231,"&gt;=31",'Cleaned Data'!C2:C231,"&lt;=40")</f>
        <v>38</v>
      </c>
      <c r="D29" s="14" t="n">
        <f aca="false">C29/'Analysis Summary'!$C$6</f>
        <v>0.165217391304348</v>
      </c>
    </row>
    <row r="30" customFormat="false" ht="15" hidden="false" customHeight="false" outlineLevel="0" collapsed="false">
      <c r="B30" s="13" t="s">
        <v>679</v>
      </c>
      <c r="C30" s="13" t="n">
        <f aca="false">COUNTIFS('Cleaned Data'!C2:C231,"&gt;=41",'Cleaned Data'!C2:C231,"&lt;=50")</f>
        <v>62</v>
      </c>
      <c r="D30" s="14" t="n">
        <f aca="false">C30/'Analysis Summary'!$C$6</f>
        <v>0.269565217391304</v>
      </c>
    </row>
    <row r="31" customFormat="false" ht="15" hidden="false" customHeight="false" outlineLevel="0" collapsed="false">
      <c r="B31" s="13" t="s">
        <v>680</v>
      </c>
      <c r="C31" s="13" t="n">
        <f aca="false">COUNTIFS('Cleaned Data'!C2:C231,"&gt;=51",'Cleaned Data'!C2:C231,"&lt;=60")</f>
        <v>41</v>
      </c>
      <c r="D31" s="14" t="n">
        <f aca="false">C31/'Analysis Summary'!$C$6</f>
        <v>0.178260869565217</v>
      </c>
    </row>
    <row r="32" customFormat="false" ht="15" hidden="false" customHeight="false" outlineLevel="0" collapsed="false">
      <c r="B32" s="13" t="s">
        <v>681</v>
      </c>
      <c r="C32" s="13" t="n">
        <f aca="false">COUNTIFS('Cleaned Data'!C2:C231,"&gt;=61",'Cleaned Data'!C2:C231,"&lt;=70")</f>
        <v>24</v>
      </c>
      <c r="D32" s="14" t="n">
        <f aca="false">C32/'Analysis Summary'!$C$6</f>
        <v>0.104347826086957</v>
      </c>
    </row>
    <row r="33" customFormat="false" ht="15" hidden="false" customHeight="false" outlineLevel="0" collapsed="false">
      <c r="B33" s="13" t="s">
        <v>682</v>
      </c>
      <c r="C33" s="13" t="n">
        <f aca="false">COUNTIFS('Cleaned Data'!C2:C231,"&gt;=71",'Cleaned Data'!C2:C231,"&lt;=80")</f>
        <v>11</v>
      </c>
      <c r="D33" s="14" t="n">
        <f aca="false">C33/'Analysis Summary'!$C$6</f>
        <v>0.0478260869565217</v>
      </c>
    </row>
    <row r="34" customFormat="false" ht="15" hidden="false" customHeight="false" outlineLevel="0" collapsed="false">
      <c r="B34" s="13" t="s">
        <v>683</v>
      </c>
      <c r="C34" s="13" t="n">
        <f aca="false">COUNTIFS('Cleaned Data'!C2:C231,"&gt;=81",'Cleaned Data'!C2:C231,"&lt;=90")</f>
        <v>10</v>
      </c>
      <c r="D34" s="14" t="n">
        <f aca="false">C34/'Analysis Summary'!$C$6</f>
        <v>0.0434782608695652</v>
      </c>
    </row>
    <row r="35" customFormat="false" ht="15" hidden="false" customHeight="false" outlineLevel="0" collapsed="false">
      <c r="B35" s="13" t="s">
        <v>684</v>
      </c>
      <c r="C35" s="13" t="n">
        <f aca="false">COUNTIFS('Cleaned Data'!C2:C231,"&gt;=91",'Cleaned Data'!C2:C231,"&lt;=100")</f>
        <v>1</v>
      </c>
      <c r="D35" s="14" t="n">
        <f aca="false">C35/'Analysis Summary'!$C$6</f>
        <v>0.00434782608695652</v>
      </c>
    </row>
    <row r="38" customFormat="false" ht="15" hidden="false" customHeight="false" outlineLevel="0" collapsed="false">
      <c r="B38" s="11" t="s">
        <v>685</v>
      </c>
      <c r="C38" s="11"/>
      <c r="D38" s="11"/>
    </row>
    <row r="39" customFormat="false" ht="15" hidden="false" customHeight="false" outlineLevel="0" collapsed="false">
      <c r="B39" s="5" t="s">
        <v>44</v>
      </c>
      <c r="C39" s="5" t="s">
        <v>663</v>
      </c>
      <c r="D39" s="5" t="s">
        <v>664</v>
      </c>
    </row>
    <row r="40" customFormat="false" ht="15" hidden="false" customHeight="false" outlineLevel="0" collapsed="false">
      <c r="B40" s="13" t="s">
        <v>46</v>
      </c>
      <c r="C40" s="13" t="n">
        <f aca="false">COUNTIF('Cleaned Data'!D2:D231,"Male")</f>
        <v>114</v>
      </c>
      <c r="D40" s="14" t="n">
        <f aca="false">C40/'Analysis Summary'!$C$6</f>
        <v>0.495652173913044</v>
      </c>
    </row>
    <row r="41" customFormat="false" ht="15" hidden="false" customHeight="false" outlineLevel="0" collapsed="false">
      <c r="B41" s="13" t="s">
        <v>90</v>
      </c>
      <c r="C41" s="13" t="n">
        <f aca="false">COUNTIF('Cleaned Data'!D2:D231,"Female")</f>
        <v>110</v>
      </c>
      <c r="D41" s="14" t="n">
        <f aca="false">C41/'Analysis Summary'!$C$6</f>
        <v>0.478260869565217</v>
      </c>
    </row>
    <row r="42" customFormat="false" ht="15" hidden="false" customHeight="false" outlineLevel="0" collapsed="false">
      <c r="B42" s="13" t="s">
        <v>648</v>
      </c>
      <c r="C42" s="13" t="n">
        <f aca="false">COUNTIF('Cleaned Data'!D2:D231,"Unknown")</f>
        <v>6</v>
      </c>
      <c r="D42" s="14" t="n">
        <f aca="false">C42/'Analysis Summary'!$C$6</f>
        <v>0.0260869565217391</v>
      </c>
    </row>
    <row r="45" customFormat="false" ht="15" hidden="false" customHeight="false" outlineLevel="0" collapsed="false">
      <c r="B45" s="11" t="s">
        <v>686</v>
      </c>
      <c r="C45" s="11"/>
      <c r="D45" s="11"/>
    </row>
    <row r="46" customFormat="false" ht="15" hidden="false" customHeight="false" outlineLevel="0" collapsed="false">
      <c r="B46" s="5" t="s">
        <v>50</v>
      </c>
      <c r="C46" s="5" t="s">
        <v>668</v>
      </c>
      <c r="D46" s="5" t="s">
        <v>664</v>
      </c>
    </row>
    <row r="47" customFormat="false" ht="15" hidden="false" customHeight="false" outlineLevel="0" collapsed="false">
      <c r="B47" s="13" t="s">
        <v>52</v>
      </c>
      <c r="C47" s="13" t="n">
        <f aca="false">COUNTIF('Cleaned Data'!F2:F231,"Amlodipine")</f>
        <v>42</v>
      </c>
      <c r="D47" s="14" t="n">
        <f aca="false">C47/'Analysis Summary'!$C$6</f>
        <v>0.182608695652174</v>
      </c>
    </row>
    <row r="48" customFormat="false" ht="15" hidden="false" customHeight="false" outlineLevel="0" collapsed="false">
      <c r="B48" s="13" t="s">
        <v>214</v>
      </c>
      <c r="C48" s="13" t="n">
        <f aca="false">COUNTIF('Cleaned Data'!F2:F231,"Metformin")</f>
        <v>30</v>
      </c>
      <c r="D48" s="14" t="n">
        <f aca="false">C48/'Analysis Summary'!$C$6</f>
        <v>0.130434782608696</v>
      </c>
    </row>
    <row r="49" customFormat="false" ht="15" hidden="false" customHeight="false" outlineLevel="0" collapsed="false">
      <c r="B49" s="13" t="s">
        <v>145</v>
      </c>
      <c r="C49" s="13" t="n">
        <f aca="false">COUNTIF('Cleaned Data'!F2:F231,"Sumatriptan")</f>
        <v>21</v>
      </c>
      <c r="D49" s="14" t="n">
        <f aca="false">C49/'Analysis Summary'!$C$6</f>
        <v>0.091304347826087</v>
      </c>
    </row>
    <row r="50" customFormat="false" ht="15" hidden="false" customHeight="false" outlineLevel="0" collapsed="false">
      <c r="B50" s="13" t="s">
        <v>390</v>
      </c>
      <c r="C50" s="13" t="n">
        <f aca="false">COUNTIF('Cleaned Data'!F2:F231,"Paracetamol")</f>
        <v>19</v>
      </c>
      <c r="D50" s="14" t="n">
        <f aca="false">C50/'Analysis Summary'!$C$6</f>
        <v>0.0826086956521739</v>
      </c>
    </row>
    <row r="51" customFormat="false" ht="15" hidden="false" customHeight="false" outlineLevel="0" collapsed="false">
      <c r="B51" s="13" t="s">
        <v>277</v>
      </c>
      <c r="C51" s="13" t="n">
        <f aca="false">COUNTIF('Cleaned Data'!F2:F231,"Salbutamol")</f>
        <v>18</v>
      </c>
      <c r="D51" s="14" t="n">
        <f aca="false">C51/'Analysis Summary'!$C$6</f>
        <v>0.0782608695652174</v>
      </c>
    </row>
    <row r="52" customFormat="false" ht="15" hidden="false" customHeight="false" outlineLevel="0" collapsed="false">
      <c r="B52" s="13" t="s">
        <v>69</v>
      </c>
      <c r="C52" s="13" t="n">
        <f aca="false">COUNTIF('Cleaned Data'!F2:F231,"Ibuprofen")</f>
        <v>16</v>
      </c>
      <c r="D52" s="14" t="n">
        <f aca="false">C52/'Analysis Summary'!$C$6</f>
        <v>0.0695652173913044</v>
      </c>
    </row>
    <row r="53" customFormat="false" ht="15" hidden="false" customHeight="false" outlineLevel="0" collapsed="false">
      <c r="B53" s="13" t="s">
        <v>154</v>
      </c>
      <c r="C53" s="13" t="n">
        <f aca="false">COUNTIF('Cleaned Data'!F2:F231,"Ferrous Sulfate")</f>
        <v>16</v>
      </c>
      <c r="D53" s="14" t="n">
        <f aca="false">C53/'Analysis Summary'!$C$6</f>
        <v>0.0695652173913044</v>
      </c>
    </row>
    <row r="54" customFormat="false" ht="15" hidden="false" customHeight="false" outlineLevel="0" collapsed="false">
      <c r="B54" s="13" t="s">
        <v>115</v>
      </c>
      <c r="C54" s="13" t="n">
        <f aca="false">COUNTIF('Cleaned Data'!F2:F231,"Azithromycin")</f>
        <v>13</v>
      </c>
      <c r="D54" s="14" t="n">
        <f aca="false">C54/'Analysis Summary'!$C$6</f>
        <v>0.0565217391304348</v>
      </c>
    </row>
    <row r="55" customFormat="false" ht="15" hidden="false" customHeight="false" outlineLevel="0" collapsed="false">
      <c r="B55" s="13" t="s">
        <v>647</v>
      </c>
      <c r="C55" s="13" t="n">
        <f aca="false">COUNTIF('Cleaned Data'!F2:F231,"Not Specified")</f>
        <v>11</v>
      </c>
      <c r="D55" s="14" t="n">
        <f aca="false">C55/'Analysis Summary'!$C$6</f>
        <v>0.0478260869565217</v>
      </c>
    </row>
    <row r="56" customFormat="false" ht="15" hidden="false" customHeight="false" outlineLevel="0" collapsed="false">
      <c r="B56" s="13" t="s">
        <v>166</v>
      </c>
      <c r="C56" s="13" t="n">
        <f aca="false">COUNTIF('Cleaned Data'!F2:F231,"Orlistat")</f>
        <v>11</v>
      </c>
      <c r="D56" s="14" t="n">
        <f aca="false">C56/'Analysis Summary'!$C$6</f>
        <v>0.0478260869565217</v>
      </c>
    </row>
    <row r="57" customFormat="false" ht="15" hidden="false" customHeight="false" outlineLevel="0" collapsed="false">
      <c r="B57" s="13" t="s">
        <v>262</v>
      </c>
      <c r="C57" s="13" t="n">
        <f aca="false">COUNTIF('Cleaned Data'!F2:F231,"Cetirizine")</f>
        <v>10</v>
      </c>
      <c r="D57" s="14" t="n">
        <f aca="false">C57/'Analysis Summary'!$C$6</f>
        <v>0.0434782608695652</v>
      </c>
    </row>
    <row r="58" customFormat="false" ht="15" hidden="false" customHeight="false" outlineLevel="0" collapsed="false">
      <c r="B58" s="13" t="s">
        <v>394</v>
      </c>
      <c r="C58" s="13" t="n">
        <f aca="false">COUNTIF('Cleaned Data'!F2:F231,"Levothyroxine")</f>
        <v>8</v>
      </c>
      <c r="D58" s="14" t="n">
        <f aca="false">C58/'Analysis Summary'!$C$6</f>
        <v>0.0347826086956522</v>
      </c>
    </row>
    <row r="59" customFormat="false" ht="15" hidden="false" customHeight="false" outlineLevel="0" collapsed="false">
      <c r="B59" s="13" t="s">
        <v>646</v>
      </c>
      <c r="C59" s="13" t="n">
        <f aca="false">COUNTIF('Cleaned Data'!F2:F231,"Sertraline")</f>
        <v>7</v>
      </c>
      <c r="D59" s="14" t="n">
        <f aca="false">C59/'Analysis Summary'!$C$6</f>
        <v>0.0304347826086957</v>
      </c>
    </row>
    <row r="60" customFormat="false" ht="15" hidden="false" customHeight="false" outlineLevel="0" collapsed="false">
      <c r="B60" s="13" t="s">
        <v>323</v>
      </c>
      <c r="C60" s="13" t="n">
        <f aca="false">COUNTIF('Cleaned Data'!F2:F231,"Favipiravir")</f>
        <v>5</v>
      </c>
      <c r="D60" s="14" t="n">
        <f aca="false">C60/'Analysis Summary'!$C$6</f>
        <v>0.0217391304347826</v>
      </c>
    </row>
    <row r="61" customFormat="false" ht="15" hidden="false" customHeight="false" outlineLevel="0" collapsed="false">
      <c r="B61" s="13" t="s">
        <v>650</v>
      </c>
      <c r="C61" s="13" t="n">
        <f aca="false">COUNTIF('Cleaned Data'!F2:F231,"Omeprazole")</f>
        <v>3</v>
      </c>
      <c r="D61" s="14" t="n">
        <f aca="false">C61/'Analysis Summary'!$C$6</f>
        <v>0.0130434782608696</v>
      </c>
    </row>
  </sheetData>
  <mergeCells count="4">
    <mergeCell ref="B5:D5"/>
    <mergeCell ref="B24:D24"/>
    <mergeCell ref="B38:D38"/>
    <mergeCell ref="B45:D45"/>
  </mergeCells>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6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3"/>
    <col collapsed="false" customWidth="true" hidden="false" outlineLevel="0" max="3" min="3" style="0" width="16"/>
    <col collapsed="false" customWidth="true" hidden="false" outlineLevel="0" max="4" min="4" style="0" width="11"/>
    <col collapsed="false" customWidth="true" hidden="false" outlineLevel="0" max="5" min="5" style="0" width="16"/>
    <col collapsed="false" customWidth="true" hidden="false" outlineLevel="0" max="6" min="6" style="0" width="13"/>
    <col collapsed="false" customWidth="true" hidden="false" outlineLevel="0" max="7" min="7" style="0" width="11"/>
    <col collapsed="false" customWidth="true" hidden="false" outlineLevel="0" max="8" min="8" style="0" width="12"/>
  </cols>
  <sheetData>
    <row r="1" customFormat="false" ht="17.35" hidden="false" customHeight="false" outlineLevel="0" collapsed="false">
      <c r="A1" s="18" t="s">
        <v>687</v>
      </c>
    </row>
    <row r="2" customFormat="false" ht="30" hidden="false" customHeight="true" outlineLevel="0" collapsed="false">
      <c r="A2" s="19" t="s">
        <v>688</v>
      </c>
      <c r="B2" s="19"/>
      <c r="C2" s="19"/>
      <c r="D2" s="19"/>
      <c r="E2" s="19"/>
      <c r="F2" s="19"/>
      <c r="G2" s="19"/>
      <c r="H2" s="19"/>
    </row>
    <row r="4" customFormat="false" ht="15" hidden="false" customHeight="false" outlineLevel="0" collapsed="false">
      <c r="A4" s="5" t="s">
        <v>689</v>
      </c>
      <c r="B4" s="5" t="s">
        <v>690</v>
      </c>
      <c r="C4" s="5" t="s">
        <v>691</v>
      </c>
      <c r="D4" s="5" t="s">
        <v>692</v>
      </c>
      <c r="E4" s="5" t="s">
        <v>693</v>
      </c>
      <c r="F4" s="5" t="s">
        <v>694</v>
      </c>
      <c r="G4" s="5" t="s">
        <v>695</v>
      </c>
      <c r="H4" s="5" t="s">
        <v>696</v>
      </c>
    </row>
    <row r="5" customFormat="false" ht="15" hidden="false" customHeight="false" outlineLevel="0" collapsed="false">
      <c r="A5" s="8" t="s">
        <v>697</v>
      </c>
      <c r="B5" s="10" t="n">
        <v>45929</v>
      </c>
      <c r="C5" s="8" t="s">
        <v>52</v>
      </c>
      <c r="D5" s="8" t="s">
        <v>698</v>
      </c>
      <c r="E5" s="8" t="s">
        <v>699</v>
      </c>
      <c r="F5" s="9" t="n">
        <v>2</v>
      </c>
      <c r="G5" s="20" t="n">
        <v>15</v>
      </c>
      <c r="H5" s="20" t="n">
        <v>30</v>
      </c>
    </row>
    <row r="6" customFormat="false" ht="15" hidden="false" customHeight="false" outlineLevel="0" collapsed="false">
      <c r="A6" s="8" t="s">
        <v>700</v>
      </c>
      <c r="B6" s="10" t="n">
        <v>46202</v>
      </c>
      <c r="C6" s="8" t="s">
        <v>214</v>
      </c>
      <c r="D6" s="8" t="s">
        <v>698</v>
      </c>
      <c r="E6" s="8" t="s">
        <v>701</v>
      </c>
      <c r="F6" s="9" t="n">
        <v>6</v>
      </c>
      <c r="G6" s="20" t="n">
        <v>21.56</v>
      </c>
      <c r="H6" s="20" t="n">
        <v>129.36</v>
      </c>
    </row>
    <row r="7" customFormat="false" ht="15" hidden="false" customHeight="false" outlineLevel="0" collapsed="false">
      <c r="A7" s="8" t="s">
        <v>702</v>
      </c>
      <c r="B7" s="10" t="n">
        <v>45945</v>
      </c>
      <c r="C7" s="8" t="s">
        <v>323</v>
      </c>
      <c r="D7" s="8" t="s">
        <v>703</v>
      </c>
      <c r="E7" s="8" t="s">
        <v>704</v>
      </c>
      <c r="F7" s="9" t="n">
        <v>1</v>
      </c>
      <c r="G7" s="20" t="n">
        <v>223.09</v>
      </c>
      <c r="H7" s="20" t="n">
        <v>223.09</v>
      </c>
    </row>
    <row r="8" customFormat="false" ht="15" hidden="false" customHeight="false" outlineLevel="0" collapsed="false">
      <c r="A8" s="8" t="s">
        <v>705</v>
      </c>
      <c r="B8" s="10" t="n">
        <v>46115</v>
      </c>
      <c r="C8" s="8" t="s">
        <v>145</v>
      </c>
      <c r="D8" s="8" t="s">
        <v>703</v>
      </c>
      <c r="E8" s="8" t="s">
        <v>706</v>
      </c>
      <c r="F8" s="9" t="n">
        <v>2</v>
      </c>
      <c r="G8" s="20" t="n">
        <v>231.47</v>
      </c>
      <c r="H8" s="20" t="n">
        <v>462.94</v>
      </c>
    </row>
    <row r="9" customFormat="false" ht="15" hidden="false" customHeight="false" outlineLevel="0" collapsed="false">
      <c r="A9" s="8" t="s">
        <v>707</v>
      </c>
      <c r="B9" s="10" t="n">
        <v>46075</v>
      </c>
      <c r="C9" s="8" t="s">
        <v>390</v>
      </c>
      <c r="D9" s="8" t="s">
        <v>698</v>
      </c>
      <c r="E9" s="8" t="s">
        <v>708</v>
      </c>
      <c r="F9" s="9" t="n">
        <v>3</v>
      </c>
      <c r="G9" s="20" t="n">
        <v>9.97</v>
      </c>
      <c r="H9" s="20" t="n">
        <v>29.91</v>
      </c>
    </row>
    <row r="10" customFormat="false" ht="15" hidden="false" customHeight="false" outlineLevel="0" collapsed="false">
      <c r="A10" s="8" t="s">
        <v>709</v>
      </c>
      <c r="B10" s="10" t="n">
        <v>45961</v>
      </c>
      <c r="C10" s="8" t="s">
        <v>277</v>
      </c>
      <c r="D10" s="8" t="s">
        <v>698</v>
      </c>
      <c r="E10" s="8" t="s">
        <v>710</v>
      </c>
      <c r="F10" s="9" t="n">
        <v>2</v>
      </c>
      <c r="G10" s="20" t="n">
        <v>58.33</v>
      </c>
      <c r="H10" s="20" t="n">
        <v>116.66</v>
      </c>
    </row>
    <row r="11" customFormat="false" ht="15" hidden="false" customHeight="false" outlineLevel="0" collapsed="false">
      <c r="A11" s="8" t="s">
        <v>711</v>
      </c>
      <c r="B11" s="10" t="n">
        <v>46070</v>
      </c>
      <c r="C11" s="8" t="s">
        <v>52</v>
      </c>
      <c r="D11" s="8" t="s">
        <v>698</v>
      </c>
      <c r="E11" s="8" t="s">
        <v>699</v>
      </c>
      <c r="F11" s="9" t="n">
        <v>2</v>
      </c>
      <c r="G11" s="20" t="n">
        <v>15.96</v>
      </c>
      <c r="H11" s="20" t="n">
        <v>31.92</v>
      </c>
    </row>
    <row r="12" customFormat="false" ht="15" hidden="false" customHeight="false" outlineLevel="0" collapsed="false">
      <c r="A12" s="8" t="s">
        <v>712</v>
      </c>
      <c r="B12" s="10" t="n">
        <v>46038</v>
      </c>
      <c r="C12" s="8" t="s">
        <v>69</v>
      </c>
      <c r="D12" s="8" t="s">
        <v>698</v>
      </c>
      <c r="E12" s="8" t="s">
        <v>713</v>
      </c>
      <c r="F12" s="9" t="n">
        <v>2</v>
      </c>
      <c r="G12" s="20" t="n">
        <v>18.26</v>
      </c>
      <c r="H12" s="20" t="n">
        <v>36.52</v>
      </c>
    </row>
    <row r="13" customFormat="false" ht="15" hidden="false" customHeight="false" outlineLevel="0" collapsed="false">
      <c r="A13" s="8" t="s">
        <v>714</v>
      </c>
      <c r="B13" s="10" t="n">
        <v>46093</v>
      </c>
      <c r="C13" s="8" t="s">
        <v>214</v>
      </c>
      <c r="D13" s="8" t="s">
        <v>703</v>
      </c>
      <c r="E13" s="8" t="s">
        <v>715</v>
      </c>
      <c r="F13" s="9" t="n">
        <v>5</v>
      </c>
      <c r="G13" s="20" t="n">
        <v>46.35</v>
      </c>
      <c r="H13" s="20" t="n">
        <v>231.75</v>
      </c>
    </row>
    <row r="14" customFormat="false" ht="15" hidden="false" customHeight="false" outlineLevel="0" collapsed="false">
      <c r="A14" s="8" t="s">
        <v>716</v>
      </c>
      <c r="B14" s="10" t="n">
        <v>46131</v>
      </c>
      <c r="C14" s="8" t="s">
        <v>214</v>
      </c>
      <c r="D14" s="8" t="s">
        <v>698</v>
      </c>
      <c r="E14" s="8" t="s">
        <v>701</v>
      </c>
      <c r="F14" s="9" t="n">
        <v>3</v>
      </c>
      <c r="G14" s="20" t="n">
        <v>19.08</v>
      </c>
      <c r="H14" s="20" t="n">
        <v>57.24</v>
      </c>
    </row>
    <row r="15" customFormat="false" ht="15" hidden="false" customHeight="false" outlineLevel="0" collapsed="false">
      <c r="A15" s="8" t="s">
        <v>717</v>
      </c>
      <c r="B15" s="10" t="n">
        <v>46038</v>
      </c>
      <c r="C15" s="8" t="s">
        <v>277</v>
      </c>
      <c r="D15" s="8" t="s">
        <v>698</v>
      </c>
      <c r="E15" s="8" t="s">
        <v>710</v>
      </c>
      <c r="F15" s="9" t="n">
        <v>2</v>
      </c>
      <c r="G15" s="20" t="n">
        <v>57.85</v>
      </c>
      <c r="H15" s="20" t="n">
        <v>115.7</v>
      </c>
    </row>
    <row r="16" customFormat="false" ht="15" hidden="false" customHeight="false" outlineLevel="0" collapsed="false">
      <c r="A16" s="8" t="s">
        <v>718</v>
      </c>
      <c r="B16" s="10" t="n">
        <v>46188</v>
      </c>
      <c r="C16" s="8" t="s">
        <v>214</v>
      </c>
      <c r="D16" s="8" t="s">
        <v>698</v>
      </c>
      <c r="E16" s="8" t="s">
        <v>701</v>
      </c>
      <c r="F16" s="9" t="n">
        <v>1</v>
      </c>
      <c r="G16" s="20" t="n">
        <v>18.88</v>
      </c>
      <c r="H16" s="20" t="n">
        <v>18.88</v>
      </c>
    </row>
    <row r="17" customFormat="false" ht="15" hidden="false" customHeight="false" outlineLevel="0" collapsed="false">
      <c r="A17" s="8" t="s">
        <v>719</v>
      </c>
      <c r="B17" s="10" t="n">
        <v>46164</v>
      </c>
      <c r="C17" s="8" t="s">
        <v>52</v>
      </c>
      <c r="D17" s="8" t="s">
        <v>703</v>
      </c>
      <c r="E17" s="8" t="s">
        <v>720</v>
      </c>
      <c r="F17" s="9" t="n">
        <v>8</v>
      </c>
      <c r="G17" s="20" t="n">
        <v>37.53</v>
      </c>
      <c r="H17" s="20" t="n">
        <v>300.24</v>
      </c>
    </row>
    <row r="18" customFormat="false" ht="15" hidden="false" customHeight="false" outlineLevel="0" collapsed="false">
      <c r="A18" s="8" t="s">
        <v>721</v>
      </c>
      <c r="B18" s="10" t="n">
        <v>46060</v>
      </c>
      <c r="C18" s="8" t="s">
        <v>145</v>
      </c>
      <c r="D18" s="8" t="s">
        <v>703</v>
      </c>
      <c r="E18" s="8" t="s">
        <v>706</v>
      </c>
      <c r="F18" s="9" t="n">
        <v>2</v>
      </c>
      <c r="G18" s="20" t="n">
        <v>222.65</v>
      </c>
      <c r="H18" s="20" t="n">
        <v>445.3</v>
      </c>
    </row>
    <row r="19" customFormat="false" ht="15" hidden="false" customHeight="false" outlineLevel="0" collapsed="false">
      <c r="A19" s="8" t="s">
        <v>722</v>
      </c>
      <c r="B19" s="10" t="n">
        <v>46115</v>
      </c>
      <c r="C19" s="8" t="s">
        <v>214</v>
      </c>
      <c r="D19" s="8" t="s">
        <v>703</v>
      </c>
      <c r="E19" s="8" t="s">
        <v>715</v>
      </c>
      <c r="F19" s="9" t="n">
        <v>4</v>
      </c>
      <c r="G19" s="20" t="n">
        <v>41.72</v>
      </c>
      <c r="H19" s="20" t="n">
        <v>166.88</v>
      </c>
    </row>
    <row r="20" customFormat="false" ht="15" hidden="false" customHeight="false" outlineLevel="0" collapsed="false">
      <c r="A20" s="8" t="s">
        <v>723</v>
      </c>
      <c r="B20" s="10" t="n">
        <v>46204</v>
      </c>
      <c r="C20" s="8" t="s">
        <v>277</v>
      </c>
      <c r="D20" s="8" t="s">
        <v>703</v>
      </c>
      <c r="E20" s="8" t="s">
        <v>724</v>
      </c>
      <c r="F20" s="9" t="n">
        <v>5</v>
      </c>
      <c r="G20" s="20" t="n">
        <v>149.65</v>
      </c>
      <c r="H20" s="20" t="n">
        <v>748.25</v>
      </c>
    </row>
    <row r="21" customFormat="false" ht="15" hidden="false" customHeight="false" outlineLevel="0" collapsed="false">
      <c r="A21" s="8" t="s">
        <v>725</v>
      </c>
      <c r="B21" s="10" t="n">
        <v>45971</v>
      </c>
      <c r="C21" s="8" t="s">
        <v>277</v>
      </c>
      <c r="D21" s="8" t="s">
        <v>698</v>
      </c>
      <c r="E21" s="8" t="s">
        <v>710</v>
      </c>
      <c r="F21" s="9" t="n">
        <v>2</v>
      </c>
      <c r="G21" s="20" t="n">
        <v>62.66</v>
      </c>
      <c r="H21" s="20" t="n">
        <v>125.32</v>
      </c>
    </row>
    <row r="22" customFormat="false" ht="15" hidden="false" customHeight="false" outlineLevel="0" collapsed="false">
      <c r="A22" s="8" t="s">
        <v>726</v>
      </c>
      <c r="B22" s="10" t="n">
        <v>46146</v>
      </c>
      <c r="C22" s="8" t="s">
        <v>277</v>
      </c>
      <c r="D22" s="8" t="s">
        <v>698</v>
      </c>
      <c r="E22" s="8" t="s">
        <v>710</v>
      </c>
      <c r="F22" s="9" t="n">
        <v>1</v>
      </c>
      <c r="G22" s="20" t="n">
        <v>58.28</v>
      </c>
      <c r="H22" s="20" t="n">
        <v>58.28</v>
      </c>
    </row>
    <row r="23" customFormat="false" ht="15" hidden="false" customHeight="false" outlineLevel="0" collapsed="false">
      <c r="A23" s="8" t="s">
        <v>727</v>
      </c>
      <c r="B23" s="10" t="n">
        <v>46021</v>
      </c>
      <c r="C23" s="8" t="s">
        <v>277</v>
      </c>
      <c r="D23" s="8" t="s">
        <v>698</v>
      </c>
      <c r="E23" s="8" t="s">
        <v>710</v>
      </c>
      <c r="F23" s="9" t="n">
        <v>3</v>
      </c>
      <c r="G23" s="20" t="n">
        <v>61.21</v>
      </c>
      <c r="H23" s="20" t="n">
        <v>183.63</v>
      </c>
    </row>
    <row r="24" customFormat="false" ht="15" hidden="false" customHeight="false" outlineLevel="0" collapsed="false">
      <c r="A24" s="8" t="s">
        <v>728</v>
      </c>
      <c r="B24" s="10" t="n">
        <v>46189</v>
      </c>
      <c r="C24" s="8" t="s">
        <v>166</v>
      </c>
      <c r="D24" s="8" t="s">
        <v>698</v>
      </c>
      <c r="E24" s="8" t="s">
        <v>729</v>
      </c>
      <c r="F24" s="9" t="n">
        <v>5</v>
      </c>
      <c r="G24" s="20" t="n">
        <v>139.24</v>
      </c>
      <c r="H24" s="20" t="n">
        <v>696.2</v>
      </c>
    </row>
    <row r="25" customFormat="false" ht="15" hidden="false" customHeight="false" outlineLevel="0" collapsed="false">
      <c r="A25" s="8" t="s">
        <v>730</v>
      </c>
      <c r="B25" s="10" t="n">
        <v>46225</v>
      </c>
      <c r="C25" s="8" t="s">
        <v>52</v>
      </c>
      <c r="D25" s="8" t="s">
        <v>698</v>
      </c>
      <c r="E25" s="8" t="s">
        <v>699</v>
      </c>
      <c r="F25" s="9" t="n">
        <v>3</v>
      </c>
      <c r="G25" s="20" t="n">
        <v>15.55</v>
      </c>
      <c r="H25" s="20" t="n">
        <v>46.65</v>
      </c>
    </row>
    <row r="26" customFormat="false" ht="15" hidden="false" customHeight="false" outlineLevel="0" collapsed="false">
      <c r="A26" s="8" t="s">
        <v>731</v>
      </c>
      <c r="B26" s="10" t="n">
        <v>45969</v>
      </c>
      <c r="C26" s="8" t="s">
        <v>646</v>
      </c>
      <c r="D26" s="8" t="s">
        <v>703</v>
      </c>
      <c r="E26" s="8" t="s">
        <v>732</v>
      </c>
      <c r="F26" s="9" t="n">
        <v>2</v>
      </c>
      <c r="G26" s="20" t="n">
        <v>193.91</v>
      </c>
      <c r="H26" s="20" t="n">
        <v>387.82</v>
      </c>
    </row>
    <row r="27" customFormat="false" ht="15" hidden="false" customHeight="false" outlineLevel="0" collapsed="false">
      <c r="A27" s="8" t="s">
        <v>733</v>
      </c>
      <c r="B27" s="10" t="n">
        <v>46045</v>
      </c>
      <c r="C27" s="8" t="s">
        <v>69</v>
      </c>
      <c r="D27" s="8" t="s">
        <v>703</v>
      </c>
      <c r="E27" s="8" t="s">
        <v>734</v>
      </c>
      <c r="F27" s="9" t="n">
        <v>3</v>
      </c>
      <c r="G27" s="20" t="n">
        <v>41.87</v>
      </c>
      <c r="H27" s="20" t="n">
        <v>125.61</v>
      </c>
    </row>
    <row r="28" customFormat="false" ht="15" hidden="false" customHeight="false" outlineLevel="0" collapsed="false">
      <c r="A28" s="8" t="s">
        <v>735</v>
      </c>
      <c r="B28" s="10" t="n">
        <v>46192</v>
      </c>
      <c r="C28" s="8" t="s">
        <v>52</v>
      </c>
      <c r="D28" s="8" t="s">
        <v>698</v>
      </c>
      <c r="E28" s="8" t="s">
        <v>699</v>
      </c>
      <c r="F28" s="9" t="n">
        <v>1</v>
      </c>
      <c r="G28" s="20" t="n">
        <v>16.17</v>
      </c>
      <c r="H28" s="20" t="n">
        <v>16.17</v>
      </c>
    </row>
    <row r="29" customFormat="false" ht="15" hidden="false" customHeight="false" outlineLevel="0" collapsed="false">
      <c r="A29" s="8" t="s">
        <v>736</v>
      </c>
      <c r="B29" s="10" t="n">
        <v>46217</v>
      </c>
      <c r="C29" s="8" t="s">
        <v>262</v>
      </c>
      <c r="D29" s="8" t="s">
        <v>698</v>
      </c>
      <c r="E29" s="8" t="s">
        <v>737</v>
      </c>
      <c r="F29" s="9" t="n">
        <v>6</v>
      </c>
      <c r="G29" s="20" t="n">
        <v>12.96</v>
      </c>
      <c r="H29" s="20" t="n">
        <v>77.76</v>
      </c>
    </row>
    <row r="30" customFormat="false" ht="15" hidden="false" customHeight="false" outlineLevel="0" collapsed="false">
      <c r="A30" s="8" t="s">
        <v>738</v>
      </c>
      <c r="B30" s="10" t="n">
        <v>45902</v>
      </c>
      <c r="C30" s="8" t="s">
        <v>277</v>
      </c>
      <c r="D30" s="8" t="s">
        <v>703</v>
      </c>
      <c r="E30" s="8" t="s">
        <v>724</v>
      </c>
      <c r="F30" s="9" t="n">
        <v>2</v>
      </c>
      <c r="G30" s="20" t="n">
        <v>146.77</v>
      </c>
      <c r="H30" s="20" t="n">
        <v>293.54</v>
      </c>
    </row>
    <row r="31" customFormat="false" ht="15" hidden="false" customHeight="false" outlineLevel="0" collapsed="false">
      <c r="A31" s="8" t="s">
        <v>739</v>
      </c>
      <c r="B31" s="10" t="n">
        <v>46110</v>
      </c>
      <c r="C31" s="8" t="s">
        <v>52</v>
      </c>
      <c r="D31" s="8" t="s">
        <v>698</v>
      </c>
      <c r="E31" s="8" t="s">
        <v>699</v>
      </c>
      <c r="F31" s="9" t="n">
        <v>4</v>
      </c>
      <c r="G31" s="20" t="n">
        <v>15.2</v>
      </c>
      <c r="H31" s="20" t="n">
        <v>60.8</v>
      </c>
    </row>
    <row r="32" customFormat="false" ht="15" hidden="false" customHeight="false" outlineLevel="0" collapsed="false">
      <c r="A32" s="8" t="s">
        <v>740</v>
      </c>
      <c r="B32" s="10" t="n">
        <v>46210</v>
      </c>
      <c r="C32" s="8" t="s">
        <v>214</v>
      </c>
      <c r="D32" s="8" t="s">
        <v>703</v>
      </c>
      <c r="E32" s="8" t="s">
        <v>715</v>
      </c>
      <c r="F32" s="9" t="n">
        <v>2</v>
      </c>
      <c r="G32" s="20" t="n">
        <v>44.2</v>
      </c>
      <c r="H32" s="20" t="n">
        <v>88.4</v>
      </c>
    </row>
    <row r="33" customFormat="false" ht="15" hidden="false" customHeight="false" outlineLevel="0" collapsed="false">
      <c r="A33" s="8" t="s">
        <v>741</v>
      </c>
      <c r="B33" s="10" t="n">
        <v>46241</v>
      </c>
      <c r="C33" s="8" t="s">
        <v>277</v>
      </c>
      <c r="D33" s="8" t="s">
        <v>698</v>
      </c>
      <c r="E33" s="8" t="s">
        <v>710</v>
      </c>
      <c r="F33" s="9" t="n">
        <v>4</v>
      </c>
      <c r="G33" s="20" t="n">
        <v>55.78</v>
      </c>
      <c r="H33" s="20" t="n">
        <v>223.12</v>
      </c>
    </row>
    <row r="34" customFormat="false" ht="15" hidden="false" customHeight="false" outlineLevel="0" collapsed="false">
      <c r="A34" s="8" t="s">
        <v>742</v>
      </c>
      <c r="B34" s="10" t="n">
        <v>45914</v>
      </c>
      <c r="C34" s="8" t="s">
        <v>390</v>
      </c>
      <c r="D34" s="8" t="s">
        <v>698</v>
      </c>
      <c r="E34" s="8" t="s">
        <v>708</v>
      </c>
      <c r="F34" s="9" t="n">
        <v>1</v>
      </c>
      <c r="G34" s="20" t="n">
        <v>9.59</v>
      </c>
      <c r="H34" s="20" t="n">
        <v>9.59</v>
      </c>
    </row>
    <row r="35" customFormat="false" ht="15" hidden="false" customHeight="false" outlineLevel="0" collapsed="false">
      <c r="A35" s="8" t="s">
        <v>743</v>
      </c>
      <c r="B35" s="10" t="n">
        <v>46057</v>
      </c>
      <c r="C35" s="8" t="s">
        <v>52</v>
      </c>
      <c r="D35" s="8" t="s">
        <v>703</v>
      </c>
      <c r="E35" s="8" t="s">
        <v>720</v>
      </c>
      <c r="F35" s="9" t="n">
        <v>4</v>
      </c>
      <c r="G35" s="20" t="n">
        <v>33.69</v>
      </c>
      <c r="H35" s="20" t="n">
        <v>134.76</v>
      </c>
    </row>
    <row r="36" customFormat="false" ht="15" hidden="false" customHeight="false" outlineLevel="0" collapsed="false">
      <c r="A36" s="8" t="s">
        <v>744</v>
      </c>
      <c r="B36" s="10" t="n">
        <v>45996</v>
      </c>
      <c r="C36" s="8" t="s">
        <v>52</v>
      </c>
      <c r="D36" s="8" t="s">
        <v>698</v>
      </c>
      <c r="E36" s="8" t="s">
        <v>699</v>
      </c>
      <c r="F36" s="9" t="n">
        <v>4</v>
      </c>
      <c r="G36" s="20" t="n">
        <v>14.49</v>
      </c>
      <c r="H36" s="20" t="n">
        <v>57.96</v>
      </c>
    </row>
    <row r="37" customFormat="false" ht="15" hidden="false" customHeight="false" outlineLevel="0" collapsed="false">
      <c r="A37" s="8" t="s">
        <v>745</v>
      </c>
      <c r="B37" s="10" t="n">
        <v>46003</v>
      </c>
      <c r="C37" s="8" t="s">
        <v>166</v>
      </c>
      <c r="D37" s="8" t="s">
        <v>698</v>
      </c>
      <c r="E37" s="8" t="s">
        <v>729</v>
      </c>
      <c r="F37" s="9" t="n">
        <v>1</v>
      </c>
      <c r="G37" s="20" t="n">
        <v>138.13</v>
      </c>
      <c r="H37" s="20" t="n">
        <v>138.13</v>
      </c>
    </row>
    <row r="38" customFormat="false" ht="15" hidden="false" customHeight="false" outlineLevel="0" collapsed="false">
      <c r="A38" s="8" t="s">
        <v>746</v>
      </c>
      <c r="B38" s="10" t="n">
        <v>45990</v>
      </c>
      <c r="C38" s="8" t="s">
        <v>214</v>
      </c>
      <c r="D38" s="8" t="s">
        <v>698</v>
      </c>
      <c r="E38" s="8" t="s">
        <v>701</v>
      </c>
      <c r="F38" s="9" t="n">
        <v>6</v>
      </c>
      <c r="G38" s="20" t="n">
        <v>18.4</v>
      </c>
      <c r="H38" s="20" t="n">
        <v>110.4</v>
      </c>
    </row>
    <row r="39" customFormat="false" ht="15" hidden="false" customHeight="false" outlineLevel="0" collapsed="false">
      <c r="A39" s="8" t="s">
        <v>747</v>
      </c>
      <c r="B39" s="10" t="n">
        <v>46021</v>
      </c>
      <c r="C39" s="8" t="s">
        <v>214</v>
      </c>
      <c r="D39" s="8" t="s">
        <v>698</v>
      </c>
      <c r="E39" s="8" t="s">
        <v>701</v>
      </c>
      <c r="F39" s="9" t="n">
        <v>6</v>
      </c>
      <c r="G39" s="20" t="n">
        <v>18.56</v>
      </c>
      <c r="H39" s="20" t="n">
        <v>111.36</v>
      </c>
    </row>
    <row r="40" customFormat="false" ht="15" hidden="false" customHeight="false" outlineLevel="0" collapsed="false">
      <c r="A40" s="8" t="s">
        <v>748</v>
      </c>
      <c r="B40" s="10" t="n">
        <v>46084</v>
      </c>
      <c r="C40" s="8" t="s">
        <v>69</v>
      </c>
      <c r="D40" s="8" t="s">
        <v>698</v>
      </c>
      <c r="E40" s="8" t="s">
        <v>713</v>
      </c>
      <c r="F40" s="9" t="n">
        <v>1</v>
      </c>
      <c r="G40" s="20" t="n">
        <v>18.05</v>
      </c>
      <c r="H40" s="20" t="n">
        <v>18.05</v>
      </c>
    </row>
    <row r="41" customFormat="false" ht="15" hidden="false" customHeight="false" outlineLevel="0" collapsed="false">
      <c r="A41" s="8" t="s">
        <v>749</v>
      </c>
      <c r="B41" s="10" t="n">
        <v>45956</v>
      </c>
      <c r="C41" s="8" t="s">
        <v>154</v>
      </c>
      <c r="D41" s="8" t="s">
        <v>698</v>
      </c>
      <c r="E41" s="8" t="s">
        <v>750</v>
      </c>
      <c r="F41" s="9" t="n">
        <v>3</v>
      </c>
      <c r="G41" s="20" t="n">
        <v>23.16</v>
      </c>
      <c r="H41" s="20" t="n">
        <v>69.48</v>
      </c>
    </row>
    <row r="42" customFormat="false" ht="15" hidden="false" customHeight="false" outlineLevel="0" collapsed="false">
      <c r="A42" s="8" t="s">
        <v>751</v>
      </c>
      <c r="B42" s="10" t="n">
        <v>46030</v>
      </c>
      <c r="C42" s="8" t="s">
        <v>277</v>
      </c>
      <c r="D42" s="8" t="s">
        <v>698</v>
      </c>
      <c r="E42" s="8" t="s">
        <v>710</v>
      </c>
      <c r="F42" s="9" t="n">
        <v>2</v>
      </c>
      <c r="G42" s="20" t="n">
        <v>63.06</v>
      </c>
      <c r="H42" s="20" t="n">
        <v>126.12</v>
      </c>
    </row>
    <row r="43" customFormat="false" ht="15" hidden="false" customHeight="false" outlineLevel="0" collapsed="false">
      <c r="A43" s="8" t="s">
        <v>752</v>
      </c>
      <c r="B43" s="10" t="n">
        <v>46257</v>
      </c>
      <c r="C43" s="8" t="s">
        <v>262</v>
      </c>
      <c r="D43" s="8" t="s">
        <v>698</v>
      </c>
      <c r="E43" s="8" t="s">
        <v>737</v>
      </c>
      <c r="F43" s="9" t="n">
        <v>2</v>
      </c>
      <c r="G43" s="20" t="n">
        <v>12.57</v>
      </c>
      <c r="H43" s="20" t="n">
        <v>25.14</v>
      </c>
    </row>
    <row r="44" customFormat="false" ht="15" hidden="false" customHeight="false" outlineLevel="0" collapsed="false">
      <c r="A44" s="8" t="s">
        <v>753</v>
      </c>
      <c r="B44" s="10" t="n">
        <v>45902</v>
      </c>
      <c r="C44" s="8" t="s">
        <v>145</v>
      </c>
      <c r="D44" s="8" t="s">
        <v>698</v>
      </c>
      <c r="E44" s="8" t="s">
        <v>754</v>
      </c>
      <c r="F44" s="9" t="n">
        <v>8</v>
      </c>
      <c r="G44" s="20" t="n">
        <v>87.44</v>
      </c>
      <c r="H44" s="20" t="n">
        <v>699.52</v>
      </c>
    </row>
    <row r="45" customFormat="false" ht="15" hidden="false" customHeight="false" outlineLevel="0" collapsed="false">
      <c r="A45" s="8" t="s">
        <v>755</v>
      </c>
      <c r="B45" s="10" t="n">
        <v>46182</v>
      </c>
      <c r="C45" s="8" t="s">
        <v>214</v>
      </c>
      <c r="D45" s="8" t="s">
        <v>698</v>
      </c>
      <c r="E45" s="8" t="s">
        <v>701</v>
      </c>
      <c r="F45" s="9" t="n">
        <v>5</v>
      </c>
      <c r="G45" s="20" t="n">
        <v>21.02</v>
      </c>
      <c r="H45" s="20" t="n">
        <v>105.1</v>
      </c>
    </row>
    <row r="46" customFormat="false" ht="15" hidden="false" customHeight="false" outlineLevel="0" collapsed="false">
      <c r="A46" s="8" t="s">
        <v>756</v>
      </c>
      <c r="B46" s="10" t="n">
        <v>46163</v>
      </c>
      <c r="C46" s="8" t="s">
        <v>52</v>
      </c>
      <c r="D46" s="8" t="s">
        <v>698</v>
      </c>
      <c r="E46" s="8" t="s">
        <v>699</v>
      </c>
      <c r="F46" s="9" t="n">
        <v>1</v>
      </c>
      <c r="G46" s="20" t="n">
        <v>14.34</v>
      </c>
      <c r="H46" s="20" t="n">
        <v>14.34</v>
      </c>
    </row>
    <row r="47" customFormat="false" ht="15" hidden="false" customHeight="false" outlineLevel="0" collapsed="false">
      <c r="A47" s="8" t="s">
        <v>757</v>
      </c>
      <c r="B47" s="10" t="n">
        <v>46161</v>
      </c>
      <c r="C47" s="8" t="s">
        <v>277</v>
      </c>
      <c r="D47" s="8" t="s">
        <v>698</v>
      </c>
      <c r="E47" s="8" t="s">
        <v>710</v>
      </c>
      <c r="F47" s="9" t="n">
        <v>7</v>
      </c>
      <c r="G47" s="20" t="n">
        <v>61.21</v>
      </c>
      <c r="H47" s="20" t="n">
        <v>428.47</v>
      </c>
    </row>
    <row r="48" customFormat="false" ht="15" hidden="false" customHeight="false" outlineLevel="0" collapsed="false">
      <c r="A48" s="8" t="s">
        <v>758</v>
      </c>
      <c r="B48" s="10" t="n">
        <v>46180</v>
      </c>
      <c r="C48" s="8" t="s">
        <v>214</v>
      </c>
      <c r="D48" s="8" t="s">
        <v>698</v>
      </c>
      <c r="E48" s="8" t="s">
        <v>701</v>
      </c>
      <c r="F48" s="9" t="n">
        <v>3</v>
      </c>
      <c r="G48" s="20" t="n">
        <v>20.23</v>
      </c>
      <c r="H48" s="20" t="n">
        <v>60.69</v>
      </c>
    </row>
    <row r="49" customFormat="false" ht="15" hidden="false" customHeight="false" outlineLevel="0" collapsed="false">
      <c r="A49" s="8" t="s">
        <v>759</v>
      </c>
      <c r="B49" s="10" t="n">
        <v>46113</v>
      </c>
      <c r="C49" s="8" t="s">
        <v>390</v>
      </c>
      <c r="D49" s="8" t="s">
        <v>698</v>
      </c>
      <c r="E49" s="8" t="s">
        <v>708</v>
      </c>
      <c r="F49" s="9" t="n">
        <v>4</v>
      </c>
      <c r="G49" s="20" t="n">
        <v>9.57</v>
      </c>
      <c r="H49" s="20" t="n">
        <v>38.28</v>
      </c>
    </row>
    <row r="50" customFormat="false" ht="15" hidden="false" customHeight="false" outlineLevel="0" collapsed="false">
      <c r="A50" s="8" t="s">
        <v>760</v>
      </c>
      <c r="B50" s="10" t="n">
        <v>46263</v>
      </c>
      <c r="C50" s="8" t="s">
        <v>52</v>
      </c>
      <c r="D50" s="8" t="s">
        <v>698</v>
      </c>
      <c r="E50" s="8" t="s">
        <v>699</v>
      </c>
      <c r="F50" s="9" t="n">
        <v>3</v>
      </c>
      <c r="G50" s="20" t="n">
        <v>14.28</v>
      </c>
      <c r="H50" s="20" t="n">
        <v>42.84</v>
      </c>
    </row>
    <row r="51" customFormat="false" ht="15" hidden="false" customHeight="false" outlineLevel="0" collapsed="false">
      <c r="A51" s="8" t="s">
        <v>761</v>
      </c>
      <c r="B51" s="10" t="n">
        <v>45960</v>
      </c>
      <c r="C51" s="8" t="s">
        <v>52</v>
      </c>
      <c r="D51" s="8" t="s">
        <v>698</v>
      </c>
      <c r="E51" s="8" t="s">
        <v>699</v>
      </c>
      <c r="F51" s="9" t="n">
        <v>3</v>
      </c>
      <c r="G51" s="20" t="n">
        <v>14.62</v>
      </c>
      <c r="H51" s="20" t="n">
        <v>43.86</v>
      </c>
    </row>
    <row r="52" customFormat="false" ht="15" hidden="false" customHeight="false" outlineLevel="0" collapsed="false">
      <c r="A52" s="8" t="s">
        <v>762</v>
      </c>
      <c r="B52" s="10" t="n">
        <v>45960</v>
      </c>
      <c r="C52" s="8" t="s">
        <v>262</v>
      </c>
      <c r="D52" s="8" t="s">
        <v>698</v>
      </c>
      <c r="E52" s="8" t="s">
        <v>737</v>
      </c>
      <c r="F52" s="9" t="n">
        <v>6</v>
      </c>
      <c r="G52" s="20" t="n">
        <v>12.8</v>
      </c>
      <c r="H52" s="20" t="n">
        <v>76.8</v>
      </c>
    </row>
    <row r="53" customFormat="false" ht="15" hidden="false" customHeight="false" outlineLevel="0" collapsed="false">
      <c r="A53" s="8" t="s">
        <v>763</v>
      </c>
      <c r="B53" s="10" t="n">
        <v>46150</v>
      </c>
      <c r="C53" s="8" t="s">
        <v>390</v>
      </c>
      <c r="D53" s="8" t="s">
        <v>698</v>
      </c>
      <c r="E53" s="8" t="s">
        <v>708</v>
      </c>
      <c r="F53" s="9" t="n">
        <v>5</v>
      </c>
      <c r="G53" s="20" t="n">
        <v>10.23</v>
      </c>
      <c r="H53" s="20" t="n">
        <v>51.15</v>
      </c>
    </row>
    <row r="54" customFormat="false" ht="15" hidden="false" customHeight="false" outlineLevel="0" collapsed="false">
      <c r="A54" s="8" t="s">
        <v>764</v>
      </c>
      <c r="B54" s="10" t="n">
        <v>46264</v>
      </c>
      <c r="C54" s="8" t="s">
        <v>52</v>
      </c>
      <c r="D54" s="8" t="s">
        <v>698</v>
      </c>
      <c r="E54" s="8" t="s">
        <v>699</v>
      </c>
      <c r="F54" s="9" t="n">
        <v>8</v>
      </c>
      <c r="G54" s="20" t="n">
        <v>15.54</v>
      </c>
      <c r="H54" s="20" t="n">
        <v>124.32</v>
      </c>
    </row>
    <row r="55" customFormat="false" ht="15" hidden="false" customHeight="false" outlineLevel="0" collapsed="false">
      <c r="A55" s="8" t="s">
        <v>765</v>
      </c>
      <c r="B55" s="10" t="n">
        <v>46018</v>
      </c>
      <c r="C55" s="8" t="s">
        <v>69</v>
      </c>
      <c r="D55" s="8" t="s">
        <v>703</v>
      </c>
      <c r="E55" s="8" t="s">
        <v>734</v>
      </c>
      <c r="F55" s="9" t="n">
        <v>5</v>
      </c>
      <c r="G55" s="20" t="n">
        <v>40.4</v>
      </c>
      <c r="H55" s="20" t="n">
        <v>202</v>
      </c>
    </row>
    <row r="56" customFormat="false" ht="15" hidden="false" customHeight="false" outlineLevel="0" collapsed="false">
      <c r="A56" s="8" t="s">
        <v>766</v>
      </c>
      <c r="B56" s="10" t="n">
        <v>46126</v>
      </c>
      <c r="C56" s="8" t="s">
        <v>52</v>
      </c>
      <c r="D56" s="8" t="s">
        <v>703</v>
      </c>
      <c r="E56" s="8" t="s">
        <v>720</v>
      </c>
      <c r="F56" s="9" t="n">
        <v>8</v>
      </c>
      <c r="G56" s="20" t="n">
        <v>33.93</v>
      </c>
      <c r="H56" s="20" t="n">
        <v>271.44</v>
      </c>
    </row>
    <row r="57" customFormat="false" ht="15" hidden="false" customHeight="false" outlineLevel="0" collapsed="false">
      <c r="A57" s="8" t="s">
        <v>767</v>
      </c>
      <c r="B57" s="10" t="n">
        <v>46134</v>
      </c>
      <c r="C57" s="8" t="s">
        <v>277</v>
      </c>
      <c r="D57" s="8" t="s">
        <v>698</v>
      </c>
      <c r="E57" s="8" t="s">
        <v>710</v>
      </c>
      <c r="F57" s="9" t="n">
        <v>1</v>
      </c>
      <c r="G57" s="20" t="n">
        <v>59.26</v>
      </c>
      <c r="H57" s="20" t="n">
        <v>59.26</v>
      </c>
    </row>
    <row r="58" customFormat="false" ht="15" hidden="false" customHeight="false" outlineLevel="0" collapsed="false">
      <c r="A58" s="8" t="s">
        <v>768</v>
      </c>
      <c r="B58" s="10" t="n">
        <v>46137</v>
      </c>
      <c r="C58" s="8" t="s">
        <v>262</v>
      </c>
      <c r="D58" s="8" t="s">
        <v>703</v>
      </c>
      <c r="E58" s="8" t="s">
        <v>769</v>
      </c>
      <c r="F58" s="9" t="n">
        <v>1</v>
      </c>
      <c r="G58" s="20" t="n">
        <v>31.92</v>
      </c>
      <c r="H58" s="20" t="n">
        <v>31.92</v>
      </c>
    </row>
    <row r="59" customFormat="false" ht="15" hidden="false" customHeight="false" outlineLevel="0" collapsed="false">
      <c r="A59" s="8" t="s">
        <v>770</v>
      </c>
      <c r="B59" s="10" t="n">
        <v>46182</v>
      </c>
      <c r="C59" s="8" t="s">
        <v>390</v>
      </c>
      <c r="D59" s="8" t="s">
        <v>698</v>
      </c>
      <c r="E59" s="8" t="s">
        <v>708</v>
      </c>
      <c r="F59" s="9" t="n">
        <v>5</v>
      </c>
      <c r="G59" s="20" t="n">
        <v>9.37</v>
      </c>
      <c r="H59" s="20" t="n">
        <v>46.85</v>
      </c>
    </row>
    <row r="60" customFormat="false" ht="15" hidden="false" customHeight="false" outlineLevel="0" collapsed="false">
      <c r="A60" s="8" t="s">
        <v>771</v>
      </c>
      <c r="B60" s="10" t="n">
        <v>45926</v>
      </c>
      <c r="C60" s="8" t="s">
        <v>115</v>
      </c>
      <c r="D60" s="8" t="s">
        <v>703</v>
      </c>
      <c r="E60" s="8" t="s">
        <v>772</v>
      </c>
      <c r="F60" s="9" t="n">
        <v>2</v>
      </c>
      <c r="G60" s="20" t="n">
        <v>112.97</v>
      </c>
      <c r="H60" s="20" t="n">
        <v>225.94</v>
      </c>
    </row>
    <row r="61" customFormat="false" ht="15" hidden="false" customHeight="false" outlineLevel="0" collapsed="false">
      <c r="A61" s="8" t="s">
        <v>773</v>
      </c>
      <c r="B61" s="10" t="n">
        <v>46058</v>
      </c>
      <c r="C61" s="8" t="s">
        <v>166</v>
      </c>
      <c r="D61" s="8" t="s">
        <v>703</v>
      </c>
      <c r="E61" s="8" t="s">
        <v>774</v>
      </c>
      <c r="F61" s="9" t="n">
        <v>6</v>
      </c>
      <c r="G61" s="20" t="n">
        <v>356.98</v>
      </c>
      <c r="H61" s="20" t="n">
        <v>2141.88</v>
      </c>
    </row>
    <row r="62" customFormat="false" ht="15" hidden="false" customHeight="false" outlineLevel="0" collapsed="false">
      <c r="A62" s="8" t="s">
        <v>775</v>
      </c>
      <c r="B62" s="10" t="n">
        <v>46137</v>
      </c>
      <c r="C62" s="8" t="s">
        <v>394</v>
      </c>
      <c r="D62" s="8" t="s">
        <v>698</v>
      </c>
      <c r="E62" s="8" t="s">
        <v>776</v>
      </c>
      <c r="F62" s="9" t="n">
        <v>2</v>
      </c>
      <c r="G62" s="20" t="n">
        <v>21.27</v>
      </c>
      <c r="H62" s="20" t="n">
        <v>42.54</v>
      </c>
    </row>
    <row r="63" customFormat="false" ht="15" hidden="false" customHeight="false" outlineLevel="0" collapsed="false">
      <c r="A63" s="8" t="s">
        <v>777</v>
      </c>
      <c r="B63" s="10" t="n">
        <v>46124</v>
      </c>
      <c r="C63" s="8" t="s">
        <v>154</v>
      </c>
      <c r="D63" s="8" t="s">
        <v>703</v>
      </c>
      <c r="E63" s="8" t="s">
        <v>778</v>
      </c>
      <c r="F63" s="9" t="n">
        <v>6</v>
      </c>
      <c r="G63" s="20" t="n">
        <v>57.24</v>
      </c>
      <c r="H63" s="20" t="n">
        <v>343.44</v>
      </c>
    </row>
    <row r="64" customFormat="false" ht="15" hidden="false" customHeight="false" outlineLevel="0" collapsed="false">
      <c r="A64" s="8" t="s">
        <v>779</v>
      </c>
      <c r="B64" s="10" t="n">
        <v>46225</v>
      </c>
      <c r="C64" s="8" t="s">
        <v>145</v>
      </c>
      <c r="D64" s="8" t="s">
        <v>698</v>
      </c>
      <c r="E64" s="8" t="s">
        <v>754</v>
      </c>
      <c r="F64" s="9" t="n">
        <v>3</v>
      </c>
      <c r="G64" s="20" t="n">
        <v>89.43</v>
      </c>
      <c r="H64" s="20" t="n">
        <v>268.29</v>
      </c>
    </row>
    <row r="65" customFormat="false" ht="15" hidden="false" customHeight="false" outlineLevel="0" collapsed="false">
      <c r="A65" s="8" t="s">
        <v>780</v>
      </c>
      <c r="B65" s="10" t="n">
        <v>46188</v>
      </c>
      <c r="C65" s="8" t="s">
        <v>69</v>
      </c>
      <c r="D65" s="8" t="s">
        <v>698</v>
      </c>
      <c r="E65" s="8" t="s">
        <v>713</v>
      </c>
      <c r="F65" s="9" t="n">
        <v>1</v>
      </c>
      <c r="G65" s="20" t="n">
        <v>18.88</v>
      </c>
      <c r="H65" s="20" t="n">
        <v>18.88</v>
      </c>
    </row>
    <row r="66" customFormat="false" ht="15" hidden="false" customHeight="false" outlineLevel="0" collapsed="false">
      <c r="A66" s="8" t="s">
        <v>781</v>
      </c>
      <c r="B66" s="10" t="n">
        <v>46184</v>
      </c>
      <c r="C66" s="8" t="s">
        <v>646</v>
      </c>
      <c r="D66" s="8" t="s">
        <v>698</v>
      </c>
      <c r="E66" s="8" t="s">
        <v>782</v>
      </c>
      <c r="F66" s="9" t="n">
        <v>1</v>
      </c>
      <c r="G66" s="20" t="n">
        <v>73.44</v>
      </c>
      <c r="H66" s="20" t="n">
        <v>73.44</v>
      </c>
    </row>
    <row r="67" customFormat="false" ht="15" hidden="false" customHeight="false" outlineLevel="0" collapsed="false">
      <c r="A67" s="8" t="s">
        <v>783</v>
      </c>
      <c r="B67" s="10" t="n">
        <v>46073</v>
      </c>
      <c r="C67" s="8" t="s">
        <v>52</v>
      </c>
      <c r="D67" s="8" t="s">
        <v>703</v>
      </c>
      <c r="E67" s="8" t="s">
        <v>720</v>
      </c>
      <c r="F67" s="9" t="n">
        <v>3</v>
      </c>
      <c r="G67" s="20" t="n">
        <v>35.68</v>
      </c>
      <c r="H67" s="20" t="n">
        <v>107.04</v>
      </c>
    </row>
    <row r="68" customFormat="false" ht="15" hidden="false" customHeight="false" outlineLevel="0" collapsed="false">
      <c r="A68" s="8" t="s">
        <v>784</v>
      </c>
      <c r="B68" s="10" t="n">
        <v>46160</v>
      </c>
      <c r="C68" s="8" t="s">
        <v>390</v>
      </c>
      <c r="D68" s="8" t="s">
        <v>703</v>
      </c>
      <c r="E68" s="8" t="s">
        <v>785</v>
      </c>
      <c r="F68" s="9" t="n">
        <v>7</v>
      </c>
      <c r="G68" s="20" t="n">
        <v>26.54</v>
      </c>
      <c r="H68" s="20" t="n">
        <v>185.78</v>
      </c>
    </row>
    <row r="69" customFormat="false" ht="15" hidden="false" customHeight="false" outlineLevel="0" collapsed="false">
      <c r="A69" s="8" t="s">
        <v>786</v>
      </c>
      <c r="B69" s="10" t="n">
        <v>46215</v>
      </c>
      <c r="C69" s="8" t="s">
        <v>277</v>
      </c>
      <c r="D69" s="8" t="s">
        <v>698</v>
      </c>
      <c r="E69" s="8" t="s">
        <v>710</v>
      </c>
      <c r="F69" s="9" t="n">
        <v>8</v>
      </c>
      <c r="G69" s="20" t="n">
        <v>56.01</v>
      </c>
      <c r="H69" s="20" t="n">
        <v>448.08</v>
      </c>
    </row>
    <row r="70" customFormat="false" ht="15" hidden="false" customHeight="false" outlineLevel="0" collapsed="false">
      <c r="A70" s="8" t="s">
        <v>787</v>
      </c>
      <c r="B70" s="10" t="n">
        <v>46200</v>
      </c>
      <c r="C70" s="8" t="s">
        <v>390</v>
      </c>
      <c r="D70" s="8" t="s">
        <v>703</v>
      </c>
      <c r="E70" s="8" t="s">
        <v>785</v>
      </c>
      <c r="F70" s="9" t="n">
        <v>5</v>
      </c>
      <c r="G70" s="20" t="n">
        <v>26.24</v>
      </c>
      <c r="H70" s="20" t="n">
        <v>131.2</v>
      </c>
    </row>
    <row r="71" customFormat="false" ht="15" hidden="false" customHeight="false" outlineLevel="0" collapsed="false">
      <c r="A71" s="8" t="s">
        <v>788</v>
      </c>
      <c r="B71" s="10" t="n">
        <v>46189</v>
      </c>
      <c r="C71" s="8" t="s">
        <v>145</v>
      </c>
      <c r="D71" s="8" t="s">
        <v>698</v>
      </c>
      <c r="E71" s="8" t="s">
        <v>754</v>
      </c>
      <c r="F71" s="9" t="n">
        <v>1</v>
      </c>
      <c r="G71" s="20" t="n">
        <v>84.16</v>
      </c>
      <c r="H71" s="20" t="n">
        <v>84.16</v>
      </c>
    </row>
    <row r="72" customFormat="false" ht="15" hidden="false" customHeight="false" outlineLevel="0" collapsed="false">
      <c r="A72" s="8" t="s">
        <v>789</v>
      </c>
      <c r="B72" s="10" t="n">
        <v>45972</v>
      </c>
      <c r="C72" s="8" t="s">
        <v>277</v>
      </c>
      <c r="D72" s="8" t="s">
        <v>698</v>
      </c>
      <c r="E72" s="8" t="s">
        <v>710</v>
      </c>
      <c r="F72" s="9" t="n">
        <v>5</v>
      </c>
      <c r="G72" s="20" t="n">
        <v>60.83</v>
      </c>
      <c r="H72" s="20" t="n">
        <v>304.15</v>
      </c>
    </row>
    <row r="73" customFormat="false" ht="15" hidden="false" customHeight="false" outlineLevel="0" collapsed="false">
      <c r="A73" s="8" t="s">
        <v>790</v>
      </c>
      <c r="B73" s="10" t="n">
        <v>46246</v>
      </c>
      <c r="C73" s="8" t="s">
        <v>277</v>
      </c>
      <c r="D73" s="8" t="s">
        <v>698</v>
      </c>
      <c r="E73" s="8" t="s">
        <v>710</v>
      </c>
      <c r="F73" s="9" t="n">
        <v>3</v>
      </c>
      <c r="G73" s="20" t="n">
        <v>59.86</v>
      </c>
      <c r="H73" s="20" t="n">
        <v>179.58</v>
      </c>
    </row>
    <row r="74" customFormat="false" ht="15" hidden="false" customHeight="false" outlineLevel="0" collapsed="false">
      <c r="A74" s="8" t="s">
        <v>791</v>
      </c>
      <c r="B74" s="10" t="n">
        <v>46106</v>
      </c>
      <c r="C74" s="8" t="s">
        <v>145</v>
      </c>
      <c r="D74" s="8" t="s">
        <v>703</v>
      </c>
      <c r="E74" s="8" t="s">
        <v>706</v>
      </c>
      <c r="F74" s="9" t="n">
        <v>8</v>
      </c>
      <c r="G74" s="20" t="n">
        <v>222.41</v>
      </c>
      <c r="H74" s="20" t="n">
        <v>1779.28</v>
      </c>
    </row>
    <row r="75" customFormat="false" ht="15" hidden="false" customHeight="false" outlineLevel="0" collapsed="false">
      <c r="A75" s="8" t="s">
        <v>792</v>
      </c>
      <c r="B75" s="10" t="n">
        <v>46007</v>
      </c>
      <c r="C75" s="8" t="s">
        <v>69</v>
      </c>
      <c r="D75" s="8" t="s">
        <v>703</v>
      </c>
      <c r="E75" s="8" t="s">
        <v>734</v>
      </c>
      <c r="F75" s="9" t="n">
        <v>2</v>
      </c>
      <c r="G75" s="20" t="n">
        <v>38.13</v>
      </c>
      <c r="H75" s="20" t="n">
        <v>76.26</v>
      </c>
    </row>
    <row r="76" customFormat="false" ht="15" hidden="false" customHeight="false" outlineLevel="0" collapsed="false">
      <c r="A76" s="8" t="s">
        <v>793</v>
      </c>
      <c r="B76" s="10" t="n">
        <v>46095</v>
      </c>
      <c r="C76" s="8" t="s">
        <v>69</v>
      </c>
      <c r="D76" s="8" t="s">
        <v>703</v>
      </c>
      <c r="E76" s="8" t="s">
        <v>734</v>
      </c>
      <c r="F76" s="9" t="n">
        <v>3</v>
      </c>
      <c r="G76" s="20" t="n">
        <v>38.18</v>
      </c>
      <c r="H76" s="20" t="n">
        <v>114.54</v>
      </c>
    </row>
    <row r="77" customFormat="false" ht="15" hidden="false" customHeight="false" outlineLevel="0" collapsed="false">
      <c r="A77" s="8" t="s">
        <v>794</v>
      </c>
      <c r="B77" s="10" t="n">
        <v>46264</v>
      </c>
      <c r="C77" s="8" t="s">
        <v>145</v>
      </c>
      <c r="D77" s="8" t="s">
        <v>698</v>
      </c>
      <c r="E77" s="8" t="s">
        <v>754</v>
      </c>
      <c r="F77" s="9" t="n">
        <v>5</v>
      </c>
      <c r="G77" s="20" t="n">
        <v>83.15</v>
      </c>
      <c r="H77" s="20" t="n">
        <v>415.75</v>
      </c>
    </row>
    <row r="78" customFormat="false" ht="15" hidden="false" customHeight="false" outlineLevel="0" collapsed="false">
      <c r="A78" s="8" t="s">
        <v>795</v>
      </c>
      <c r="B78" s="10" t="n">
        <v>46120</v>
      </c>
      <c r="C78" s="8" t="s">
        <v>52</v>
      </c>
      <c r="D78" s="8" t="s">
        <v>703</v>
      </c>
      <c r="E78" s="8" t="s">
        <v>720</v>
      </c>
      <c r="F78" s="9" t="n">
        <v>5</v>
      </c>
      <c r="G78" s="20" t="n">
        <v>37.74</v>
      </c>
      <c r="H78" s="20" t="n">
        <v>188.7</v>
      </c>
    </row>
    <row r="79" customFormat="false" ht="15" hidden="false" customHeight="false" outlineLevel="0" collapsed="false">
      <c r="A79" s="8" t="s">
        <v>796</v>
      </c>
      <c r="B79" s="10" t="n">
        <v>46162</v>
      </c>
      <c r="C79" s="8" t="s">
        <v>262</v>
      </c>
      <c r="D79" s="8" t="s">
        <v>698</v>
      </c>
      <c r="E79" s="8" t="s">
        <v>737</v>
      </c>
      <c r="F79" s="9" t="n">
        <v>2</v>
      </c>
      <c r="G79" s="20" t="n">
        <v>12.14</v>
      </c>
      <c r="H79" s="20" t="n">
        <v>24.28</v>
      </c>
    </row>
    <row r="80" customFormat="false" ht="15" hidden="false" customHeight="false" outlineLevel="0" collapsed="false">
      <c r="A80" s="8" t="s">
        <v>797</v>
      </c>
      <c r="B80" s="10" t="n">
        <v>46194</v>
      </c>
      <c r="C80" s="8" t="s">
        <v>154</v>
      </c>
      <c r="D80" s="8" t="s">
        <v>698</v>
      </c>
      <c r="E80" s="8" t="s">
        <v>750</v>
      </c>
      <c r="F80" s="9" t="n">
        <v>1</v>
      </c>
      <c r="G80" s="20" t="n">
        <v>24.66</v>
      </c>
      <c r="H80" s="20" t="n">
        <v>24.66</v>
      </c>
    </row>
    <row r="81" customFormat="false" ht="15" hidden="false" customHeight="false" outlineLevel="0" collapsed="false">
      <c r="A81" s="8" t="s">
        <v>798</v>
      </c>
      <c r="B81" s="10" t="n">
        <v>46255</v>
      </c>
      <c r="C81" s="8" t="s">
        <v>390</v>
      </c>
      <c r="D81" s="8" t="s">
        <v>698</v>
      </c>
      <c r="E81" s="8" t="s">
        <v>708</v>
      </c>
      <c r="F81" s="9" t="n">
        <v>4</v>
      </c>
      <c r="G81" s="20" t="n">
        <v>10.37</v>
      </c>
      <c r="H81" s="20" t="n">
        <v>41.48</v>
      </c>
    </row>
    <row r="82" customFormat="false" ht="15" hidden="false" customHeight="false" outlineLevel="0" collapsed="false">
      <c r="A82" s="8" t="s">
        <v>799</v>
      </c>
      <c r="B82" s="10" t="n">
        <v>46218</v>
      </c>
      <c r="C82" s="8" t="s">
        <v>650</v>
      </c>
      <c r="D82" s="8" t="s">
        <v>698</v>
      </c>
      <c r="E82" s="8" t="s">
        <v>800</v>
      </c>
      <c r="F82" s="9" t="n">
        <v>2</v>
      </c>
      <c r="G82" s="20" t="n">
        <v>27.77</v>
      </c>
      <c r="H82" s="20" t="n">
        <v>55.54</v>
      </c>
    </row>
    <row r="83" customFormat="false" ht="15" hidden="false" customHeight="false" outlineLevel="0" collapsed="false">
      <c r="A83" s="8" t="s">
        <v>801</v>
      </c>
      <c r="B83" s="10" t="n">
        <v>46238</v>
      </c>
      <c r="C83" s="8" t="s">
        <v>166</v>
      </c>
      <c r="D83" s="8" t="s">
        <v>698</v>
      </c>
      <c r="E83" s="8" t="s">
        <v>729</v>
      </c>
      <c r="F83" s="9" t="n">
        <v>4</v>
      </c>
      <c r="G83" s="20" t="n">
        <v>148.73</v>
      </c>
      <c r="H83" s="20" t="n">
        <v>594.92</v>
      </c>
    </row>
    <row r="84" customFormat="false" ht="15" hidden="false" customHeight="false" outlineLevel="0" collapsed="false">
      <c r="A84" s="8" t="s">
        <v>802</v>
      </c>
      <c r="B84" s="10" t="n">
        <v>46160</v>
      </c>
      <c r="C84" s="8" t="s">
        <v>52</v>
      </c>
      <c r="D84" s="8" t="s">
        <v>698</v>
      </c>
      <c r="E84" s="8" t="s">
        <v>699</v>
      </c>
      <c r="F84" s="9" t="n">
        <v>1</v>
      </c>
      <c r="G84" s="20" t="n">
        <v>14.73</v>
      </c>
      <c r="H84" s="20" t="n">
        <v>14.73</v>
      </c>
    </row>
    <row r="85" customFormat="false" ht="15" hidden="false" customHeight="false" outlineLevel="0" collapsed="false">
      <c r="A85" s="8" t="s">
        <v>803</v>
      </c>
      <c r="B85" s="10" t="n">
        <v>45949</v>
      </c>
      <c r="C85" s="8" t="s">
        <v>323</v>
      </c>
      <c r="D85" s="8" t="s">
        <v>698</v>
      </c>
      <c r="E85" s="8" t="s">
        <v>804</v>
      </c>
      <c r="F85" s="9" t="n">
        <v>1</v>
      </c>
      <c r="G85" s="20" t="n">
        <v>93.3</v>
      </c>
      <c r="H85" s="20" t="n">
        <v>93.3</v>
      </c>
    </row>
    <row r="86" customFormat="false" ht="15" hidden="false" customHeight="false" outlineLevel="0" collapsed="false">
      <c r="A86" s="8" t="s">
        <v>805</v>
      </c>
      <c r="B86" s="10" t="n">
        <v>46091</v>
      </c>
      <c r="C86" s="8" t="s">
        <v>52</v>
      </c>
      <c r="D86" s="8" t="s">
        <v>698</v>
      </c>
      <c r="E86" s="8" t="s">
        <v>699</v>
      </c>
      <c r="F86" s="9" t="n">
        <v>1</v>
      </c>
      <c r="G86" s="20" t="n">
        <v>15.41</v>
      </c>
      <c r="H86" s="20" t="n">
        <v>15.41</v>
      </c>
    </row>
    <row r="87" customFormat="false" ht="15" hidden="false" customHeight="false" outlineLevel="0" collapsed="false">
      <c r="A87" s="8" t="s">
        <v>806</v>
      </c>
      <c r="B87" s="10" t="n">
        <v>45923</v>
      </c>
      <c r="C87" s="8" t="s">
        <v>390</v>
      </c>
      <c r="D87" s="8" t="s">
        <v>698</v>
      </c>
      <c r="E87" s="8" t="s">
        <v>708</v>
      </c>
      <c r="F87" s="9" t="n">
        <v>1</v>
      </c>
      <c r="G87" s="20" t="n">
        <v>10.06</v>
      </c>
      <c r="H87" s="20" t="n">
        <v>10.06</v>
      </c>
    </row>
    <row r="88" customFormat="false" ht="15" hidden="false" customHeight="false" outlineLevel="0" collapsed="false">
      <c r="A88" s="8" t="s">
        <v>807</v>
      </c>
      <c r="B88" s="10" t="n">
        <v>46216</v>
      </c>
      <c r="C88" s="8" t="s">
        <v>214</v>
      </c>
      <c r="D88" s="8" t="s">
        <v>703</v>
      </c>
      <c r="E88" s="8" t="s">
        <v>715</v>
      </c>
      <c r="F88" s="9" t="n">
        <v>4</v>
      </c>
      <c r="G88" s="20" t="n">
        <v>42.56</v>
      </c>
      <c r="H88" s="20" t="n">
        <v>170.24</v>
      </c>
    </row>
    <row r="89" customFormat="false" ht="15" hidden="false" customHeight="false" outlineLevel="0" collapsed="false">
      <c r="A89" s="8" t="s">
        <v>808</v>
      </c>
      <c r="B89" s="10" t="n">
        <v>45968</v>
      </c>
      <c r="C89" s="8" t="s">
        <v>166</v>
      </c>
      <c r="D89" s="8" t="s">
        <v>698</v>
      </c>
      <c r="E89" s="8" t="s">
        <v>729</v>
      </c>
      <c r="F89" s="9" t="n">
        <v>4</v>
      </c>
      <c r="G89" s="20" t="n">
        <v>147.58</v>
      </c>
      <c r="H89" s="20" t="n">
        <v>590.32</v>
      </c>
    </row>
    <row r="90" customFormat="false" ht="15" hidden="false" customHeight="false" outlineLevel="0" collapsed="false">
      <c r="A90" s="8" t="s">
        <v>809</v>
      </c>
      <c r="B90" s="10" t="n">
        <v>46110</v>
      </c>
      <c r="C90" s="8" t="s">
        <v>650</v>
      </c>
      <c r="D90" s="8" t="s">
        <v>698</v>
      </c>
      <c r="E90" s="8" t="s">
        <v>800</v>
      </c>
      <c r="F90" s="9" t="n">
        <v>4</v>
      </c>
      <c r="G90" s="20" t="n">
        <v>29.54</v>
      </c>
      <c r="H90" s="20" t="n">
        <v>118.16</v>
      </c>
    </row>
    <row r="91" customFormat="false" ht="15" hidden="false" customHeight="false" outlineLevel="0" collapsed="false">
      <c r="A91" s="8" t="s">
        <v>810</v>
      </c>
      <c r="B91" s="10" t="n">
        <v>46003</v>
      </c>
      <c r="C91" s="8" t="s">
        <v>390</v>
      </c>
      <c r="D91" s="8" t="s">
        <v>703</v>
      </c>
      <c r="E91" s="8" t="s">
        <v>785</v>
      </c>
      <c r="F91" s="9" t="n">
        <v>1</v>
      </c>
      <c r="G91" s="20" t="n">
        <v>23.26</v>
      </c>
      <c r="H91" s="20" t="n">
        <v>23.26</v>
      </c>
    </row>
    <row r="92" customFormat="false" ht="15" hidden="false" customHeight="false" outlineLevel="0" collapsed="false">
      <c r="A92" s="8" t="s">
        <v>811</v>
      </c>
      <c r="B92" s="10" t="n">
        <v>46142</v>
      </c>
      <c r="C92" s="8" t="s">
        <v>394</v>
      </c>
      <c r="D92" s="8" t="s">
        <v>698</v>
      </c>
      <c r="E92" s="8" t="s">
        <v>776</v>
      </c>
      <c r="F92" s="9" t="n">
        <v>1</v>
      </c>
      <c r="G92" s="20" t="n">
        <v>20.65</v>
      </c>
      <c r="H92" s="20" t="n">
        <v>20.65</v>
      </c>
    </row>
    <row r="93" customFormat="false" ht="15" hidden="false" customHeight="false" outlineLevel="0" collapsed="false">
      <c r="A93" s="8" t="s">
        <v>812</v>
      </c>
      <c r="B93" s="10" t="n">
        <v>45948</v>
      </c>
      <c r="C93" s="8" t="s">
        <v>277</v>
      </c>
      <c r="D93" s="8" t="s">
        <v>698</v>
      </c>
      <c r="E93" s="8" t="s">
        <v>710</v>
      </c>
      <c r="F93" s="9" t="n">
        <v>3</v>
      </c>
      <c r="G93" s="20" t="n">
        <v>56.08</v>
      </c>
      <c r="H93" s="20" t="n">
        <v>168.24</v>
      </c>
    </row>
    <row r="94" customFormat="false" ht="15" hidden="false" customHeight="false" outlineLevel="0" collapsed="false">
      <c r="A94" s="8" t="s">
        <v>813</v>
      </c>
      <c r="B94" s="10" t="n">
        <v>45998</v>
      </c>
      <c r="C94" s="8" t="s">
        <v>52</v>
      </c>
      <c r="D94" s="8" t="s">
        <v>698</v>
      </c>
      <c r="E94" s="8" t="s">
        <v>699</v>
      </c>
      <c r="F94" s="9" t="n">
        <v>4</v>
      </c>
      <c r="G94" s="20" t="n">
        <v>15.28</v>
      </c>
      <c r="H94" s="20" t="n">
        <v>61.12</v>
      </c>
    </row>
    <row r="95" customFormat="false" ht="15" hidden="false" customHeight="false" outlineLevel="0" collapsed="false">
      <c r="A95" s="8" t="s">
        <v>814</v>
      </c>
      <c r="B95" s="10" t="n">
        <v>46215</v>
      </c>
      <c r="C95" s="8" t="s">
        <v>52</v>
      </c>
      <c r="D95" s="8" t="s">
        <v>703</v>
      </c>
      <c r="E95" s="8" t="s">
        <v>720</v>
      </c>
      <c r="F95" s="9" t="n">
        <v>5</v>
      </c>
      <c r="G95" s="20" t="n">
        <v>34.34</v>
      </c>
      <c r="H95" s="20" t="n">
        <v>171.7</v>
      </c>
    </row>
    <row r="96" customFormat="false" ht="15" hidden="false" customHeight="false" outlineLevel="0" collapsed="false">
      <c r="A96" s="8" t="s">
        <v>815</v>
      </c>
      <c r="B96" s="10" t="n">
        <v>46165</v>
      </c>
      <c r="C96" s="8" t="s">
        <v>390</v>
      </c>
      <c r="D96" s="8" t="s">
        <v>703</v>
      </c>
      <c r="E96" s="8" t="s">
        <v>785</v>
      </c>
      <c r="F96" s="9" t="n">
        <v>4</v>
      </c>
      <c r="G96" s="20" t="n">
        <v>25.36</v>
      </c>
      <c r="H96" s="20" t="n">
        <v>101.44</v>
      </c>
    </row>
    <row r="97" customFormat="false" ht="15" hidden="false" customHeight="false" outlineLevel="0" collapsed="false">
      <c r="A97" s="8" t="s">
        <v>816</v>
      </c>
      <c r="B97" s="10" t="n">
        <v>45936</v>
      </c>
      <c r="C97" s="8" t="s">
        <v>214</v>
      </c>
      <c r="D97" s="8" t="s">
        <v>698</v>
      </c>
      <c r="E97" s="8" t="s">
        <v>701</v>
      </c>
      <c r="F97" s="9" t="n">
        <v>1</v>
      </c>
      <c r="G97" s="20" t="n">
        <v>21</v>
      </c>
      <c r="H97" s="20" t="n">
        <v>21</v>
      </c>
    </row>
    <row r="98" customFormat="false" ht="15" hidden="false" customHeight="false" outlineLevel="0" collapsed="false">
      <c r="A98" s="8" t="s">
        <v>817</v>
      </c>
      <c r="B98" s="10" t="n">
        <v>46068</v>
      </c>
      <c r="C98" s="8" t="s">
        <v>145</v>
      </c>
      <c r="D98" s="8" t="s">
        <v>698</v>
      </c>
      <c r="E98" s="8" t="s">
        <v>754</v>
      </c>
      <c r="F98" s="9" t="n">
        <v>2</v>
      </c>
      <c r="G98" s="20" t="n">
        <v>89.1</v>
      </c>
      <c r="H98" s="20" t="n">
        <v>178.2</v>
      </c>
    </row>
    <row r="99" customFormat="false" ht="15" hidden="false" customHeight="false" outlineLevel="0" collapsed="false">
      <c r="A99" s="8" t="s">
        <v>818</v>
      </c>
      <c r="B99" s="10" t="n">
        <v>46203</v>
      </c>
      <c r="C99" s="8" t="s">
        <v>277</v>
      </c>
      <c r="D99" s="8" t="s">
        <v>703</v>
      </c>
      <c r="E99" s="8" t="s">
        <v>724</v>
      </c>
      <c r="F99" s="9" t="n">
        <v>4</v>
      </c>
      <c r="G99" s="20" t="n">
        <v>140.96</v>
      </c>
      <c r="H99" s="20" t="n">
        <v>563.84</v>
      </c>
    </row>
    <row r="100" customFormat="false" ht="15" hidden="false" customHeight="false" outlineLevel="0" collapsed="false">
      <c r="A100" s="8" t="s">
        <v>819</v>
      </c>
      <c r="B100" s="10" t="n">
        <v>46086</v>
      </c>
      <c r="C100" s="8" t="s">
        <v>390</v>
      </c>
      <c r="D100" s="8" t="s">
        <v>698</v>
      </c>
      <c r="E100" s="8" t="s">
        <v>708</v>
      </c>
      <c r="F100" s="9" t="n">
        <v>2</v>
      </c>
      <c r="G100" s="20" t="n">
        <v>9.26</v>
      </c>
      <c r="H100" s="20" t="n">
        <v>18.52</v>
      </c>
    </row>
    <row r="101" customFormat="false" ht="15" hidden="false" customHeight="false" outlineLevel="0" collapsed="false">
      <c r="A101" s="8" t="s">
        <v>820</v>
      </c>
      <c r="B101" s="10" t="n">
        <v>46046</v>
      </c>
      <c r="C101" s="8" t="s">
        <v>115</v>
      </c>
      <c r="D101" s="8" t="s">
        <v>698</v>
      </c>
      <c r="E101" s="8" t="s">
        <v>821</v>
      </c>
      <c r="F101" s="9" t="n">
        <v>2</v>
      </c>
      <c r="G101" s="20" t="n">
        <v>46.07</v>
      </c>
      <c r="H101" s="20" t="n">
        <v>92.14</v>
      </c>
    </row>
    <row r="102" customFormat="false" ht="15" hidden="false" customHeight="false" outlineLevel="0" collapsed="false">
      <c r="A102" s="8" t="s">
        <v>822</v>
      </c>
      <c r="B102" s="10" t="n">
        <v>46232</v>
      </c>
      <c r="C102" s="8" t="s">
        <v>69</v>
      </c>
      <c r="D102" s="8" t="s">
        <v>703</v>
      </c>
      <c r="E102" s="8" t="s">
        <v>734</v>
      </c>
      <c r="F102" s="9" t="n">
        <v>2</v>
      </c>
      <c r="G102" s="20" t="n">
        <v>38.23</v>
      </c>
      <c r="H102" s="20" t="n">
        <v>76.46</v>
      </c>
    </row>
    <row r="103" customFormat="false" ht="15" hidden="false" customHeight="false" outlineLevel="0" collapsed="false">
      <c r="A103" s="8" t="s">
        <v>823</v>
      </c>
      <c r="B103" s="10" t="n">
        <v>45931</v>
      </c>
      <c r="C103" s="8" t="s">
        <v>52</v>
      </c>
      <c r="D103" s="8" t="s">
        <v>698</v>
      </c>
      <c r="E103" s="8" t="s">
        <v>699</v>
      </c>
      <c r="F103" s="9" t="n">
        <v>3</v>
      </c>
      <c r="G103" s="20" t="n">
        <v>15.87</v>
      </c>
      <c r="H103" s="20" t="n">
        <v>47.61</v>
      </c>
    </row>
    <row r="104" customFormat="false" ht="15" hidden="false" customHeight="false" outlineLevel="0" collapsed="false">
      <c r="A104" s="8" t="s">
        <v>824</v>
      </c>
      <c r="B104" s="10" t="n">
        <v>46087</v>
      </c>
      <c r="C104" s="8" t="s">
        <v>52</v>
      </c>
      <c r="D104" s="8" t="s">
        <v>703</v>
      </c>
      <c r="E104" s="8" t="s">
        <v>720</v>
      </c>
      <c r="F104" s="9" t="n">
        <v>2</v>
      </c>
      <c r="G104" s="20" t="n">
        <v>32.23</v>
      </c>
      <c r="H104" s="20" t="n">
        <v>64.46</v>
      </c>
    </row>
    <row r="105" customFormat="false" ht="15" hidden="false" customHeight="false" outlineLevel="0" collapsed="false">
      <c r="A105" s="8" t="s">
        <v>825</v>
      </c>
      <c r="B105" s="10" t="n">
        <v>46061</v>
      </c>
      <c r="C105" s="8" t="s">
        <v>390</v>
      </c>
      <c r="D105" s="8" t="s">
        <v>698</v>
      </c>
      <c r="E105" s="8" t="s">
        <v>708</v>
      </c>
      <c r="F105" s="9" t="n">
        <v>2</v>
      </c>
      <c r="G105" s="20" t="n">
        <v>10.3</v>
      </c>
      <c r="H105" s="20" t="n">
        <v>20.6</v>
      </c>
    </row>
    <row r="106" customFormat="false" ht="15" hidden="false" customHeight="false" outlineLevel="0" collapsed="false">
      <c r="A106" s="8" t="s">
        <v>826</v>
      </c>
      <c r="B106" s="10" t="n">
        <v>46218</v>
      </c>
      <c r="C106" s="8" t="s">
        <v>277</v>
      </c>
      <c r="D106" s="8" t="s">
        <v>698</v>
      </c>
      <c r="E106" s="8" t="s">
        <v>710</v>
      </c>
      <c r="F106" s="9" t="n">
        <v>2</v>
      </c>
      <c r="G106" s="20" t="n">
        <v>62.9</v>
      </c>
      <c r="H106" s="20" t="n">
        <v>125.8</v>
      </c>
    </row>
    <row r="107" customFormat="false" ht="15" hidden="false" customHeight="false" outlineLevel="0" collapsed="false">
      <c r="A107" s="8" t="s">
        <v>827</v>
      </c>
      <c r="B107" s="10" t="n">
        <v>46057</v>
      </c>
      <c r="C107" s="8" t="s">
        <v>214</v>
      </c>
      <c r="D107" s="8" t="s">
        <v>698</v>
      </c>
      <c r="E107" s="8" t="s">
        <v>701</v>
      </c>
      <c r="F107" s="9" t="n">
        <v>7</v>
      </c>
      <c r="G107" s="20" t="n">
        <v>19.22</v>
      </c>
      <c r="H107" s="20" t="n">
        <v>134.54</v>
      </c>
    </row>
    <row r="108" customFormat="false" ht="15" hidden="false" customHeight="false" outlineLevel="0" collapsed="false">
      <c r="A108" s="8" t="s">
        <v>828</v>
      </c>
      <c r="B108" s="10" t="n">
        <v>45969</v>
      </c>
      <c r="C108" s="8" t="s">
        <v>214</v>
      </c>
      <c r="D108" s="8" t="s">
        <v>703</v>
      </c>
      <c r="E108" s="8" t="s">
        <v>715</v>
      </c>
      <c r="F108" s="9" t="n">
        <v>2</v>
      </c>
      <c r="G108" s="20" t="n">
        <v>44.19</v>
      </c>
      <c r="H108" s="20" t="n">
        <v>88.38</v>
      </c>
    </row>
    <row r="109" customFormat="false" ht="15" hidden="false" customHeight="false" outlineLevel="0" collapsed="false">
      <c r="A109" s="8" t="s">
        <v>829</v>
      </c>
      <c r="B109" s="10" t="n">
        <v>46221</v>
      </c>
      <c r="C109" s="8" t="s">
        <v>69</v>
      </c>
      <c r="D109" s="8" t="s">
        <v>698</v>
      </c>
      <c r="E109" s="8" t="s">
        <v>713</v>
      </c>
      <c r="F109" s="9" t="n">
        <v>6</v>
      </c>
      <c r="G109" s="20" t="n">
        <v>16.63</v>
      </c>
      <c r="H109" s="20" t="n">
        <v>99.78</v>
      </c>
    </row>
    <row r="110" customFormat="false" ht="15" hidden="false" customHeight="false" outlineLevel="0" collapsed="false">
      <c r="A110" s="8" t="s">
        <v>830</v>
      </c>
      <c r="B110" s="10" t="n">
        <v>46053</v>
      </c>
      <c r="C110" s="8" t="s">
        <v>166</v>
      </c>
      <c r="D110" s="8" t="s">
        <v>698</v>
      </c>
      <c r="E110" s="8" t="s">
        <v>729</v>
      </c>
      <c r="F110" s="9" t="n">
        <v>1</v>
      </c>
      <c r="G110" s="20" t="n">
        <v>142.63</v>
      </c>
      <c r="H110" s="20" t="n">
        <v>142.63</v>
      </c>
    </row>
    <row r="111" customFormat="false" ht="15" hidden="false" customHeight="false" outlineLevel="0" collapsed="false">
      <c r="A111" s="8" t="s">
        <v>831</v>
      </c>
      <c r="B111" s="10" t="n">
        <v>46063</v>
      </c>
      <c r="C111" s="8" t="s">
        <v>646</v>
      </c>
      <c r="D111" s="8" t="s">
        <v>698</v>
      </c>
      <c r="E111" s="8" t="s">
        <v>782</v>
      </c>
      <c r="F111" s="9" t="n">
        <v>6</v>
      </c>
      <c r="G111" s="20" t="n">
        <v>71.26</v>
      </c>
      <c r="H111" s="20" t="n">
        <v>427.56</v>
      </c>
    </row>
    <row r="112" customFormat="false" ht="15" hidden="false" customHeight="false" outlineLevel="0" collapsed="false">
      <c r="A112" s="8" t="s">
        <v>832</v>
      </c>
      <c r="B112" s="10" t="n">
        <v>46168</v>
      </c>
      <c r="C112" s="8" t="s">
        <v>323</v>
      </c>
      <c r="D112" s="8" t="s">
        <v>703</v>
      </c>
      <c r="E112" s="8" t="s">
        <v>704</v>
      </c>
      <c r="F112" s="9" t="n">
        <v>5</v>
      </c>
      <c r="G112" s="20" t="n">
        <v>252.05</v>
      </c>
      <c r="H112" s="20" t="n">
        <v>1260.25</v>
      </c>
    </row>
    <row r="113" customFormat="false" ht="15" hidden="false" customHeight="false" outlineLevel="0" collapsed="false">
      <c r="A113" s="8" t="s">
        <v>833</v>
      </c>
      <c r="B113" s="10" t="n">
        <v>46175</v>
      </c>
      <c r="C113" s="8" t="s">
        <v>52</v>
      </c>
      <c r="D113" s="8" t="s">
        <v>698</v>
      </c>
      <c r="E113" s="8" t="s">
        <v>699</v>
      </c>
      <c r="F113" s="9" t="n">
        <v>8</v>
      </c>
      <c r="G113" s="20" t="n">
        <v>14.33</v>
      </c>
      <c r="H113" s="20" t="n">
        <v>114.64</v>
      </c>
    </row>
    <row r="114" customFormat="false" ht="15" hidden="false" customHeight="false" outlineLevel="0" collapsed="false">
      <c r="A114" s="8" t="s">
        <v>834</v>
      </c>
      <c r="B114" s="10" t="n">
        <v>46185</v>
      </c>
      <c r="C114" s="8" t="s">
        <v>154</v>
      </c>
      <c r="D114" s="8" t="s">
        <v>703</v>
      </c>
      <c r="E114" s="8" t="s">
        <v>778</v>
      </c>
      <c r="F114" s="9" t="n">
        <v>4</v>
      </c>
      <c r="G114" s="20" t="n">
        <v>55.47</v>
      </c>
      <c r="H114" s="20" t="n">
        <v>221.88</v>
      </c>
    </row>
    <row r="115" customFormat="false" ht="15" hidden="false" customHeight="false" outlineLevel="0" collapsed="false">
      <c r="A115" s="8" t="s">
        <v>835</v>
      </c>
      <c r="B115" s="10" t="n">
        <v>46087</v>
      </c>
      <c r="C115" s="8" t="s">
        <v>52</v>
      </c>
      <c r="D115" s="8" t="s">
        <v>698</v>
      </c>
      <c r="E115" s="8" t="s">
        <v>699</v>
      </c>
      <c r="F115" s="9" t="n">
        <v>2</v>
      </c>
      <c r="G115" s="20" t="n">
        <v>14.28</v>
      </c>
      <c r="H115" s="20" t="n">
        <v>28.56</v>
      </c>
    </row>
    <row r="116" customFormat="false" ht="15" hidden="false" customHeight="false" outlineLevel="0" collapsed="false">
      <c r="A116" s="8" t="s">
        <v>836</v>
      </c>
      <c r="B116" s="10" t="n">
        <v>45911</v>
      </c>
      <c r="C116" s="8" t="s">
        <v>390</v>
      </c>
      <c r="D116" s="8" t="s">
        <v>698</v>
      </c>
      <c r="E116" s="8" t="s">
        <v>708</v>
      </c>
      <c r="F116" s="9" t="n">
        <v>3</v>
      </c>
      <c r="G116" s="20" t="n">
        <v>9.93</v>
      </c>
      <c r="H116" s="20" t="n">
        <v>29.79</v>
      </c>
    </row>
    <row r="117" customFormat="false" ht="15" hidden="false" customHeight="false" outlineLevel="0" collapsed="false">
      <c r="A117" s="8" t="s">
        <v>837</v>
      </c>
      <c r="B117" s="10" t="n">
        <v>46005</v>
      </c>
      <c r="C117" s="8" t="s">
        <v>154</v>
      </c>
      <c r="D117" s="8" t="s">
        <v>698</v>
      </c>
      <c r="E117" s="8" t="s">
        <v>750</v>
      </c>
      <c r="F117" s="9" t="n">
        <v>5</v>
      </c>
      <c r="G117" s="20" t="n">
        <v>26.86</v>
      </c>
      <c r="H117" s="20" t="n">
        <v>134.3</v>
      </c>
    </row>
    <row r="118" customFormat="false" ht="15" hidden="false" customHeight="false" outlineLevel="0" collapsed="false">
      <c r="A118" s="8" t="s">
        <v>838</v>
      </c>
      <c r="B118" s="10" t="n">
        <v>46191</v>
      </c>
      <c r="C118" s="8" t="s">
        <v>650</v>
      </c>
      <c r="D118" s="8" t="s">
        <v>698</v>
      </c>
      <c r="E118" s="8" t="s">
        <v>800</v>
      </c>
      <c r="F118" s="9" t="n">
        <v>3</v>
      </c>
      <c r="G118" s="20" t="n">
        <v>28.01</v>
      </c>
      <c r="H118" s="20" t="n">
        <v>84.03</v>
      </c>
    </row>
    <row r="119" customFormat="false" ht="15" hidden="false" customHeight="false" outlineLevel="0" collapsed="false">
      <c r="A119" s="8" t="s">
        <v>839</v>
      </c>
      <c r="B119" s="10" t="n">
        <v>46192</v>
      </c>
      <c r="C119" s="8" t="s">
        <v>166</v>
      </c>
      <c r="D119" s="8" t="s">
        <v>698</v>
      </c>
      <c r="E119" s="8" t="s">
        <v>729</v>
      </c>
      <c r="F119" s="9" t="n">
        <v>2</v>
      </c>
      <c r="G119" s="20" t="n">
        <v>148.63</v>
      </c>
      <c r="H119" s="20" t="n">
        <v>297.26</v>
      </c>
    </row>
    <row r="120" customFormat="false" ht="15" hidden="false" customHeight="false" outlineLevel="0" collapsed="false">
      <c r="A120" s="8" t="s">
        <v>840</v>
      </c>
      <c r="B120" s="10" t="n">
        <v>46014</v>
      </c>
      <c r="C120" s="8" t="s">
        <v>214</v>
      </c>
      <c r="D120" s="8" t="s">
        <v>698</v>
      </c>
      <c r="E120" s="8" t="s">
        <v>701</v>
      </c>
      <c r="F120" s="9" t="n">
        <v>2</v>
      </c>
      <c r="G120" s="20" t="n">
        <v>21.31</v>
      </c>
      <c r="H120" s="20" t="n">
        <v>42.62</v>
      </c>
    </row>
    <row r="121" customFormat="false" ht="15" hidden="false" customHeight="false" outlineLevel="0" collapsed="false">
      <c r="A121" s="8" t="s">
        <v>841</v>
      </c>
      <c r="B121" s="10" t="n">
        <v>46226</v>
      </c>
      <c r="C121" s="8" t="s">
        <v>390</v>
      </c>
      <c r="D121" s="8" t="s">
        <v>698</v>
      </c>
      <c r="E121" s="8" t="s">
        <v>708</v>
      </c>
      <c r="F121" s="9" t="n">
        <v>3</v>
      </c>
      <c r="G121" s="20" t="n">
        <v>9.93</v>
      </c>
      <c r="H121" s="20" t="n">
        <v>29.79</v>
      </c>
    </row>
    <row r="122" customFormat="false" ht="15" hidden="false" customHeight="false" outlineLevel="0" collapsed="false">
      <c r="A122" s="8" t="s">
        <v>842</v>
      </c>
      <c r="B122" s="10" t="n">
        <v>46191</v>
      </c>
      <c r="C122" s="8" t="s">
        <v>323</v>
      </c>
      <c r="D122" s="8" t="s">
        <v>698</v>
      </c>
      <c r="E122" s="8" t="s">
        <v>804</v>
      </c>
      <c r="F122" s="9" t="n">
        <v>1</v>
      </c>
      <c r="G122" s="20" t="n">
        <v>92.46</v>
      </c>
      <c r="H122" s="20" t="n">
        <v>92.46</v>
      </c>
    </row>
    <row r="123" customFormat="false" ht="15" hidden="false" customHeight="false" outlineLevel="0" collapsed="false">
      <c r="A123" s="8" t="s">
        <v>843</v>
      </c>
      <c r="B123" s="10" t="n">
        <v>45965</v>
      </c>
      <c r="C123" s="8" t="s">
        <v>214</v>
      </c>
      <c r="D123" s="8" t="s">
        <v>698</v>
      </c>
      <c r="E123" s="8" t="s">
        <v>701</v>
      </c>
      <c r="F123" s="9" t="n">
        <v>1</v>
      </c>
      <c r="G123" s="20" t="n">
        <v>20.69</v>
      </c>
      <c r="H123" s="20" t="n">
        <v>20.69</v>
      </c>
    </row>
    <row r="124" customFormat="false" ht="15" hidden="false" customHeight="false" outlineLevel="0" collapsed="false">
      <c r="A124" s="8" t="s">
        <v>844</v>
      </c>
      <c r="B124" s="10" t="n">
        <v>46083</v>
      </c>
      <c r="C124" s="8" t="s">
        <v>214</v>
      </c>
      <c r="D124" s="8" t="s">
        <v>698</v>
      </c>
      <c r="E124" s="8" t="s">
        <v>701</v>
      </c>
      <c r="F124" s="9" t="n">
        <v>4</v>
      </c>
      <c r="G124" s="20" t="n">
        <v>19.27</v>
      </c>
      <c r="H124" s="20" t="n">
        <v>77.08</v>
      </c>
    </row>
    <row r="125" customFormat="false" ht="15" hidden="false" customHeight="false" outlineLevel="0" collapsed="false">
      <c r="A125" s="8" t="s">
        <v>845</v>
      </c>
      <c r="B125" s="10" t="n">
        <v>45966</v>
      </c>
      <c r="C125" s="8" t="s">
        <v>166</v>
      </c>
      <c r="D125" s="8" t="s">
        <v>703</v>
      </c>
      <c r="E125" s="8" t="s">
        <v>774</v>
      </c>
      <c r="F125" s="9" t="n">
        <v>4</v>
      </c>
      <c r="G125" s="20" t="n">
        <v>403.73</v>
      </c>
      <c r="H125" s="20" t="n">
        <v>1614.92</v>
      </c>
    </row>
    <row r="126" customFormat="false" ht="15" hidden="false" customHeight="false" outlineLevel="0" collapsed="false">
      <c r="A126" s="8" t="s">
        <v>846</v>
      </c>
      <c r="B126" s="10" t="n">
        <v>46172</v>
      </c>
      <c r="C126" s="8" t="s">
        <v>262</v>
      </c>
      <c r="D126" s="8" t="s">
        <v>698</v>
      </c>
      <c r="E126" s="8" t="s">
        <v>737</v>
      </c>
      <c r="F126" s="9" t="n">
        <v>3</v>
      </c>
      <c r="G126" s="20" t="n">
        <v>12.37</v>
      </c>
      <c r="H126" s="20" t="n">
        <v>37.11</v>
      </c>
    </row>
    <row r="127" customFormat="false" ht="15" hidden="false" customHeight="false" outlineLevel="0" collapsed="false">
      <c r="A127" s="8" t="s">
        <v>847</v>
      </c>
      <c r="B127" s="10" t="n">
        <v>46209</v>
      </c>
      <c r="C127" s="8" t="s">
        <v>166</v>
      </c>
      <c r="D127" s="8" t="s">
        <v>698</v>
      </c>
      <c r="E127" s="8" t="s">
        <v>729</v>
      </c>
      <c r="F127" s="9" t="n">
        <v>5</v>
      </c>
      <c r="G127" s="20" t="n">
        <v>150.75</v>
      </c>
      <c r="H127" s="20" t="n">
        <v>753.75</v>
      </c>
    </row>
    <row r="128" customFormat="false" ht="15" hidden="false" customHeight="false" outlineLevel="0" collapsed="false">
      <c r="A128" s="8" t="s">
        <v>848</v>
      </c>
      <c r="B128" s="10" t="n">
        <v>45970</v>
      </c>
      <c r="C128" s="8" t="s">
        <v>145</v>
      </c>
      <c r="D128" s="8" t="s">
        <v>698</v>
      </c>
      <c r="E128" s="8" t="s">
        <v>754</v>
      </c>
      <c r="F128" s="9" t="n">
        <v>5</v>
      </c>
      <c r="G128" s="20" t="n">
        <v>95.8</v>
      </c>
      <c r="H128" s="20" t="n">
        <v>479</v>
      </c>
    </row>
    <row r="129" customFormat="false" ht="15" hidden="false" customHeight="false" outlineLevel="0" collapsed="false">
      <c r="A129" s="8" t="s">
        <v>849</v>
      </c>
      <c r="B129" s="10" t="n">
        <v>46265</v>
      </c>
      <c r="C129" s="8" t="s">
        <v>214</v>
      </c>
      <c r="D129" s="8" t="s">
        <v>698</v>
      </c>
      <c r="E129" s="8" t="s">
        <v>701</v>
      </c>
      <c r="F129" s="9" t="n">
        <v>4</v>
      </c>
      <c r="G129" s="20" t="n">
        <v>19.88</v>
      </c>
      <c r="H129" s="20" t="n">
        <v>79.52</v>
      </c>
    </row>
    <row r="130" customFormat="false" ht="15" hidden="false" customHeight="false" outlineLevel="0" collapsed="false">
      <c r="A130" s="8" t="s">
        <v>850</v>
      </c>
      <c r="B130" s="10" t="n">
        <v>46223</v>
      </c>
      <c r="C130" s="8" t="s">
        <v>390</v>
      </c>
      <c r="D130" s="8" t="s">
        <v>698</v>
      </c>
      <c r="E130" s="8" t="s">
        <v>708</v>
      </c>
      <c r="F130" s="9" t="n">
        <v>6</v>
      </c>
      <c r="G130" s="20" t="n">
        <v>10.25</v>
      </c>
      <c r="H130" s="20" t="n">
        <v>61.5</v>
      </c>
    </row>
    <row r="131" customFormat="false" ht="15" hidden="false" customHeight="false" outlineLevel="0" collapsed="false">
      <c r="A131" s="8" t="s">
        <v>851</v>
      </c>
      <c r="B131" s="10" t="n">
        <v>46076</v>
      </c>
      <c r="C131" s="8" t="s">
        <v>166</v>
      </c>
      <c r="D131" s="8" t="s">
        <v>703</v>
      </c>
      <c r="E131" s="8" t="s">
        <v>774</v>
      </c>
      <c r="F131" s="9" t="n">
        <v>1</v>
      </c>
      <c r="G131" s="20" t="n">
        <v>350.72</v>
      </c>
      <c r="H131" s="20" t="n">
        <v>350.72</v>
      </c>
    </row>
    <row r="132" customFormat="false" ht="15" hidden="false" customHeight="false" outlineLevel="0" collapsed="false">
      <c r="A132" s="8" t="s">
        <v>852</v>
      </c>
      <c r="B132" s="10" t="n">
        <v>45975</v>
      </c>
      <c r="C132" s="8" t="s">
        <v>115</v>
      </c>
      <c r="D132" s="8" t="s">
        <v>703</v>
      </c>
      <c r="E132" s="8" t="s">
        <v>772</v>
      </c>
      <c r="F132" s="9" t="n">
        <v>2</v>
      </c>
      <c r="G132" s="20" t="n">
        <v>116.22</v>
      </c>
      <c r="H132" s="20" t="n">
        <v>232.44</v>
      </c>
    </row>
    <row r="133" customFormat="false" ht="15" hidden="false" customHeight="false" outlineLevel="0" collapsed="false">
      <c r="A133" s="8" t="s">
        <v>853</v>
      </c>
      <c r="B133" s="10" t="n">
        <v>46147</v>
      </c>
      <c r="C133" s="8" t="s">
        <v>69</v>
      </c>
      <c r="D133" s="8" t="s">
        <v>703</v>
      </c>
      <c r="E133" s="8" t="s">
        <v>734</v>
      </c>
      <c r="F133" s="9" t="n">
        <v>2</v>
      </c>
      <c r="G133" s="20" t="n">
        <v>38.62</v>
      </c>
      <c r="H133" s="20" t="n">
        <v>77.24</v>
      </c>
    </row>
    <row r="134" customFormat="false" ht="15" hidden="false" customHeight="false" outlineLevel="0" collapsed="false">
      <c r="A134" s="8" t="s">
        <v>854</v>
      </c>
      <c r="B134" s="10" t="n">
        <v>46209</v>
      </c>
      <c r="C134" s="8" t="s">
        <v>115</v>
      </c>
      <c r="D134" s="8" t="s">
        <v>703</v>
      </c>
      <c r="E134" s="8" t="s">
        <v>772</v>
      </c>
      <c r="F134" s="9" t="n">
        <v>7</v>
      </c>
      <c r="G134" s="20" t="n">
        <v>103.1</v>
      </c>
      <c r="H134" s="20" t="n">
        <v>721.7</v>
      </c>
    </row>
    <row r="135" customFormat="false" ht="15" hidden="false" customHeight="false" outlineLevel="0" collapsed="false">
      <c r="A135" s="8" t="s">
        <v>855</v>
      </c>
      <c r="B135" s="10" t="n">
        <v>46170</v>
      </c>
      <c r="C135" s="8" t="s">
        <v>52</v>
      </c>
      <c r="D135" s="8" t="s">
        <v>703</v>
      </c>
      <c r="E135" s="8" t="s">
        <v>720</v>
      </c>
      <c r="F135" s="9" t="n">
        <v>1</v>
      </c>
      <c r="G135" s="20" t="n">
        <v>33.79</v>
      </c>
      <c r="H135" s="20" t="n">
        <v>33.79</v>
      </c>
    </row>
    <row r="136" customFormat="false" ht="15" hidden="false" customHeight="false" outlineLevel="0" collapsed="false">
      <c r="A136" s="8" t="s">
        <v>856</v>
      </c>
      <c r="B136" s="10" t="n">
        <v>46133</v>
      </c>
      <c r="C136" s="8" t="s">
        <v>52</v>
      </c>
      <c r="D136" s="8" t="s">
        <v>703</v>
      </c>
      <c r="E136" s="8" t="s">
        <v>720</v>
      </c>
      <c r="F136" s="9" t="n">
        <v>8</v>
      </c>
      <c r="G136" s="20" t="n">
        <v>34.2</v>
      </c>
      <c r="H136" s="20" t="n">
        <v>273.6</v>
      </c>
    </row>
    <row r="137" customFormat="false" ht="15" hidden="false" customHeight="false" outlineLevel="0" collapsed="false">
      <c r="A137" s="8" t="s">
        <v>857</v>
      </c>
      <c r="B137" s="10" t="n">
        <v>46159</v>
      </c>
      <c r="C137" s="8" t="s">
        <v>650</v>
      </c>
      <c r="D137" s="8" t="s">
        <v>703</v>
      </c>
      <c r="E137" s="8" t="s">
        <v>858</v>
      </c>
      <c r="F137" s="9" t="n">
        <v>4</v>
      </c>
      <c r="G137" s="20" t="n">
        <v>66.14</v>
      </c>
      <c r="H137" s="20" t="n">
        <v>264.56</v>
      </c>
    </row>
    <row r="138" customFormat="false" ht="15" hidden="false" customHeight="false" outlineLevel="0" collapsed="false">
      <c r="A138" s="8" t="s">
        <v>859</v>
      </c>
      <c r="B138" s="10" t="n">
        <v>46145</v>
      </c>
      <c r="C138" s="8" t="s">
        <v>115</v>
      </c>
      <c r="D138" s="8" t="s">
        <v>698</v>
      </c>
      <c r="E138" s="8" t="s">
        <v>821</v>
      </c>
      <c r="F138" s="9" t="n">
        <v>3</v>
      </c>
      <c r="G138" s="20" t="n">
        <v>41.47</v>
      </c>
      <c r="H138" s="20" t="n">
        <v>124.41</v>
      </c>
    </row>
    <row r="139" customFormat="false" ht="15" hidden="false" customHeight="false" outlineLevel="0" collapsed="false">
      <c r="A139" s="8" t="s">
        <v>860</v>
      </c>
      <c r="B139" s="10" t="n">
        <v>46034</v>
      </c>
      <c r="C139" s="8" t="s">
        <v>69</v>
      </c>
      <c r="D139" s="8" t="s">
        <v>703</v>
      </c>
      <c r="E139" s="8" t="s">
        <v>734</v>
      </c>
      <c r="F139" s="9" t="n">
        <v>4</v>
      </c>
      <c r="G139" s="20" t="n">
        <v>38.43</v>
      </c>
      <c r="H139" s="20" t="n">
        <v>153.72</v>
      </c>
    </row>
    <row r="140" customFormat="false" ht="15" hidden="false" customHeight="false" outlineLevel="0" collapsed="false">
      <c r="A140" s="8" t="s">
        <v>861</v>
      </c>
      <c r="B140" s="10" t="n">
        <v>46166</v>
      </c>
      <c r="C140" s="8" t="s">
        <v>394</v>
      </c>
      <c r="D140" s="8" t="s">
        <v>698</v>
      </c>
      <c r="E140" s="8" t="s">
        <v>776</v>
      </c>
      <c r="F140" s="9" t="n">
        <v>5</v>
      </c>
      <c r="G140" s="20" t="n">
        <v>22.98</v>
      </c>
      <c r="H140" s="20" t="n">
        <v>114.9</v>
      </c>
    </row>
    <row r="141" customFormat="false" ht="15" hidden="false" customHeight="false" outlineLevel="0" collapsed="false">
      <c r="A141" s="8" t="s">
        <v>862</v>
      </c>
      <c r="B141" s="10" t="n">
        <v>45963</v>
      </c>
      <c r="C141" s="8" t="s">
        <v>145</v>
      </c>
      <c r="D141" s="8" t="s">
        <v>703</v>
      </c>
      <c r="E141" s="8" t="s">
        <v>706</v>
      </c>
      <c r="F141" s="9" t="n">
        <v>1</v>
      </c>
      <c r="G141" s="20" t="n">
        <v>225.56</v>
      </c>
      <c r="H141" s="20" t="n">
        <v>225.56</v>
      </c>
    </row>
    <row r="142" customFormat="false" ht="15" hidden="false" customHeight="false" outlineLevel="0" collapsed="false">
      <c r="A142" s="8" t="s">
        <v>863</v>
      </c>
      <c r="B142" s="10" t="n">
        <v>46170</v>
      </c>
      <c r="C142" s="8" t="s">
        <v>52</v>
      </c>
      <c r="D142" s="8" t="s">
        <v>698</v>
      </c>
      <c r="E142" s="8" t="s">
        <v>699</v>
      </c>
      <c r="F142" s="9" t="n">
        <v>4</v>
      </c>
      <c r="G142" s="20" t="n">
        <v>14.82</v>
      </c>
      <c r="H142" s="20" t="n">
        <v>59.28</v>
      </c>
    </row>
    <row r="143" customFormat="false" ht="15" hidden="false" customHeight="false" outlineLevel="0" collapsed="false">
      <c r="A143" s="8" t="s">
        <v>864</v>
      </c>
      <c r="B143" s="10" t="n">
        <v>46215</v>
      </c>
      <c r="C143" s="8" t="s">
        <v>145</v>
      </c>
      <c r="D143" s="8" t="s">
        <v>698</v>
      </c>
      <c r="E143" s="8" t="s">
        <v>754</v>
      </c>
      <c r="F143" s="9" t="n">
        <v>3</v>
      </c>
      <c r="G143" s="20" t="n">
        <v>96.4</v>
      </c>
      <c r="H143" s="20" t="n">
        <v>289.2</v>
      </c>
    </row>
    <row r="144" customFormat="false" ht="15" hidden="false" customHeight="false" outlineLevel="0" collapsed="false">
      <c r="A144" s="8" t="s">
        <v>865</v>
      </c>
      <c r="B144" s="10" t="n">
        <v>46012</v>
      </c>
      <c r="C144" s="8" t="s">
        <v>52</v>
      </c>
      <c r="D144" s="8" t="s">
        <v>698</v>
      </c>
      <c r="E144" s="8" t="s">
        <v>699</v>
      </c>
      <c r="F144" s="9" t="n">
        <v>4</v>
      </c>
      <c r="G144" s="20" t="n">
        <v>13.92</v>
      </c>
      <c r="H144" s="20" t="n">
        <v>55.68</v>
      </c>
    </row>
    <row r="145" customFormat="false" ht="15" hidden="false" customHeight="false" outlineLevel="0" collapsed="false">
      <c r="A145" s="8" t="s">
        <v>866</v>
      </c>
      <c r="B145" s="10" t="n">
        <v>46087</v>
      </c>
      <c r="C145" s="8" t="s">
        <v>214</v>
      </c>
      <c r="D145" s="8" t="s">
        <v>703</v>
      </c>
      <c r="E145" s="8" t="s">
        <v>715</v>
      </c>
      <c r="F145" s="9" t="n">
        <v>2</v>
      </c>
      <c r="G145" s="20" t="n">
        <v>45.34</v>
      </c>
      <c r="H145" s="20" t="n">
        <v>90.68</v>
      </c>
    </row>
    <row r="146" customFormat="false" ht="15" hidden="false" customHeight="false" outlineLevel="0" collapsed="false">
      <c r="A146" s="8" t="s">
        <v>867</v>
      </c>
      <c r="B146" s="10" t="n">
        <v>46031</v>
      </c>
      <c r="C146" s="8" t="s">
        <v>166</v>
      </c>
      <c r="D146" s="8" t="s">
        <v>698</v>
      </c>
      <c r="E146" s="8" t="s">
        <v>729</v>
      </c>
      <c r="F146" s="9" t="n">
        <v>1</v>
      </c>
      <c r="G146" s="20" t="n">
        <v>138.55</v>
      </c>
      <c r="H146" s="20" t="n">
        <v>138.55</v>
      </c>
    </row>
    <row r="147" customFormat="false" ht="15" hidden="false" customHeight="false" outlineLevel="0" collapsed="false">
      <c r="A147" s="8" t="s">
        <v>868</v>
      </c>
      <c r="B147" s="10" t="n">
        <v>46127</v>
      </c>
      <c r="C147" s="8" t="s">
        <v>262</v>
      </c>
      <c r="D147" s="8" t="s">
        <v>698</v>
      </c>
      <c r="E147" s="8" t="s">
        <v>737</v>
      </c>
      <c r="F147" s="9" t="n">
        <v>1</v>
      </c>
      <c r="G147" s="20" t="n">
        <v>11.61</v>
      </c>
      <c r="H147" s="20" t="n">
        <v>11.61</v>
      </c>
    </row>
    <row r="148" customFormat="false" ht="15" hidden="false" customHeight="false" outlineLevel="0" collapsed="false">
      <c r="A148" s="8" t="s">
        <v>869</v>
      </c>
      <c r="B148" s="10" t="n">
        <v>46044</v>
      </c>
      <c r="C148" s="8" t="s">
        <v>145</v>
      </c>
      <c r="D148" s="8" t="s">
        <v>703</v>
      </c>
      <c r="E148" s="8" t="s">
        <v>706</v>
      </c>
      <c r="F148" s="9" t="n">
        <v>3</v>
      </c>
      <c r="G148" s="20" t="n">
        <v>210.53</v>
      </c>
      <c r="H148" s="20" t="n">
        <v>631.59</v>
      </c>
    </row>
    <row r="149" customFormat="false" ht="15" hidden="false" customHeight="false" outlineLevel="0" collapsed="false">
      <c r="A149" s="8" t="s">
        <v>870</v>
      </c>
      <c r="B149" s="10" t="n">
        <v>45966</v>
      </c>
      <c r="C149" s="8" t="s">
        <v>69</v>
      </c>
      <c r="D149" s="8" t="s">
        <v>703</v>
      </c>
      <c r="E149" s="8" t="s">
        <v>734</v>
      </c>
      <c r="F149" s="9" t="n">
        <v>1</v>
      </c>
      <c r="G149" s="20" t="n">
        <v>39</v>
      </c>
      <c r="H149" s="20" t="n">
        <v>39</v>
      </c>
    </row>
    <row r="150" customFormat="false" ht="15" hidden="false" customHeight="false" outlineLevel="0" collapsed="false">
      <c r="A150" s="8" t="s">
        <v>871</v>
      </c>
      <c r="B150" s="10" t="n">
        <v>45924</v>
      </c>
      <c r="C150" s="8" t="s">
        <v>115</v>
      </c>
      <c r="D150" s="8" t="s">
        <v>698</v>
      </c>
      <c r="E150" s="8" t="s">
        <v>821</v>
      </c>
      <c r="F150" s="9" t="n">
        <v>3</v>
      </c>
      <c r="G150" s="20" t="n">
        <v>41.55</v>
      </c>
      <c r="H150" s="20" t="n">
        <v>124.65</v>
      </c>
    </row>
    <row r="151" customFormat="false" ht="15" hidden="false" customHeight="false" outlineLevel="0" collapsed="false">
      <c r="A151" s="8" t="s">
        <v>872</v>
      </c>
      <c r="B151" s="10" t="n">
        <v>45962</v>
      </c>
      <c r="C151" s="8" t="s">
        <v>69</v>
      </c>
      <c r="D151" s="8" t="s">
        <v>698</v>
      </c>
      <c r="E151" s="8" t="s">
        <v>713</v>
      </c>
      <c r="F151" s="9" t="n">
        <v>2</v>
      </c>
      <c r="G151" s="20" t="n">
        <v>17.68</v>
      </c>
      <c r="H151" s="20" t="n">
        <v>35.36</v>
      </c>
    </row>
    <row r="152" customFormat="false" ht="15" hidden="false" customHeight="false" outlineLevel="0" collapsed="false">
      <c r="A152" s="8" t="s">
        <v>873</v>
      </c>
      <c r="B152" s="10" t="n">
        <v>46158</v>
      </c>
      <c r="C152" s="8" t="s">
        <v>390</v>
      </c>
      <c r="D152" s="8" t="s">
        <v>698</v>
      </c>
      <c r="E152" s="8" t="s">
        <v>708</v>
      </c>
      <c r="F152" s="9" t="n">
        <v>5</v>
      </c>
      <c r="G152" s="20" t="n">
        <v>9.52</v>
      </c>
      <c r="H152" s="20" t="n">
        <v>47.6</v>
      </c>
    </row>
    <row r="153" customFormat="false" ht="15" hidden="false" customHeight="false" outlineLevel="0" collapsed="false">
      <c r="A153" s="8" t="s">
        <v>874</v>
      </c>
      <c r="B153" s="10" t="n">
        <v>46237</v>
      </c>
      <c r="C153" s="8" t="s">
        <v>214</v>
      </c>
      <c r="D153" s="8" t="s">
        <v>698</v>
      </c>
      <c r="E153" s="8" t="s">
        <v>701</v>
      </c>
      <c r="F153" s="9" t="n">
        <v>1</v>
      </c>
      <c r="G153" s="20" t="n">
        <v>19.72</v>
      </c>
      <c r="H153" s="20" t="n">
        <v>19.72</v>
      </c>
    </row>
    <row r="154" customFormat="false" ht="15" hidden="false" customHeight="false" outlineLevel="0" collapsed="false">
      <c r="A154" s="8" t="s">
        <v>875</v>
      </c>
      <c r="B154" s="10" t="n">
        <v>46116</v>
      </c>
      <c r="C154" s="8" t="s">
        <v>214</v>
      </c>
      <c r="D154" s="8" t="s">
        <v>703</v>
      </c>
      <c r="E154" s="8" t="s">
        <v>715</v>
      </c>
      <c r="F154" s="9" t="n">
        <v>2</v>
      </c>
      <c r="G154" s="20" t="n">
        <v>44.95</v>
      </c>
      <c r="H154" s="20" t="n">
        <v>89.9</v>
      </c>
    </row>
    <row r="155" customFormat="false" ht="15" hidden="false" customHeight="false" outlineLevel="0" collapsed="false">
      <c r="A155" s="8" t="s">
        <v>876</v>
      </c>
      <c r="B155" s="10" t="n">
        <v>46127</v>
      </c>
      <c r="C155" s="8" t="s">
        <v>277</v>
      </c>
      <c r="D155" s="8" t="s">
        <v>698</v>
      </c>
      <c r="E155" s="8" t="s">
        <v>710</v>
      </c>
      <c r="F155" s="9" t="n">
        <v>1</v>
      </c>
      <c r="G155" s="20" t="n">
        <v>64.09</v>
      </c>
      <c r="H155" s="20" t="n">
        <v>64.09</v>
      </c>
    </row>
    <row r="156" customFormat="false" ht="15" hidden="false" customHeight="false" outlineLevel="0" collapsed="false">
      <c r="A156" s="8" t="s">
        <v>877</v>
      </c>
      <c r="B156" s="10" t="n">
        <v>45973</v>
      </c>
      <c r="C156" s="8" t="s">
        <v>145</v>
      </c>
      <c r="D156" s="8" t="s">
        <v>703</v>
      </c>
      <c r="E156" s="8" t="s">
        <v>706</v>
      </c>
      <c r="F156" s="9" t="n">
        <v>3</v>
      </c>
      <c r="G156" s="20" t="n">
        <v>231.53</v>
      </c>
      <c r="H156" s="20" t="n">
        <v>694.59</v>
      </c>
    </row>
    <row r="157" customFormat="false" ht="15" hidden="false" customHeight="false" outlineLevel="0" collapsed="false">
      <c r="A157" s="8" t="s">
        <v>878</v>
      </c>
      <c r="B157" s="10" t="n">
        <v>46121</v>
      </c>
      <c r="C157" s="8" t="s">
        <v>154</v>
      </c>
      <c r="D157" s="8" t="s">
        <v>698</v>
      </c>
      <c r="E157" s="8" t="s">
        <v>750</v>
      </c>
      <c r="F157" s="9" t="n">
        <v>4</v>
      </c>
      <c r="G157" s="20" t="n">
        <v>24.36</v>
      </c>
      <c r="H157" s="20" t="n">
        <v>97.44</v>
      </c>
    </row>
    <row r="158" customFormat="false" ht="15" hidden="false" customHeight="false" outlineLevel="0" collapsed="false">
      <c r="A158" s="8" t="s">
        <v>879</v>
      </c>
      <c r="B158" s="10" t="n">
        <v>46204</v>
      </c>
      <c r="C158" s="8" t="s">
        <v>390</v>
      </c>
      <c r="D158" s="8" t="s">
        <v>703</v>
      </c>
      <c r="E158" s="8" t="s">
        <v>785</v>
      </c>
      <c r="F158" s="9" t="n">
        <v>4</v>
      </c>
      <c r="G158" s="20" t="n">
        <v>26.3</v>
      </c>
      <c r="H158" s="20" t="n">
        <v>105.2</v>
      </c>
    </row>
    <row r="159" customFormat="false" ht="15" hidden="false" customHeight="false" outlineLevel="0" collapsed="false">
      <c r="A159" s="8" t="s">
        <v>880</v>
      </c>
      <c r="B159" s="10" t="n">
        <v>46037</v>
      </c>
      <c r="C159" s="8" t="s">
        <v>115</v>
      </c>
      <c r="D159" s="8" t="s">
        <v>703</v>
      </c>
      <c r="E159" s="8" t="s">
        <v>772</v>
      </c>
      <c r="F159" s="9" t="n">
        <v>2</v>
      </c>
      <c r="G159" s="20" t="n">
        <v>106.54</v>
      </c>
      <c r="H159" s="20" t="n">
        <v>213.08</v>
      </c>
    </row>
    <row r="160" customFormat="false" ht="15" hidden="false" customHeight="false" outlineLevel="0" collapsed="false">
      <c r="A160" s="8" t="s">
        <v>881</v>
      </c>
      <c r="B160" s="10" t="n">
        <v>46219</v>
      </c>
      <c r="C160" s="8" t="s">
        <v>390</v>
      </c>
      <c r="D160" s="8" t="s">
        <v>698</v>
      </c>
      <c r="E160" s="8" t="s">
        <v>708</v>
      </c>
      <c r="F160" s="9" t="n">
        <v>6</v>
      </c>
      <c r="G160" s="20" t="n">
        <v>10.38</v>
      </c>
      <c r="H160" s="20" t="n">
        <v>62.28</v>
      </c>
    </row>
    <row r="161" customFormat="false" ht="15" hidden="false" customHeight="false" outlineLevel="0" collapsed="false">
      <c r="A161" s="8" t="s">
        <v>882</v>
      </c>
      <c r="B161" s="10" t="n">
        <v>46025</v>
      </c>
      <c r="C161" s="8" t="s">
        <v>154</v>
      </c>
      <c r="D161" s="8" t="s">
        <v>698</v>
      </c>
      <c r="E161" s="8" t="s">
        <v>750</v>
      </c>
      <c r="F161" s="9" t="n">
        <v>8</v>
      </c>
      <c r="G161" s="20" t="n">
        <v>25.05</v>
      </c>
      <c r="H161" s="20" t="n">
        <v>200.4</v>
      </c>
    </row>
    <row r="162" customFormat="false" ht="15" hidden="false" customHeight="false" outlineLevel="0" collapsed="false">
      <c r="A162" s="8" t="s">
        <v>883</v>
      </c>
      <c r="B162" s="10" t="n">
        <v>46167</v>
      </c>
      <c r="C162" s="8" t="s">
        <v>115</v>
      </c>
      <c r="D162" s="8" t="s">
        <v>698</v>
      </c>
      <c r="E162" s="8" t="s">
        <v>821</v>
      </c>
      <c r="F162" s="9" t="n">
        <v>6</v>
      </c>
      <c r="G162" s="20" t="n">
        <v>45.84</v>
      </c>
      <c r="H162" s="20" t="n">
        <v>275.04</v>
      </c>
    </row>
    <row r="163" customFormat="false" ht="15" hidden="false" customHeight="false" outlineLevel="0" collapsed="false">
      <c r="A163" s="8" t="s">
        <v>884</v>
      </c>
      <c r="B163" s="10" t="n">
        <v>46136</v>
      </c>
      <c r="C163" s="8" t="s">
        <v>277</v>
      </c>
      <c r="D163" s="8" t="s">
        <v>698</v>
      </c>
      <c r="E163" s="8" t="s">
        <v>710</v>
      </c>
      <c r="F163" s="9" t="n">
        <v>5</v>
      </c>
      <c r="G163" s="20" t="n">
        <v>63.49</v>
      </c>
      <c r="H163" s="20" t="n">
        <v>317.45</v>
      </c>
    </row>
    <row r="164" customFormat="false" ht="15" hidden="false" customHeight="false" outlineLevel="0" collapsed="false">
      <c r="A164" s="8" t="s">
        <v>885</v>
      </c>
      <c r="B164" s="10" t="n">
        <v>46133</v>
      </c>
      <c r="C164" s="8" t="s">
        <v>277</v>
      </c>
      <c r="D164" s="8" t="s">
        <v>698</v>
      </c>
      <c r="E164" s="8" t="s">
        <v>710</v>
      </c>
      <c r="F164" s="9" t="n">
        <v>3</v>
      </c>
      <c r="G164" s="20" t="n">
        <v>63.48</v>
      </c>
      <c r="H164" s="20" t="n">
        <v>190.44</v>
      </c>
    </row>
    <row r="165" customFormat="false" ht="15" hidden="false" customHeight="false" outlineLevel="0" collapsed="false">
      <c r="A165" s="8" t="s">
        <v>886</v>
      </c>
      <c r="B165" s="10" t="n">
        <v>45924</v>
      </c>
      <c r="C165" s="8" t="s">
        <v>52</v>
      </c>
      <c r="D165" s="8" t="s">
        <v>698</v>
      </c>
      <c r="E165" s="8" t="s">
        <v>699</v>
      </c>
      <c r="F165" s="9" t="n">
        <v>5</v>
      </c>
      <c r="G165" s="20" t="n">
        <v>14.99</v>
      </c>
      <c r="H165" s="20" t="n">
        <v>74.95</v>
      </c>
    </row>
    <row r="166" customFormat="false" ht="15" hidden="false" customHeight="false" outlineLevel="0" collapsed="false">
      <c r="A166" s="8" t="s">
        <v>887</v>
      </c>
      <c r="B166" s="10" t="n">
        <v>45951</v>
      </c>
      <c r="C166" s="8" t="s">
        <v>69</v>
      </c>
      <c r="D166" s="8" t="s">
        <v>703</v>
      </c>
      <c r="E166" s="8" t="s">
        <v>734</v>
      </c>
      <c r="F166" s="9" t="n">
        <v>7</v>
      </c>
      <c r="G166" s="20" t="n">
        <v>40.13</v>
      </c>
      <c r="H166" s="20" t="n">
        <v>280.91</v>
      </c>
    </row>
    <row r="167" customFormat="false" ht="15" hidden="false" customHeight="false" outlineLevel="0" collapsed="false">
      <c r="A167" s="8" t="s">
        <v>888</v>
      </c>
      <c r="B167" s="10" t="n">
        <v>46230</v>
      </c>
      <c r="C167" s="8" t="s">
        <v>277</v>
      </c>
      <c r="D167" s="8" t="s">
        <v>698</v>
      </c>
      <c r="E167" s="8" t="s">
        <v>710</v>
      </c>
      <c r="F167" s="9" t="n">
        <v>3</v>
      </c>
      <c r="G167" s="20" t="n">
        <v>55.35</v>
      </c>
      <c r="H167" s="20" t="n">
        <v>166.05</v>
      </c>
    </row>
    <row r="168" customFormat="false" ht="15" hidden="false" customHeight="false" outlineLevel="0" collapsed="false">
      <c r="A168" s="8" t="s">
        <v>889</v>
      </c>
      <c r="B168" s="10" t="n">
        <v>46026</v>
      </c>
      <c r="C168" s="8" t="s">
        <v>52</v>
      </c>
      <c r="D168" s="8" t="s">
        <v>703</v>
      </c>
      <c r="E168" s="8" t="s">
        <v>720</v>
      </c>
      <c r="F168" s="9" t="n">
        <v>8</v>
      </c>
      <c r="G168" s="20" t="n">
        <v>35.75</v>
      </c>
      <c r="H168" s="20" t="n">
        <v>286</v>
      </c>
    </row>
    <row r="169" customFormat="false" ht="15" hidden="false" customHeight="false" outlineLevel="0" collapsed="false">
      <c r="A169" s="8" t="s">
        <v>890</v>
      </c>
      <c r="B169" s="10" t="n">
        <v>46241</v>
      </c>
      <c r="C169" s="8" t="s">
        <v>52</v>
      </c>
      <c r="D169" s="8" t="s">
        <v>703</v>
      </c>
      <c r="E169" s="8" t="s">
        <v>720</v>
      </c>
      <c r="F169" s="9" t="n">
        <v>4</v>
      </c>
      <c r="G169" s="20" t="n">
        <v>34.32</v>
      </c>
      <c r="H169" s="20" t="n">
        <v>137.28</v>
      </c>
    </row>
    <row r="170" customFormat="false" ht="15" hidden="false" customHeight="false" outlineLevel="0" collapsed="false">
      <c r="A170" s="8" t="s">
        <v>891</v>
      </c>
      <c r="B170" s="10" t="n">
        <v>46141</v>
      </c>
      <c r="C170" s="8" t="s">
        <v>69</v>
      </c>
      <c r="D170" s="8" t="s">
        <v>703</v>
      </c>
      <c r="E170" s="8" t="s">
        <v>734</v>
      </c>
      <c r="F170" s="9" t="n">
        <v>6</v>
      </c>
      <c r="G170" s="20" t="n">
        <v>39.98</v>
      </c>
      <c r="H170" s="20" t="n">
        <v>239.88</v>
      </c>
    </row>
    <row r="171" customFormat="false" ht="15" hidden="false" customHeight="false" outlineLevel="0" collapsed="false">
      <c r="A171" s="8" t="s">
        <v>892</v>
      </c>
      <c r="B171" s="10" t="n">
        <v>46094</v>
      </c>
      <c r="C171" s="8" t="s">
        <v>277</v>
      </c>
      <c r="D171" s="8" t="s">
        <v>703</v>
      </c>
      <c r="E171" s="8" t="s">
        <v>724</v>
      </c>
      <c r="F171" s="9" t="n">
        <v>2</v>
      </c>
      <c r="G171" s="20" t="n">
        <v>129.68</v>
      </c>
      <c r="H171" s="20" t="n">
        <v>259.36</v>
      </c>
    </row>
    <row r="172" customFormat="false" ht="15" hidden="false" customHeight="false" outlineLevel="0" collapsed="false">
      <c r="A172" s="8" t="s">
        <v>893</v>
      </c>
      <c r="B172" s="10" t="n">
        <v>45901</v>
      </c>
      <c r="C172" s="8" t="s">
        <v>390</v>
      </c>
      <c r="D172" s="8" t="s">
        <v>698</v>
      </c>
      <c r="E172" s="8" t="s">
        <v>708</v>
      </c>
      <c r="F172" s="9" t="n">
        <v>3</v>
      </c>
      <c r="G172" s="20" t="n">
        <v>9.22</v>
      </c>
      <c r="H172" s="20" t="n">
        <v>27.66</v>
      </c>
    </row>
    <row r="173" customFormat="false" ht="15" hidden="false" customHeight="false" outlineLevel="0" collapsed="false">
      <c r="A173" s="8" t="s">
        <v>894</v>
      </c>
      <c r="B173" s="10" t="n">
        <v>46210</v>
      </c>
      <c r="C173" s="8" t="s">
        <v>115</v>
      </c>
      <c r="D173" s="8" t="s">
        <v>703</v>
      </c>
      <c r="E173" s="8" t="s">
        <v>772</v>
      </c>
      <c r="F173" s="9" t="n">
        <v>2</v>
      </c>
      <c r="G173" s="20" t="n">
        <v>115.79</v>
      </c>
      <c r="H173" s="20" t="n">
        <v>231.58</v>
      </c>
    </row>
    <row r="174" customFormat="false" ht="15" hidden="false" customHeight="false" outlineLevel="0" collapsed="false">
      <c r="A174" s="8" t="s">
        <v>895</v>
      </c>
      <c r="B174" s="10" t="n">
        <v>46069</v>
      </c>
      <c r="C174" s="8" t="s">
        <v>115</v>
      </c>
      <c r="D174" s="8" t="s">
        <v>703</v>
      </c>
      <c r="E174" s="8" t="s">
        <v>772</v>
      </c>
      <c r="F174" s="9" t="n">
        <v>1</v>
      </c>
      <c r="G174" s="20" t="n">
        <v>109.2</v>
      </c>
      <c r="H174" s="20" t="n">
        <v>109.2</v>
      </c>
    </row>
    <row r="175" customFormat="false" ht="15" hidden="false" customHeight="false" outlineLevel="0" collapsed="false">
      <c r="A175" s="8" t="s">
        <v>896</v>
      </c>
      <c r="B175" s="10" t="n">
        <v>45909</v>
      </c>
      <c r="C175" s="8" t="s">
        <v>277</v>
      </c>
      <c r="D175" s="8" t="s">
        <v>703</v>
      </c>
      <c r="E175" s="8" t="s">
        <v>724</v>
      </c>
      <c r="F175" s="9" t="n">
        <v>1</v>
      </c>
      <c r="G175" s="20" t="n">
        <v>148.76</v>
      </c>
      <c r="H175" s="20" t="n">
        <v>148.76</v>
      </c>
    </row>
    <row r="176" customFormat="false" ht="15" hidden="false" customHeight="false" outlineLevel="0" collapsed="false">
      <c r="A176" s="8" t="s">
        <v>897</v>
      </c>
      <c r="B176" s="10" t="n">
        <v>46154</v>
      </c>
      <c r="C176" s="8" t="s">
        <v>262</v>
      </c>
      <c r="D176" s="8" t="s">
        <v>698</v>
      </c>
      <c r="E176" s="8" t="s">
        <v>737</v>
      </c>
      <c r="F176" s="9" t="n">
        <v>7</v>
      </c>
      <c r="G176" s="20" t="n">
        <v>12.21</v>
      </c>
      <c r="H176" s="20" t="n">
        <v>85.47</v>
      </c>
    </row>
    <row r="177" customFormat="false" ht="15" hidden="false" customHeight="false" outlineLevel="0" collapsed="false">
      <c r="A177" s="8" t="s">
        <v>898</v>
      </c>
      <c r="B177" s="10" t="n">
        <v>46135</v>
      </c>
      <c r="C177" s="8" t="s">
        <v>52</v>
      </c>
      <c r="D177" s="8" t="s">
        <v>698</v>
      </c>
      <c r="E177" s="8" t="s">
        <v>699</v>
      </c>
      <c r="F177" s="9" t="n">
        <v>1</v>
      </c>
      <c r="G177" s="20" t="n">
        <v>14.18</v>
      </c>
      <c r="H177" s="20" t="n">
        <v>14.18</v>
      </c>
    </row>
    <row r="178" customFormat="false" ht="15" hidden="false" customHeight="false" outlineLevel="0" collapsed="false">
      <c r="A178" s="8" t="s">
        <v>899</v>
      </c>
      <c r="B178" s="10" t="n">
        <v>46236</v>
      </c>
      <c r="C178" s="8" t="s">
        <v>52</v>
      </c>
      <c r="D178" s="8" t="s">
        <v>698</v>
      </c>
      <c r="E178" s="8" t="s">
        <v>699</v>
      </c>
      <c r="F178" s="9" t="n">
        <v>3</v>
      </c>
      <c r="G178" s="20" t="n">
        <v>15.68</v>
      </c>
      <c r="H178" s="20" t="n">
        <v>47.04</v>
      </c>
    </row>
    <row r="179" customFormat="false" ht="15" hidden="false" customHeight="false" outlineLevel="0" collapsed="false">
      <c r="A179" s="8" t="s">
        <v>900</v>
      </c>
      <c r="B179" s="10" t="n">
        <v>45924</v>
      </c>
      <c r="C179" s="8" t="s">
        <v>115</v>
      </c>
      <c r="D179" s="8" t="s">
        <v>703</v>
      </c>
      <c r="E179" s="8" t="s">
        <v>772</v>
      </c>
      <c r="F179" s="9" t="n">
        <v>1</v>
      </c>
      <c r="G179" s="20" t="n">
        <v>107.85</v>
      </c>
      <c r="H179" s="20" t="n">
        <v>107.85</v>
      </c>
    </row>
    <row r="180" customFormat="false" ht="15" hidden="false" customHeight="false" outlineLevel="0" collapsed="false">
      <c r="A180" s="8" t="s">
        <v>901</v>
      </c>
      <c r="B180" s="10" t="n">
        <v>46218</v>
      </c>
      <c r="C180" s="8" t="s">
        <v>277</v>
      </c>
      <c r="D180" s="8" t="s">
        <v>698</v>
      </c>
      <c r="E180" s="8" t="s">
        <v>710</v>
      </c>
      <c r="F180" s="9" t="n">
        <v>1</v>
      </c>
      <c r="G180" s="20" t="n">
        <v>56.86</v>
      </c>
      <c r="H180" s="20" t="n">
        <v>56.86</v>
      </c>
    </row>
    <row r="181" customFormat="false" ht="15" hidden="false" customHeight="false" outlineLevel="0" collapsed="false">
      <c r="A181" s="8" t="s">
        <v>902</v>
      </c>
      <c r="B181" s="10" t="n">
        <v>46174</v>
      </c>
      <c r="C181" s="8" t="s">
        <v>646</v>
      </c>
      <c r="D181" s="8" t="s">
        <v>698</v>
      </c>
      <c r="E181" s="8" t="s">
        <v>782</v>
      </c>
      <c r="F181" s="9" t="n">
        <v>2</v>
      </c>
      <c r="G181" s="20" t="n">
        <v>68.87</v>
      </c>
      <c r="H181" s="20" t="n">
        <v>137.74</v>
      </c>
    </row>
    <row r="182" customFormat="false" ht="15" hidden="false" customHeight="false" outlineLevel="0" collapsed="false">
      <c r="A182" s="8" t="s">
        <v>903</v>
      </c>
      <c r="B182" s="10" t="n">
        <v>46144</v>
      </c>
      <c r="C182" s="8" t="s">
        <v>69</v>
      </c>
      <c r="D182" s="8" t="s">
        <v>703</v>
      </c>
      <c r="E182" s="8" t="s">
        <v>734</v>
      </c>
      <c r="F182" s="9" t="n">
        <v>2</v>
      </c>
      <c r="G182" s="20" t="n">
        <v>37.73</v>
      </c>
      <c r="H182" s="20" t="n">
        <v>75.46</v>
      </c>
    </row>
    <row r="183" customFormat="false" ht="15" hidden="false" customHeight="false" outlineLevel="0" collapsed="false">
      <c r="A183" s="8" t="s">
        <v>904</v>
      </c>
      <c r="B183" s="10" t="n">
        <v>45993</v>
      </c>
      <c r="C183" s="8" t="s">
        <v>390</v>
      </c>
      <c r="D183" s="8" t="s">
        <v>698</v>
      </c>
      <c r="E183" s="8" t="s">
        <v>708</v>
      </c>
      <c r="F183" s="9" t="n">
        <v>5</v>
      </c>
      <c r="G183" s="20" t="n">
        <v>9.56</v>
      </c>
      <c r="H183" s="20" t="n">
        <v>47.8</v>
      </c>
    </row>
    <row r="184" customFormat="false" ht="15" hidden="false" customHeight="false" outlineLevel="0" collapsed="false">
      <c r="A184" s="8" t="s">
        <v>905</v>
      </c>
      <c r="B184" s="10" t="n">
        <v>46105</v>
      </c>
      <c r="C184" s="8" t="s">
        <v>52</v>
      </c>
      <c r="D184" s="8" t="s">
        <v>698</v>
      </c>
      <c r="E184" s="8" t="s">
        <v>699</v>
      </c>
      <c r="F184" s="9" t="n">
        <v>1</v>
      </c>
      <c r="G184" s="20" t="n">
        <v>14.01</v>
      </c>
      <c r="H184" s="20" t="n">
        <v>14.01</v>
      </c>
    </row>
    <row r="185" customFormat="false" ht="15" hidden="false" customHeight="false" outlineLevel="0" collapsed="false">
      <c r="A185" s="8" t="s">
        <v>906</v>
      </c>
      <c r="B185" s="10" t="n">
        <v>46222</v>
      </c>
      <c r="C185" s="8" t="s">
        <v>277</v>
      </c>
      <c r="D185" s="8" t="s">
        <v>703</v>
      </c>
      <c r="E185" s="8" t="s">
        <v>724</v>
      </c>
      <c r="F185" s="9" t="n">
        <v>4</v>
      </c>
      <c r="G185" s="20" t="n">
        <v>130.28</v>
      </c>
      <c r="H185" s="20" t="n">
        <v>521.12</v>
      </c>
    </row>
    <row r="186" customFormat="false" ht="15" hidden="false" customHeight="false" outlineLevel="0" collapsed="false">
      <c r="A186" s="8" t="s">
        <v>907</v>
      </c>
      <c r="B186" s="10" t="n">
        <v>45976</v>
      </c>
      <c r="C186" s="8" t="s">
        <v>52</v>
      </c>
      <c r="D186" s="8" t="s">
        <v>703</v>
      </c>
      <c r="E186" s="8" t="s">
        <v>720</v>
      </c>
      <c r="F186" s="9" t="n">
        <v>7</v>
      </c>
      <c r="G186" s="20" t="n">
        <v>35.67</v>
      </c>
      <c r="H186" s="20" t="n">
        <v>249.69</v>
      </c>
    </row>
    <row r="187" customFormat="false" ht="15" hidden="false" customHeight="false" outlineLevel="0" collapsed="false">
      <c r="A187" s="8" t="s">
        <v>908</v>
      </c>
      <c r="B187" s="10" t="n">
        <v>46171</v>
      </c>
      <c r="C187" s="8" t="s">
        <v>214</v>
      </c>
      <c r="D187" s="8" t="s">
        <v>698</v>
      </c>
      <c r="E187" s="8" t="s">
        <v>701</v>
      </c>
      <c r="F187" s="9" t="n">
        <v>2</v>
      </c>
      <c r="G187" s="20" t="n">
        <v>19.65</v>
      </c>
      <c r="H187" s="20" t="n">
        <v>39.3</v>
      </c>
    </row>
    <row r="188" customFormat="false" ht="15" hidden="false" customHeight="false" outlineLevel="0" collapsed="false">
      <c r="A188" s="8" t="s">
        <v>909</v>
      </c>
      <c r="B188" s="10" t="n">
        <v>46206</v>
      </c>
      <c r="C188" s="8" t="s">
        <v>394</v>
      </c>
      <c r="D188" s="8" t="s">
        <v>698</v>
      </c>
      <c r="E188" s="8" t="s">
        <v>776</v>
      </c>
      <c r="F188" s="9" t="n">
        <v>1</v>
      </c>
      <c r="G188" s="20" t="n">
        <v>20.72</v>
      </c>
      <c r="H188" s="20" t="n">
        <v>20.72</v>
      </c>
    </row>
    <row r="189" customFormat="false" ht="15" hidden="false" customHeight="false" outlineLevel="0" collapsed="false">
      <c r="A189" s="8" t="s">
        <v>910</v>
      </c>
      <c r="B189" s="10" t="n">
        <v>45980</v>
      </c>
      <c r="C189" s="8" t="s">
        <v>52</v>
      </c>
      <c r="D189" s="8" t="s">
        <v>698</v>
      </c>
      <c r="E189" s="8" t="s">
        <v>699</v>
      </c>
      <c r="F189" s="9" t="n">
        <v>2</v>
      </c>
      <c r="G189" s="20" t="n">
        <v>15.7</v>
      </c>
      <c r="H189" s="20" t="n">
        <v>31.4</v>
      </c>
    </row>
    <row r="190" customFormat="false" ht="15" hidden="false" customHeight="false" outlineLevel="0" collapsed="false">
      <c r="A190" s="8" t="s">
        <v>911</v>
      </c>
      <c r="B190" s="10" t="n">
        <v>46260</v>
      </c>
      <c r="C190" s="8" t="s">
        <v>214</v>
      </c>
      <c r="D190" s="8" t="s">
        <v>698</v>
      </c>
      <c r="E190" s="8" t="s">
        <v>701</v>
      </c>
      <c r="F190" s="9" t="n">
        <v>4</v>
      </c>
      <c r="G190" s="20" t="n">
        <v>20.29</v>
      </c>
      <c r="H190" s="20" t="n">
        <v>81.16</v>
      </c>
    </row>
    <row r="191" customFormat="false" ht="15" hidden="false" customHeight="false" outlineLevel="0" collapsed="false">
      <c r="A191" s="8" t="s">
        <v>912</v>
      </c>
      <c r="B191" s="10" t="n">
        <v>46259</v>
      </c>
      <c r="C191" s="8" t="s">
        <v>154</v>
      </c>
      <c r="D191" s="8" t="s">
        <v>698</v>
      </c>
      <c r="E191" s="8" t="s">
        <v>750</v>
      </c>
      <c r="F191" s="9" t="n">
        <v>1</v>
      </c>
      <c r="G191" s="20" t="n">
        <v>25.74</v>
      </c>
      <c r="H191" s="20" t="n">
        <v>25.74</v>
      </c>
    </row>
    <row r="192" customFormat="false" ht="15" hidden="false" customHeight="false" outlineLevel="0" collapsed="false">
      <c r="A192" s="8" t="s">
        <v>913</v>
      </c>
      <c r="B192" s="10" t="n">
        <v>46004</v>
      </c>
      <c r="C192" s="8" t="s">
        <v>277</v>
      </c>
      <c r="D192" s="8" t="s">
        <v>698</v>
      </c>
      <c r="E192" s="8" t="s">
        <v>710</v>
      </c>
      <c r="F192" s="9" t="n">
        <v>6</v>
      </c>
      <c r="G192" s="20" t="n">
        <v>63.57</v>
      </c>
      <c r="H192" s="20" t="n">
        <v>381.42</v>
      </c>
    </row>
    <row r="193" customFormat="false" ht="15" hidden="false" customHeight="false" outlineLevel="0" collapsed="false">
      <c r="A193" s="8" t="s">
        <v>914</v>
      </c>
      <c r="B193" s="10" t="n">
        <v>46014</v>
      </c>
      <c r="C193" s="8" t="s">
        <v>390</v>
      </c>
      <c r="D193" s="8" t="s">
        <v>703</v>
      </c>
      <c r="E193" s="8" t="s">
        <v>785</v>
      </c>
      <c r="F193" s="9" t="n">
        <v>2</v>
      </c>
      <c r="G193" s="20" t="n">
        <v>23.41</v>
      </c>
      <c r="H193" s="20" t="n">
        <v>46.82</v>
      </c>
    </row>
    <row r="194" customFormat="false" ht="15" hidden="false" customHeight="false" outlineLevel="0" collapsed="false">
      <c r="A194" s="8" t="s">
        <v>915</v>
      </c>
      <c r="B194" s="10" t="n">
        <v>46244</v>
      </c>
      <c r="C194" s="8" t="s">
        <v>214</v>
      </c>
      <c r="D194" s="8" t="s">
        <v>698</v>
      </c>
      <c r="E194" s="8" t="s">
        <v>701</v>
      </c>
      <c r="F194" s="9" t="n">
        <v>1</v>
      </c>
      <c r="G194" s="20" t="n">
        <v>20.4</v>
      </c>
      <c r="H194" s="20" t="n">
        <v>20.4</v>
      </c>
    </row>
    <row r="195" customFormat="false" ht="15" hidden="false" customHeight="false" outlineLevel="0" collapsed="false">
      <c r="A195" s="8" t="s">
        <v>916</v>
      </c>
      <c r="B195" s="10" t="n">
        <v>45911</v>
      </c>
      <c r="C195" s="8" t="s">
        <v>214</v>
      </c>
      <c r="D195" s="8" t="s">
        <v>703</v>
      </c>
      <c r="E195" s="8" t="s">
        <v>715</v>
      </c>
      <c r="F195" s="9" t="n">
        <v>3</v>
      </c>
      <c r="G195" s="20" t="n">
        <v>44.05</v>
      </c>
      <c r="H195" s="20" t="n">
        <v>132.15</v>
      </c>
    </row>
    <row r="196" customFormat="false" ht="15" hidden="false" customHeight="false" outlineLevel="0" collapsed="false">
      <c r="A196" s="8" t="s">
        <v>917</v>
      </c>
      <c r="B196" s="10" t="n">
        <v>45988</v>
      </c>
      <c r="C196" s="8" t="s">
        <v>214</v>
      </c>
      <c r="D196" s="8" t="s">
        <v>703</v>
      </c>
      <c r="E196" s="8" t="s">
        <v>715</v>
      </c>
      <c r="F196" s="9" t="n">
        <v>5</v>
      </c>
      <c r="G196" s="20" t="n">
        <v>44.09</v>
      </c>
      <c r="H196" s="20" t="n">
        <v>220.45</v>
      </c>
    </row>
    <row r="197" customFormat="false" ht="15" hidden="false" customHeight="false" outlineLevel="0" collapsed="false">
      <c r="A197" s="8" t="s">
        <v>918</v>
      </c>
      <c r="B197" s="10" t="n">
        <v>46179</v>
      </c>
      <c r="C197" s="8" t="s">
        <v>52</v>
      </c>
      <c r="D197" s="8" t="s">
        <v>698</v>
      </c>
      <c r="E197" s="8" t="s">
        <v>699</v>
      </c>
      <c r="F197" s="9" t="n">
        <v>5</v>
      </c>
      <c r="G197" s="20" t="n">
        <v>14.33</v>
      </c>
      <c r="H197" s="20" t="n">
        <v>71.65</v>
      </c>
    </row>
    <row r="198" customFormat="false" ht="15" hidden="false" customHeight="false" outlineLevel="0" collapsed="false">
      <c r="A198" s="8" t="s">
        <v>919</v>
      </c>
      <c r="B198" s="10" t="n">
        <v>46038</v>
      </c>
      <c r="C198" s="8" t="s">
        <v>646</v>
      </c>
      <c r="D198" s="8" t="s">
        <v>703</v>
      </c>
      <c r="E198" s="8" t="s">
        <v>732</v>
      </c>
      <c r="F198" s="9" t="n">
        <v>1</v>
      </c>
      <c r="G198" s="20" t="n">
        <v>190.1</v>
      </c>
      <c r="H198" s="20" t="n">
        <v>190.1</v>
      </c>
    </row>
    <row r="199" customFormat="false" ht="15" hidden="false" customHeight="false" outlineLevel="0" collapsed="false">
      <c r="A199" s="8" t="s">
        <v>920</v>
      </c>
      <c r="B199" s="10" t="n">
        <v>46103</v>
      </c>
      <c r="C199" s="8" t="s">
        <v>214</v>
      </c>
      <c r="D199" s="8" t="s">
        <v>698</v>
      </c>
      <c r="E199" s="8" t="s">
        <v>701</v>
      </c>
      <c r="F199" s="9" t="n">
        <v>2</v>
      </c>
      <c r="G199" s="20" t="n">
        <v>19.4</v>
      </c>
      <c r="H199" s="20" t="n">
        <v>38.8</v>
      </c>
    </row>
    <row r="200" customFormat="false" ht="15" hidden="false" customHeight="false" outlineLevel="0" collapsed="false">
      <c r="A200" s="8" t="s">
        <v>921</v>
      </c>
      <c r="B200" s="10" t="n">
        <v>46006</v>
      </c>
      <c r="C200" s="8" t="s">
        <v>69</v>
      </c>
      <c r="D200" s="8" t="s">
        <v>703</v>
      </c>
      <c r="E200" s="8" t="s">
        <v>734</v>
      </c>
      <c r="F200" s="9" t="n">
        <v>1</v>
      </c>
      <c r="G200" s="20" t="n">
        <v>42.63</v>
      </c>
      <c r="H200" s="20" t="n">
        <v>42.63</v>
      </c>
    </row>
    <row r="201" customFormat="false" ht="15" hidden="false" customHeight="false" outlineLevel="0" collapsed="false">
      <c r="A201" s="8" t="s">
        <v>922</v>
      </c>
      <c r="B201" s="10" t="n">
        <v>46126</v>
      </c>
      <c r="C201" s="8" t="s">
        <v>390</v>
      </c>
      <c r="D201" s="8" t="s">
        <v>703</v>
      </c>
      <c r="E201" s="8" t="s">
        <v>785</v>
      </c>
      <c r="F201" s="9" t="n">
        <v>4</v>
      </c>
      <c r="G201" s="20" t="n">
        <v>23.94</v>
      </c>
      <c r="H201" s="20" t="n">
        <v>95.76</v>
      </c>
    </row>
    <row r="202" customFormat="false" ht="15" hidden="false" customHeight="false" outlineLevel="0" collapsed="false">
      <c r="A202" s="8" t="s">
        <v>923</v>
      </c>
      <c r="B202" s="10" t="n">
        <v>46193</v>
      </c>
      <c r="C202" s="8" t="s">
        <v>154</v>
      </c>
      <c r="D202" s="8" t="s">
        <v>703</v>
      </c>
      <c r="E202" s="8" t="s">
        <v>778</v>
      </c>
      <c r="F202" s="9" t="n">
        <v>5</v>
      </c>
      <c r="G202" s="20" t="n">
        <v>51.76</v>
      </c>
      <c r="H202" s="20" t="n">
        <v>258.8</v>
      </c>
    </row>
    <row r="203" customFormat="false" ht="15" hidden="false" customHeight="false" outlineLevel="0" collapsed="false">
      <c r="A203" s="8" t="s">
        <v>924</v>
      </c>
      <c r="B203" s="10" t="n">
        <v>46021</v>
      </c>
      <c r="C203" s="8" t="s">
        <v>52</v>
      </c>
      <c r="D203" s="8" t="s">
        <v>703</v>
      </c>
      <c r="E203" s="8" t="s">
        <v>720</v>
      </c>
      <c r="F203" s="9" t="n">
        <v>2</v>
      </c>
      <c r="G203" s="20" t="n">
        <v>37.4</v>
      </c>
      <c r="H203" s="20" t="n">
        <v>74.8</v>
      </c>
    </row>
    <row r="204" customFormat="false" ht="15" hidden="false" customHeight="false" outlineLevel="0" collapsed="false">
      <c r="A204" s="8" t="s">
        <v>925</v>
      </c>
      <c r="B204" s="10" t="n">
        <v>46141</v>
      </c>
      <c r="C204" s="8" t="s">
        <v>214</v>
      </c>
      <c r="D204" s="8" t="s">
        <v>703</v>
      </c>
      <c r="E204" s="8" t="s">
        <v>715</v>
      </c>
      <c r="F204" s="9" t="n">
        <v>1</v>
      </c>
      <c r="G204" s="20" t="n">
        <v>46.14</v>
      </c>
      <c r="H204" s="20" t="n">
        <v>46.14</v>
      </c>
    </row>
    <row r="205" customFormat="false" ht="15" hidden="false" customHeight="false" outlineLevel="0" collapsed="false">
      <c r="A205" s="8" t="s">
        <v>926</v>
      </c>
      <c r="B205" s="10" t="n">
        <v>46167</v>
      </c>
      <c r="C205" s="8" t="s">
        <v>214</v>
      </c>
      <c r="D205" s="8" t="s">
        <v>698</v>
      </c>
      <c r="E205" s="8" t="s">
        <v>701</v>
      </c>
      <c r="F205" s="9" t="n">
        <v>2</v>
      </c>
      <c r="G205" s="20" t="n">
        <v>19.87</v>
      </c>
      <c r="H205" s="20" t="n">
        <v>39.74</v>
      </c>
    </row>
    <row r="206" customFormat="false" ht="15" hidden="false" customHeight="false" outlineLevel="0" collapsed="false">
      <c r="A206" s="8" t="s">
        <v>927</v>
      </c>
      <c r="B206" s="10" t="n">
        <v>46204</v>
      </c>
      <c r="C206" s="8" t="s">
        <v>52</v>
      </c>
      <c r="D206" s="8" t="s">
        <v>698</v>
      </c>
      <c r="E206" s="8" t="s">
        <v>699</v>
      </c>
      <c r="F206" s="9" t="n">
        <v>3</v>
      </c>
      <c r="G206" s="20" t="n">
        <v>15.55</v>
      </c>
      <c r="H206" s="20" t="n">
        <v>46.65</v>
      </c>
    </row>
    <row r="207" customFormat="false" ht="15" hidden="false" customHeight="false" outlineLevel="0" collapsed="false">
      <c r="A207" s="8" t="s">
        <v>928</v>
      </c>
      <c r="B207" s="10" t="n">
        <v>46257</v>
      </c>
      <c r="C207" s="8" t="s">
        <v>277</v>
      </c>
      <c r="D207" s="8" t="s">
        <v>698</v>
      </c>
      <c r="E207" s="8" t="s">
        <v>710</v>
      </c>
      <c r="F207" s="9" t="n">
        <v>8</v>
      </c>
      <c r="G207" s="20" t="n">
        <v>60.76</v>
      </c>
      <c r="H207" s="20" t="n">
        <v>486.08</v>
      </c>
    </row>
    <row r="208" customFormat="false" ht="15" hidden="false" customHeight="false" outlineLevel="0" collapsed="false">
      <c r="A208" s="8" t="s">
        <v>929</v>
      </c>
      <c r="B208" s="10" t="n">
        <v>46149</v>
      </c>
      <c r="C208" s="8" t="s">
        <v>145</v>
      </c>
      <c r="D208" s="8" t="s">
        <v>703</v>
      </c>
      <c r="E208" s="8" t="s">
        <v>706</v>
      </c>
      <c r="F208" s="9" t="n">
        <v>1</v>
      </c>
      <c r="G208" s="20" t="n">
        <v>208.12</v>
      </c>
      <c r="H208" s="20" t="n">
        <v>208.12</v>
      </c>
    </row>
    <row r="209" customFormat="false" ht="15" hidden="false" customHeight="false" outlineLevel="0" collapsed="false">
      <c r="A209" s="8" t="s">
        <v>930</v>
      </c>
      <c r="B209" s="10" t="n">
        <v>46114</v>
      </c>
      <c r="C209" s="8" t="s">
        <v>394</v>
      </c>
      <c r="D209" s="8" t="s">
        <v>698</v>
      </c>
      <c r="E209" s="8" t="s">
        <v>776</v>
      </c>
      <c r="F209" s="9" t="n">
        <v>3</v>
      </c>
      <c r="G209" s="20" t="n">
        <v>23.48</v>
      </c>
      <c r="H209" s="20" t="n">
        <v>70.44</v>
      </c>
    </row>
    <row r="210" customFormat="false" ht="15" hidden="false" customHeight="false" outlineLevel="0" collapsed="false">
      <c r="A210" s="8" t="s">
        <v>931</v>
      </c>
      <c r="B210" s="10" t="n">
        <v>46120</v>
      </c>
      <c r="C210" s="8" t="s">
        <v>390</v>
      </c>
      <c r="D210" s="8" t="s">
        <v>698</v>
      </c>
      <c r="E210" s="8" t="s">
        <v>708</v>
      </c>
      <c r="F210" s="9" t="n">
        <v>3</v>
      </c>
      <c r="G210" s="20" t="n">
        <v>9.28</v>
      </c>
      <c r="H210" s="20" t="n">
        <v>27.84</v>
      </c>
    </row>
    <row r="211" customFormat="false" ht="15" hidden="false" customHeight="false" outlineLevel="0" collapsed="false">
      <c r="A211" s="8" t="s">
        <v>932</v>
      </c>
      <c r="B211" s="10" t="n">
        <v>46069</v>
      </c>
      <c r="C211" s="8" t="s">
        <v>145</v>
      </c>
      <c r="D211" s="8" t="s">
        <v>698</v>
      </c>
      <c r="E211" s="8" t="s">
        <v>754</v>
      </c>
      <c r="F211" s="9" t="n">
        <v>2</v>
      </c>
      <c r="G211" s="20" t="n">
        <v>90.88</v>
      </c>
      <c r="H211" s="20" t="n">
        <v>181.76</v>
      </c>
    </row>
    <row r="212" customFormat="false" ht="15" hidden="false" customHeight="false" outlineLevel="0" collapsed="false">
      <c r="A212" s="8" t="s">
        <v>933</v>
      </c>
      <c r="B212" s="10" t="n">
        <v>46235</v>
      </c>
      <c r="C212" s="8" t="s">
        <v>52</v>
      </c>
      <c r="D212" s="8" t="s">
        <v>698</v>
      </c>
      <c r="E212" s="8" t="s">
        <v>699</v>
      </c>
      <c r="F212" s="9" t="n">
        <v>4</v>
      </c>
      <c r="G212" s="20" t="n">
        <v>13.97</v>
      </c>
      <c r="H212" s="20" t="n">
        <v>55.88</v>
      </c>
    </row>
    <row r="213" customFormat="false" ht="15" hidden="false" customHeight="false" outlineLevel="0" collapsed="false">
      <c r="A213" s="8" t="s">
        <v>934</v>
      </c>
      <c r="B213" s="10" t="n">
        <v>45905</v>
      </c>
      <c r="C213" s="8" t="s">
        <v>390</v>
      </c>
      <c r="D213" s="8" t="s">
        <v>698</v>
      </c>
      <c r="E213" s="8" t="s">
        <v>708</v>
      </c>
      <c r="F213" s="9" t="n">
        <v>1</v>
      </c>
      <c r="G213" s="20" t="n">
        <v>9.75</v>
      </c>
      <c r="H213" s="20" t="n">
        <v>9.75</v>
      </c>
    </row>
    <row r="214" customFormat="false" ht="15" hidden="false" customHeight="false" outlineLevel="0" collapsed="false">
      <c r="A214" s="8" t="s">
        <v>935</v>
      </c>
      <c r="B214" s="10" t="n">
        <v>46148</v>
      </c>
      <c r="C214" s="8" t="s">
        <v>145</v>
      </c>
      <c r="D214" s="8" t="s">
        <v>703</v>
      </c>
      <c r="E214" s="8" t="s">
        <v>706</v>
      </c>
      <c r="F214" s="9" t="n">
        <v>2</v>
      </c>
      <c r="G214" s="20" t="n">
        <v>225.68</v>
      </c>
      <c r="H214" s="20" t="n">
        <v>451.36</v>
      </c>
    </row>
    <row r="215" customFormat="false" ht="15" hidden="false" customHeight="false" outlineLevel="0" collapsed="false">
      <c r="A215" s="8" t="s">
        <v>936</v>
      </c>
      <c r="B215" s="10" t="n">
        <v>46161</v>
      </c>
      <c r="C215" s="8" t="s">
        <v>277</v>
      </c>
      <c r="D215" s="8" t="s">
        <v>703</v>
      </c>
      <c r="E215" s="8" t="s">
        <v>724</v>
      </c>
      <c r="F215" s="9" t="n">
        <v>4</v>
      </c>
      <c r="G215" s="20" t="n">
        <v>135.83</v>
      </c>
      <c r="H215" s="20" t="n">
        <v>543.32</v>
      </c>
    </row>
    <row r="216" customFormat="false" ht="15" hidden="false" customHeight="false" outlineLevel="0" collapsed="false">
      <c r="A216" s="8" t="s">
        <v>937</v>
      </c>
      <c r="B216" s="10" t="n">
        <v>46063</v>
      </c>
      <c r="C216" s="8" t="s">
        <v>650</v>
      </c>
      <c r="D216" s="8" t="s">
        <v>698</v>
      </c>
      <c r="E216" s="8" t="s">
        <v>800</v>
      </c>
      <c r="F216" s="9" t="n">
        <v>4</v>
      </c>
      <c r="G216" s="20" t="n">
        <v>27.53</v>
      </c>
      <c r="H216" s="20" t="n">
        <v>110.12</v>
      </c>
    </row>
    <row r="217" customFormat="false" ht="15" hidden="false" customHeight="false" outlineLevel="0" collapsed="false">
      <c r="A217" s="8" t="s">
        <v>938</v>
      </c>
      <c r="B217" s="10" t="n">
        <v>46233</v>
      </c>
      <c r="C217" s="8" t="s">
        <v>52</v>
      </c>
      <c r="D217" s="8" t="s">
        <v>703</v>
      </c>
      <c r="E217" s="8" t="s">
        <v>720</v>
      </c>
      <c r="F217" s="9" t="n">
        <v>1</v>
      </c>
      <c r="G217" s="20" t="n">
        <v>35.95</v>
      </c>
      <c r="H217" s="20" t="n">
        <v>35.95</v>
      </c>
    </row>
    <row r="218" customFormat="false" ht="15" hidden="false" customHeight="false" outlineLevel="0" collapsed="false">
      <c r="A218" s="8" t="s">
        <v>939</v>
      </c>
      <c r="B218" s="10" t="n">
        <v>45930</v>
      </c>
      <c r="C218" s="8" t="s">
        <v>390</v>
      </c>
      <c r="D218" s="8" t="s">
        <v>698</v>
      </c>
      <c r="E218" s="8" t="s">
        <v>708</v>
      </c>
      <c r="F218" s="9" t="n">
        <v>5</v>
      </c>
      <c r="G218" s="20" t="n">
        <v>10.05</v>
      </c>
      <c r="H218" s="20" t="n">
        <v>50.25</v>
      </c>
    </row>
    <row r="219" customFormat="false" ht="15" hidden="false" customHeight="false" outlineLevel="0" collapsed="false">
      <c r="A219" s="8" t="s">
        <v>940</v>
      </c>
      <c r="B219" s="10" t="n">
        <v>46175</v>
      </c>
      <c r="C219" s="8" t="s">
        <v>214</v>
      </c>
      <c r="D219" s="8" t="s">
        <v>698</v>
      </c>
      <c r="E219" s="8" t="s">
        <v>701</v>
      </c>
      <c r="F219" s="9" t="n">
        <v>7</v>
      </c>
      <c r="G219" s="20" t="n">
        <v>20.7</v>
      </c>
      <c r="H219" s="20" t="n">
        <v>144.9</v>
      </c>
    </row>
    <row r="220" customFormat="false" ht="15" hidden="false" customHeight="false" outlineLevel="0" collapsed="false">
      <c r="A220" s="8" t="s">
        <v>941</v>
      </c>
      <c r="B220" s="10" t="n">
        <v>45969</v>
      </c>
      <c r="C220" s="8" t="s">
        <v>145</v>
      </c>
      <c r="D220" s="8" t="s">
        <v>698</v>
      </c>
      <c r="E220" s="8" t="s">
        <v>754</v>
      </c>
      <c r="F220" s="9" t="n">
        <v>2</v>
      </c>
      <c r="G220" s="20" t="n">
        <v>92.44</v>
      </c>
      <c r="H220" s="20" t="n">
        <v>184.88</v>
      </c>
    </row>
    <row r="221" customFormat="false" ht="15" hidden="false" customHeight="false" outlineLevel="0" collapsed="false">
      <c r="A221" s="8" t="s">
        <v>942</v>
      </c>
      <c r="B221" s="10" t="n">
        <v>45994</v>
      </c>
      <c r="C221" s="8" t="s">
        <v>214</v>
      </c>
      <c r="D221" s="8" t="s">
        <v>703</v>
      </c>
      <c r="E221" s="8" t="s">
        <v>715</v>
      </c>
      <c r="F221" s="9" t="n">
        <v>1</v>
      </c>
      <c r="G221" s="20" t="n">
        <v>46.71</v>
      </c>
      <c r="H221" s="20" t="n">
        <v>46.71</v>
      </c>
    </row>
    <row r="222" customFormat="false" ht="15" hidden="false" customHeight="false" outlineLevel="0" collapsed="false">
      <c r="A222" s="8" t="s">
        <v>943</v>
      </c>
      <c r="B222" s="10" t="n">
        <v>46169</v>
      </c>
      <c r="C222" s="8" t="s">
        <v>262</v>
      </c>
      <c r="D222" s="8" t="s">
        <v>698</v>
      </c>
      <c r="E222" s="8" t="s">
        <v>737</v>
      </c>
      <c r="F222" s="9" t="n">
        <v>2</v>
      </c>
      <c r="G222" s="20" t="n">
        <v>11.64</v>
      </c>
      <c r="H222" s="20" t="n">
        <v>23.28</v>
      </c>
    </row>
    <row r="223" customFormat="false" ht="15" hidden="false" customHeight="false" outlineLevel="0" collapsed="false">
      <c r="A223" s="8" t="s">
        <v>944</v>
      </c>
      <c r="B223" s="10" t="n">
        <v>46037</v>
      </c>
      <c r="C223" s="8" t="s">
        <v>69</v>
      </c>
      <c r="D223" s="8" t="s">
        <v>703</v>
      </c>
      <c r="E223" s="8" t="s">
        <v>734</v>
      </c>
      <c r="F223" s="9" t="n">
        <v>3</v>
      </c>
      <c r="G223" s="20" t="n">
        <v>36.82</v>
      </c>
      <c r="H223" s="20" t="n">
        <v>110.46</v>
      </c>
    </row>
    <row r="224" customFormat="false" ht="15" hidden="false" customHeight="false" outlineLevel="0" collapsed="false">
      <c r="A224" s="8" t="s">
        <v>945</v>
      </c>
      <c r="B224" s="10" t="n">
        <v>46018</v>
      </c>
      <c r="C224" s="8" t="s">
        <v>277</v>
      </c>
      <c r="D224" s="8" t="s">
        <v>703</v>
      </c>
      <c r="E224" s="8" t="s">
        <v>724</v>
      </c>
      <c r="F224" s="9" t="n">
        <v>3</v>
      </c>
      <c r="G224" s="20" t="n">
        <v>147.54</v>
      </c>
      <c r="H224" s="20" t="n">
        <v>442.62</v>
      </c>
    </row>
    <row r="225" customFormat="false" ht="15" hidden="false" customHeight="false" outlineLevel="0" collapsed="false">
      <c r="A225" s="8" t="s">
        <v>946</v>
      </c>
      <c r="B225" s="10" t="n">
        <v>46045</v>
      </c>
      <c r="C225" s="8" t="s">
        <v>277</v>
      </c>
      <c r="D225" s="8" t="s">
        <v>703</v>
      </c>
      <c r="E225" s="8" t="s">
        <v>724</v>
      </c>
      <c r="F225" s="9" t="n">
        <v>4</v>
      </c>
      <c r="G225" s="20" t="n">
        <v>130.92</v>
      </c>
      <c r="H225" s="20" t="n">
        <v>523.68</v>
      </c>
    </row>
    <row r="226" customFormat="false" ht="15" hidden="false" customHeight="false" outlineLevel="0" collapsed="false">
      <c r="A226" s="8" t="s">
        <v>947</v>
      </c>
      <c r="B226" s="10" t="n">
        <v>45907</v>
      </c>
      <c r="C226" s="8" t="s">
        <v>262</v>
      </c>
      <c r="D226" s="8" t="s">
        <v>703</v>
      </c>
      <c r="E226" s="8" t="s">
        <v>769</v>
      </c>
      <c r="F226" s="9" t="n">
        <v>5</v>
      </c>
      <c r="G226" s="20" t="n">
        <v>29.25</v>
      </c>
      <c r="H226" s="20" t="n">
        <v>146.25</v>
      </c>
    </row>
    <row r="227" customFormat="false" ht="15" hidden="false" customHeight="false" outlineLevel="0" collapsed="false">
      <c r="A227" s="8" t="s">
        <v>948</v>
      </c>
      <c r="B227" s="10" t="n">
        <v>46120</v>
      </c>
      <c r="C227" s="8" t="s">
        <v>154</v>
      </c>
      <c r="D227" s="8" t="s">
        <v>703</v>
      </c>
      <c r="E227" s="8" t="s">
        <v>778</v>
      </c>
      <c r="F227" s="9" t="n">
        <v>7</v>
      </c>
      <c r="G227" s="20" t="n">
        <v>52.13</v>
      </c>
      <c r="H227" s="20" t="n">
        <v>364.91</v>
      </c>
    </row>
    <row r="228" customFormat="false" ht="15" hidden="false" customHeight="false" outlineLevel="0" collapsed="false">
      <c r="A228" s="8" t="s">
        <v>949</v>
      </c>
      <c r="B228" s="10" t="n">
        <v>46240</v>
      </c>
      <c r="C228" s="8" t="s">
        <v>115</v>
      </c>
      <c r="D228" s="8" t="s">
        <v>703</v>
      </c>
      <c r="E228" s="8" t="s">
        <v>772</v>
      </c>
      <c r="F228" s="9" t="n">
        <v>3</v>
      </c>
      <c r="G228" s="20" t="n">
        <v>114.76</v>
      </c>
      <c r="H228" s="20" t="n">
        <v>344.28</v>
      </c>
    </row>
    <row r="229" customFormat="false" ht="15" hidden="false" customHeight="false" outlineLevel="0" collapsed="false">
      <c r="A229" s="8" t="s">
        <v>950</v>
      </c>
      <c r="B229" s="10" t="n">
        <v>46186</v>
      </c>
      <c r="C229" s="8" t="s">
        <v>390</v>
      </c>
      <c r="D229" s="8" t="s">
        <v>698</v>
      </c>
      <c r="E229" s="8" t="s">
        <v>708</v>
      </c>
      <c r="F229" s="9" t="n">
        <v>2</v>
      </c>
      <c r="G229" s="20" t="n">
        <v>10.41</v>
      </c>
      <c r="H229" s="20" t="n">
        <v>20.82</v>
      </c>
    </row>
    <row r="230" customFormat="false" ht="15" hidden="false" customHeight="false" outlineLevel="0" collapsed="false">
      <c r="A230" s="8" t="s">
        <v>951</v>
      </c>
      <c r="B230" s="10" t="n">
        <v>46259</v>
      </c>
      <c r="C230" s="8" t="s">
        <v>646</v>
      </c>
      <c r="D230" s="8" t="s">
        <v>698</v>
      </c>
      <c r="E230" s="8" t="s">
        <v>782</v>
      </c>
      <c r="F230" s="9" t="n">
        <v>5</v>
      </c>
      <c r="G230" s="20" t="n">
        <v>72.49</v>
      </c>
      <c r="H230" s="20" t="n">
        <v>362.45</v>
      </c>
    </row>
    <row r="231" customFormat="false" ht="15" hidden="false" customHeight="false" outlineLevel="0" collapsed="false">
      <c r="A231" s="8" t="s">
        <v>952</v>
      </c>
      <c r="B231" s="10" t="n">
        <v>46068</v>
      </c>
      <c r="C231" s="8" t="s">
        <v>390</v>
      </c>
      <c r="D231" s="8" t="s">
        <v>703</v>
      </c>
      <c r="E231" s="8" t="s">
        <v>785</v>
      </c>
      <c r="F231" s="9" t="n">
        <v>1</v>
      </c>
      <c r="G231" s="20" t="n">
        <v>26.5</v>
      </c>
      <c r="H231" s="20" t="n">
        <v>26.5</v>
      </c>
    </row>
    <row r="232" customFormat="false" ht="15" hidden="false" customHeight="false" outlineLevel="0" collapsed="false">
      <c r="A232" s="8" t="s">
        <v>953</v>
      </c>
      <c r="B232" s="10" t="n">
        <v>45940</v>
      </c>
      <c r="C232" s="8" t="s">
        <v>262</v>
      </c>
      <c r="D232" s="8" t="s">
        <v>703</v>
      </c>
      <c r="E232" s="8" t="s">
        <v>769</v>
      </c>
      <c r="F232" s="9" t="n">
        <v>2</v>
      </c>
      <c r="G232" s="20" t="n">
        <v>32.05</v>
      </c>
      <c r="H232" s="20" t="n">
        <v>64.1</v>
      </c>
    </row>
    <row r="233" customFormat="false" ht="15" hidden="false" customHeight="false" outlineLevel="0" collapsed="false">
      <c r="A233" s="8" t="s">
        <v>954</v>
      </c>
      <c r="B233" s="10" t="n">
        <v>46075</v>
      </c>
      <c r="C233" s="8" t="s">
        <v>262</v>
      </c>
      <c r="D233" s="8" t="s">
        <v>698</v>
      </c>
      <c r="E233" s="8" t="s">
        <v>737</v>
      </c>
      <c r="F233" s="9" t="n">
        <v>2</v>
      </c>
      <c r="G233" s="20" t="n">
        <v>12</v>
      </c>
      <c r="H233" s="20" t="n">
        <v>24</v>
      </c>
    </row>
    <row r="234" customFormat="false" ht="15" hidden="false" customHeight="false" outlineLevel="0" collapsed="false">
      <c r="A234" s="8" t="s">
        <v>955</v>
      </c>
      <c r="B234" s="10" t="n">
        <v>46046</v>
      </c>
      <c r="C234" s="8" t="s">
        <v>277</v>
      </c>
      <c r="D234" s="8" t="s">
        <v>698</v>
      </c>
      <c r="E234" s="8" t="s">
        <v>710</v>
      </c>
      <c r="F234" s="9" t="n">
        <v>3</v>
      </c>
      <c r="G234" s="20" t="n">
        <v>62.67</v>
      </c>
      <c r="H234" s="20" t="n">
        <v>188.01</v>
      </c>
    </row>
    <row r="235" customFormat="false" ht="15" hidden="false" customHeight="false" outlineLevel="0" collapsed="false">
      <c r="A235" s="8" t="s">
        <v>956</v>
      </c>
      <c r="B235" s="10" t="n">
        <v>45983</v>
      </c>
      <c r="C235" s="8" t="s">
        <v>390</v>
      </c>
      <c r="D235" s="8" t="s">
        <v>698</v>
      </c>
      <c r="E235" s="8" t="s">
        <v>708</v>
      </c>
      <c r="F235" s="9" t="n">
        <v>1</v>
      </c>
      <c r="G235" s="20" t="n">
        <v>9.48</v>
      </c>
      <c r="H235" s="20" t="n">
        <v>9.48</v>
      </c>
    </row>
    <row r="236" customFormat="false" ht="15" hidden="false" customHeight="false" outlineLevel="0" collapsed="false">
      <c r="A236" s="8" t="s">
        <v>957</v>
      </c>
      <c r="B236" s="10" t="n">
        <v>46212</v>
      </c>
      <c r="C236" s="8" t="s">
        <v>390</v>
      </c>
      <c r="D236" s="8" t="s">
        <v>698</v>
      </c>
      <c r="E236" s="8" t="s">
        <v>708</v>
      </c>
      <c r="F236" s="9" t="n">
        <v>6</v>
      </c>
      <c r="G236" s="20" t="n">
        <v>9.92</v>
      </c>
      <c r="H236" s="20" t="n">
        <v>59.52</v>
      </c>
    </row>
    <row r="237" customFormat="false" ht="15" hidden="false" customHeight="false" outlineLevel="0" collapsed="false">
      <c r="A237" s="8" t="s">
        <v>958</v>
      </c>
      <c r="B237" s="10" t="n">
        <v>46241</v>
      </c>
      <c r="C237" s="8" t="s">
        <v>69</v>
      </c>
      <c r="D237" s="8" t="s">
        <v>703</v>
      </c>
      <c r="E237" s="8" t="s">
        <v>734</v>
      </c>
      <c r="F237" s="9" t="n">
        <v>3</v>
      </c>
      <c r="G237" s="20" t="n">
        <v>39.04</v>
      </c>
      <c r="H237" s="20" t="n">
        <v>117.12</v>
      </c>
    </row>
    <row r="238" customFormat="false" ht="15" hidden="false" customHeight="false" outlineLevel="0" collapsed="false">
      <c r="A238" s="8" t="s">
        <v>959</v>
      </c>
      <c r="B238" s="10" t="n">
        <v>46043</v>
      </c>
      <c r="C238" s="8" t="s">
        <v>214</v>
      </c>
      <c r="D238" s="8" t="s">
        <v>703</v>
      </c>
      <c r="E238" s="8" t="s">
        <v>715</v>
      </c>
      <c r="F238" s="9" t="n">
        <v>2</v>
      </c>
      <c r="G238" s="20" t="n">
        <v>43.73</v>
      </c>
      <c r="H238" s="20" t="n">
        <v>87.46</v>
      </c>
    </row>
    <row r="239" customFormat="false" ht="15" hidden="false" customHeight="false" outlineLevel="0" collapsed="false">
      <c r="A239" s="8" t="s">
        <v>960</v>
      </c>
      <c r="B239" s="10" t="n">
        <v>45939</v>
      </c>
      <c r="C239" s="8" t="s">
        <v>390</v>
      </c>
      <c r="D239" s="8" t="s">
        <v>703</v>
      </c>
      <c r="E239" s="8" t="s">
        <v>785</v>
      </c>
      <c r="F239" s="9" t="n">
        <v>2</v>
      </c>
      <c r="G239" s="20" t="n">
        <v>26.37</v>
      </c>
      <c r="H239" s="20" t="n">
        <v>52.74</v>
      </c>
    </row>
    <row r="240" customFormat="false" ht="15" hidden="false" customHeight="false" outlineLevel="0" collapsed="false">
      <c r="A240" s="8" t="s">
        <v>961</v>
      </c>
      <c r="B240" s="10" t="n">
        <v>46149</v>
      </c>
      <c r="C240" s="8" t="s">
        <v>390</v>
      </c>
      <c r="D240" s="8" t="s">
        <v>698</v>
      </c>
      <c r="E240" s="8" t="s">
        <v>708</v>
      </c>
      <c r="F240" s="9" t="n">
        <v>2</v>
      </c>
      <c r="G240" s="20" t="n">
        <v>10.42</v>
      </c>
      <c r="H240" s="20" t="n">
        <v>20.84</v>
      </c>
    </row>
    <row r="241" customFormat="false" ht="15" hidden="false" customHeight="false" outlineLevel="0" collapsed="false">
      <c r="A241" s="8" t="s">
        <v>962</v>
      </c>
      <c r="B241" s="10" t="n">
        <v>46263</v>
      </c>
      <c r="C241" s="8" t="s">
        <v>52</v>
      </c>
      <c r="D241" s="8" t="s">
        <v>703</v>
      </c>
      <c r="E241" s="8" t="s">
        <v>720</v>
      </c>
      <c r="F241" s="9" t="n">
        <v>3</v>
      </c>
      <c r="G241" s="20" t="n">
        <v>33.66</v>
      </c>
      <c r="H241" s="20" t="n">
        <v>100.98</v>
      </c>
    </row>
    <row r="242" customFormat="false" ht="15" hidden="false" customHeight="false" outlineLevel="0" collapsed="false">
      <c r="A242" s="8" t="s">
        <v>963</v>
      </c>
      <c r="B242" s="10" t="n">
        <v>46235</v>
      </c>
      <c r="C242" s="8" t="s">
        <v>214</v>
      </c>
      <c r="D242" s="8" t="s">
        <v>698</v>
      </c>
      <c r="E242" s="8" t="s">
        <v>701</v>
      </c>
      <c r="F242" s="9" t="n">
        <v>1</v>
      </c>
      <c r="G242" s="20" t="n">
        <v>21.08</v>
      </c>
      <c r="H242" s="20" t="n">
        <v>21.08</v>
      </c>
    </row>
    <row r="243" customFormat="false" ht="15" hidden="false" customHeight="false" outlineLevel="0" collapsed="false">
      <c r="A243" s="8" t="s">
        <v>964</v>
      </c>
      <c r="B243" s="10" t="n">
        <v>46010</v>
      </c>
      <c r="C243" s="8" t="s">
        <v>277</v>
      </c>
      <c r="D243" s="8" t="s">
        <v>698</v>
      </c>
      <c r="E243" s="8" t="s">
        <v>710</v>
      </c>
      <c r="F243" s="9" t="n">
        <v>1</v>
      </c>
      <c r="G243" s="20" t="n">
        <v>62.17</v>
      </c>
      <c r="H243" s="20" t="n">
        <v>62.17</v>
      </c>
    </row>
    <row r="244" customFormat="false" ht="15" hidden="false" customHeight="false" outlineLevel="0" collapsed="false">
      <c r="A244" s="8" t="s">
        <v>965</v>
      </c>
      <c r="B244" s="10" t="n">
        <v>46075</v>
      </c>
      <c r="C244" s="8" t="s">
        <v>166</v>
      </c>
      <c r="D244" s="8" t="s">
        <v>698</v>
      </c>
      <c r="E244" s="8" t="s">
        <v>729</v>
      </c>
      <c r="F244" s="9" t="n">
        <v>7</v>
      </c>
      <c r="G244" s="20" t="n">
        <v>154.94</v>
      </c>
      <c r="H244" s="20" t="n">
        <v>1084.58</v>
      </c>
    </row>
    <row r="245" customFormat="false" ht="15" hidden="false" customHeight="false" outlineLevel="0" collapsed="false">
      <c r="A245" s="8" t="s">
        <v>966</v>
      </c>
      <c r="B245" s="10" t="n">
        <v>46008</v>
      </c>
      <c r="C245" s="8" t="s">
        <v>52</v>
      </c>
      <c r="D245" s="8" t="s">
        <v>698</v>
      </c>
      <c r="E245" s="8" t="s">
        <v>699</v>
      </c>
      <c r="F245" s="9" t="n">
        <v>4</v>
      </c>
      <c r="G245" s="20" t="n">
        <v>15.04</v>
      </c>
      <c r="H245" s="20" t="n">
        <v>60.16</v>
      </c>
    </row>
    <row r="246" customFormat="false" ht="15" hidden="false" customHeight="false" outlineLevel="0" collapsed="false">
      <c r="A246" s="8" t="s">
        <v>967</v>
      </c>
      <c r="B246" s="10" t="n">
        <v>46172</v>
      </c>
      <c r="C246" s="8" t="s">
        <v>69</v>
      </c>
      <c r="D246" s="8" t="s">
        <v>703</v>
      </c>
      <c r="E246" s="8" t="s">
        <v>734</v>
      </c>
      <c r="F246" s="9" t="n">
        <v>8</v>
      </c>
      <c r="G246" s="20" t="n">
        <v>39.34</v>
      </c>
      <c r="H246" s="20" t="n">
        <v>314.72</v>
      </c>
    </row>
    <row r="247" customFormat="false" ht="15" hidden="false" customHeight="false" outlineLevel="0" collapsed="false">
      <c r="A247" s="8" t="s">
        <v>968</v>
      </c>
      <c r="B247" s="10" t="n">
        <v>46250</v>
      </c>
      <c r="C247" s="8" t="s">
        <v>214</v>
      </c>
      <c r="D247" s="8" t="s">
        <v>698</v>
      </c>
      <c r="E247" s="8" t="s">
        <v>701</v>
      </c>
      <c r="F247" s="9" t="n">
        <v>3</v>
      </c>
      <c r="G247" s="20" t="n">
        <v>19.61</v>
      </c>
      <c r="H247" s="20" t="n">
        <v>58.83</v>
      </c>
    </row>
    <row r="248" customFormat="false" ht="15" hidden="false" customHeight="false" outlineLevel="0" collapsed="false">
      <c r="A248" s="8" t="s">
        <v>969</v>
      </c>
      <c r="B248" s="10" t="n">
        <v>46174</v>
      </c>
      <c r="C248" s="8" t="s">
        <v>145</v>
      </c>
      <c r="D248" s="8" t="s">
        <v>698</v>
      </c>
      <c r="E248" s="8" t="s">
        <v>754</v>
      </c>
      <c r="F248" s="9" t="n">
        <v>3</v>
      </c>
      <c r="G248" s="20" t="n">
        <v>94.21</v>
      </c>
      <c r="H248" s="20" t="n">
        <v>282.63</v>
      </c>
    </row>
    <row r="249" customFormat="false" ht="15" hidden="false" customHeight="false" outlineLevel="0" collapsed="false">
      <c r="A249" s="8" t="s">
        <v>970</v>
      </c>
      <c r="B249" s="10" t="n">
        <v>46162</v>
      </c>
      <c r="C249" s="8" t="s">
        <v>277</v>
      </c>
      <c r="D249" s="8" t="s">
        <v>698</v>
      </c>
      <c r="E249" s="8" t="s">
        <v>710</v>
      </c>
      <c r="F249" s="9" t="n">
        <v>1</v>
      </c>
      <c r="G249" s="20" t="n">
        <v>61.36</v>
      </c>
      <c r="H249" s="20" t="n">
        <v>61.36</v>
      </c>
    </row>
    <row r="250" customFormat="false" ht="15" hidden="false" customHeight="false" outlineLevel="0" collapsed="false">
      <c r="A250" s="8" t="s">
        <v>971</v>
      </c>
      <c r="B250" s="10" t="n">
        <v>46160</v>
      </c>
      <c r="C250" s="8" t="s">
        <v>390</v>
      </c>
      <c r="D250" s="8" t="s">
        <v>703</v>
      </c>
      <c r="E250" s="8" t="s">
        <v>785</v>
      </c>
      <c r="F250" s="9" t="n">
        <v>4</v>
      </c>
      <c r="G250" s="20" t="n">
        <v>23.53</v>
      </c>
      <c r="H250" s="20" t="n">
        <v>94.12</v>
      </c>
    </row>
    <row r="251" customFormat="false" ht="15" hidden="false" customHeight="false" outlineLevel="0" collapsed="false">
      <c r="A251" s="8" t="s">
        <v>972</v>
      </c>
      <c r="B251" s="10" t="n">
        <v>46230</v>
      </c>
      <c r="C251" s="8" t="s">
        <v>646</v>
      </c>
      <c r="D251" s="8" t="s">
        <v>698</v>
      </c>
      <c r="E251" s="8" t="s">
        <v>782</v>
      </c>
      <c r="F251" s="9" t="n">
        <v>4</v>
      </c>
      <c r="G251" s="20" t="n">
        <v>72.2</v>
      </c>
      <c r="H251" s="20" t="n">
        <v>288.8</v>
      </c>
    </row>
    <row r="252" customFormat="false" ht="15" hidden="false" customHeight="false" outlineLevel="0" collapsed="false">
      <c r="A252" s="8" t="s">
        <v>973</v>
      </c>
      <c r="B252" s="10" t="n">
        <v>46257</v>
      </c>
      <c r="C252" s="8" t="s">
        <v>154</v>
      </c>
      <c r="D252" s="8" t="s">
        <v>698</v>
      </c>
      <c r="E252" s="8" t="s">
        <v>750</v>
      </c>
      <c r="F252" s="9" t="n">
        <v>1</v>
      </c>
      <c r="G252" s="20" t="n">
        <v>24.77</v>
      </c>
      <c r="H252" s="20" t="n">
        <v>24.77</v>
      </c>
    </row>
    <row r="253" customFormat="false" ht="15" hidden="false" customHeight="false" outlineLevel="0" collapsed="false">
      <c r="A253" s="8" t="s">
        <v>974</v>
      </c>
      <c r="B253" s="10" t="n">
        <v>46252</v>
      </c>
      <c r="C253" s="8" t="s">
        <v>69</v>
      </c>
      <c r="D253" s="8" t="s">
        <v>698</v>
      </c>
      <c r="E253" s="8" t="s">
        <v>713</v>
      </c>
      <c r="F253" s="9" t="n">
        <v>1</v>
      </c>
      <c r="G253" s="20" t="n">
        <v>18.29</v>
      </c>
      <c r="H253" s="20" t="n">
        <v>18.29</v>
      </c>
    </row>
    <row r="254" customFormat="false" ht="15" hidden="false" customHeight="false" outlineLevel="0" collapsed="false">
      <c r="A254" s="8" t="s">
        <v>975</v>
      </c>
      <c r="B254" s="10" t="n">
        <v>46225</v>
      </c>
      <c r="C254" s="8" t="s">
        <v>145</v>
      </c>
      <c r="D254" s="8" t="s">
        <v>698</v>
      </c>
      <c r="E254" s="8" t="s">
        <v>754</v>
      </c>
      <c r="F254" s="9" t="n">
        <v>4</v>
      </c>
      <c r="G254" s="20" t="n">
        <v>94.46</v>
      </c>
      <c r="H254" s="20" t="n">
        <v>377.84</v>
      </c>
    </row>
    <row r="255" customFormat="false" ht="15" hidden="false" customHeight="false" outlineLevel="0" collapsed="false">
      <c r="A255" s="8" t="s">
        <v>976</v>
      </c>
      <c r="B255" s="10" t="n">
        <v>46058</v>
      </c>
      <c r="C255" s="8" t="s">
        <v>52</v>
      </c>
      <c r="D255" s="8" t="s">
        <v>698</v>
      </c>
      <c r="E255" s="8" t="s">
        <v>699</v>
      </c>
      <c r="F255" s="9" t="n">
        <v>2</v>
      </c>
      <c r="G255" s="20" t="n">
        <v>14.32</v>
      </c>
      <c r="H255" s="20" t="n">
        <v>28.64</v>
      </c>
    </row>
    <row r="256" customFormat="false" ht="15" hidden="false" customHeight="false" outlineLevel="0" collapsed="false">
      <c r="A256" s="8" t="s">
        <v>977</v>
      </c>
      <c r="B256" s="10" t="n">
        <v>46214</v>
      </c>
      <c r="C256" s="8" t="s">
        <v>262</v>
      </c>
      <c r="D256" s="8" t="s">
        <v>698</v>
      </c>
      <c r="E256" s="8" t="s">
        <v>737</v>
      </c>
      <c r="F256" s="9" t="n">
        <v>2</v>
      </c>
      <c r="G256" s="20" t="n">
        <v>11.66</v>
      </c>
      <c r="H256" s="20" t="n">
        <v>23.32</v>
      </c>
    </row>
    <row r="257" customFormat="false" ht="15" hidden="false" customHeight="false" outlineLevel="0" collapsed="false">
      <c r="A257" s="8" t="s">
        <v>978</v>
      </c>
      <c r="B257" s="10" t="n">
        <v>46024</v>
      </c>
      <c r="C257" s="8" t="s">
        <v>323</v>
      </c>
      <c r="D257" s="8" t="s">
        <v>698</v>
      </c>
      <c r="E257" s="8" t="s">
        <v>804</v>
      </c>
      <c r="F257" s="9" t="n">
        <v>4</v>
      </c>
      <c r="G257" s="20" t="n">
        <v>98.7</v>
      </c>
      <c r="H257" s="20" t="n">
        <v>394.8</v>
      </c>
    </row>
    <row r="258" customFormat="false" ht="15" hidden="false" customHeight="false" outlineLevel="0" collapsed="false">
      <c r="A258" s="8" t="s">
        <v>979</v>
      </c>
      <c r="B258" s="10" t="n">
        <v>45981</v>
      </c>
      <c r="C258" s="8" t="s">
        <v>154</v>
      </c>
      <c r="D258" s="8" t="s">
        <v>703</v>
      </c>
      <c r="E258" s="8" t="s">
        <v>778</v>
      </c>
      <c r="F258" s="9" t="n">
        <v>1</v>
      </c>
      <c r="G258" s="20" t="n">
        <v>54.51</v>
      </c>
      <c r="H258" s="20" t="n">
        <v>54.51</v>
      </c>
    </row>
    <row r="259" customFormat="false" ht="15" hidden="false" customHeight="false" outlineLevel="0" collapsed="false">
      <c r="A259" s="8" t="s">
        <v>980</v>
      </c>
      <c r="B259" s="10" t="n">
        <v>46139</v>
      </c>
      <c r="C259" s="8" t="s">
        <v>277</v>
      </c>
      <c r="D259" s="8" t="s">
        <v>698</v>
      </c>
      <c r="E259" s="8" t="s">
        <v>710</v>
      </c>
      <c r="F259" s="9" t="n">
        <v>5</v>
      </c>
      <c r="G259" s="20" t="n">
        <v>58.77</v>
      </c>
      <c r="H259" s="20" t="n">
        <v>293.85</v>
      </c>
    </row>
    <row r="260" customFormat="false" ht="15" hidden="false" customHeight="false" outlineLevel="0" collapsed="false">
      <c r="A260" s="8" t="s">
        <v>981</v>
      </c>
      <c r="B260" s="10" t="n">
        <v>45902</v>
      </c>
      <c r="C260" s="8" t="s">
        <v>52</v>
      </c>
      <c r="D260" s="8" t="s">
        <v>698</v>
      </c>
      <c r="E260" s="8" t="s">
        <v>699</v>
      </c>
      <c r="F260" s="9" t="n">
        <v>7</v>
      </c>
      <c r="G260" s="20" t="n">
        <v>14.06</v>
      </c>
      <c r="H260" s="20" t="n">
        <v>98.42</v>
      </c>
    </row>
    <row r="261" customFormat="false" ht="15" hidden="false" customHeight="false" outlineLevel="0" collapsed="false">
      <c r="A261" s="8" t="s">
        <v>982</v>
      </c>
      <c r="B261" s="10" t="n">
        <v>45949</v>
      </c>
      <c r="C261" s="8" t="s">
        <v>154</v>
      </c>
      <c r="D261" s="8" t="s">
        <v>703</v>
      </c>
      <c r="E261" s="8" t="s">
        <v>778</v>
      </c>
      <c r="F261" s="9" t="n">
        <v>6</v>
      </c>
      <c r="G261" s="20" t="n">
        <v>52.86</v>
      </c>
      <c r="H261" s="20" t="n">
        <v>317.16</v>
      </c>
    </row>
    <row r="262" customFormat="false" ht="15" hidden="false" customHeight="false" outlineLevel="0" collapsed="false">
      <c r="A262" s="8" t="s">
        <v>983</v>
      </c>
      <c r="B262" s="10" t="n">
        <v>46245</v>
      </c>
      <c r="C262" s="8" t="s">
        <v>323</v>
      </c>
      <c r="D262" s="8" t="s">
        <v>698</v>
      </c>
      <c r="E262" s="8" t="s">
        <v>804</v>
      </c>
      <c r="F262" s="9" t="n">
        <v>4</v>
      </c>
      <c r="G262" s="20" t="n">
        <v>96.51</v>
      </c>
      <c r="H262" s="20" t="n">
        <v>386.04</v>
      </c>
    </row>
    <row r="263" customFormat="false" ht="15" hidden="false" customHeight="false" outlineLevel="0" collapsed="false">
      <c r="A263" s="8" t="s">
        <v>984</v>
      </c>
      <c r="B263" s="10" t="n">
        <v>45929</v>
      </c>
      <c r="C263" s="8" t="s">
        <v>69</v>
      </c>
      <c r="D263" s="8" t="s">
        <v>698</v>
      </c>
      <c r="E263" s="8" t="s">
        <v>713</v>
      </c>
      <c r="F263" s="9" t="n">
        <v>2</v>
      </c>
      <c r="G263" s="20" t="n">
        <v>19.24</v>
      </c>
      <c r="H263" s="20" t="n">
        <v>38.48</v>
      </c>
    </row>
    <row r="264" customFormat="false" ht="15" hidden="false" customHeight="false" outlineLevel="0" collapsed="false">
      <c r="A264" s="8" t="s">
        <v>985</v>
      </c>
      <c r="B264" s="10" t="n">
        <v>46227</v>
      </c>
      <c r="C264" s="8" t="s">
        <v>390</v>
      </c>
      <c r="D264" s="8" t="s">
        <v>698</v>
      </c>
      <c r="E264" s="8" t="s">
        <v>708</v>
      </c>
      <c r="F264" s="9" t="n">
        <v>2</v>
      </c>
      <c r="G264" s="20" t="n">
        <v>10.07</v>
      </c>
      <c r="H264" s="20" t="n">
        <v>20.14</v>
      </c>
    </row>
    <row r="265" customFormat="false" ht="15" hidden="false" customHeight="false" outlineLevel="0" collapsed="false">
      <c r="A265" s="8" t="s">
        <v>986</v>
      </c>
      <c r="B265" s="10" t="n">
        <v>45959</v>
      </c>
      <c r="C265" s="8" t="s">
        <v>69</v>
      </c>
      <c r="D265" s="8" t="s">
        <v>698</v>
      </c>
      <c r="E265" s="8" t="s">
        <v>713</v>
      </c>
      <c r="F265" s="9" t="n">
        <v>5</v>
      </c>
      <c r="G265" s="20" t="n">
        <v>19.27</v>
      </c>
      <c r="H265" s="20" t="n">
        <v>96.35</v>
      </c>
    </row>
    <row r="266" customFormat="false" ht="15" hidden="false" customHeight="false" outlineLevel="0" collapsed="false">
      <c r="A266" s="8" t="s">
        <v>987</v>
      </c>
      <c r="B266" s="10" t="n">
        <v>46247</v>
      </c>
      <c r="C266" s="8" t="s">
        <v>69</v>
      </c>
      <c r="D266" s="8" t="s">
        <v>698</v>
      </c>
      <c r="E266" s="8" t="s">
        <v>713</v>
      </c>
      <c r="F266" s="9" t="n">
        <v>3</v>
      </c>
      <c r="G266" s="20" t="n">
        <v>18.94</v>
      </c>
      <c r="H266" s="20" t="n">
        <v>56.82</v>
      </c>
    </row>
    <row r="267" customFormat="false" ht="15" hidden="false" customHeight="false" outlineLevel="0" collapsed="false">
      <c r="A267" s="8" t="s">
        <v>988</v>
      </c>
      <c r="B267" s="10" t="n">
        <v>45934</v>
      </c>
      <c r="C267" s="8" t="s">
        <v>262</v>
      </c>
      <c r="D267" s="8" t="s">
        <v>698</v>
      </c>
      <c r="E267" s="8" t="s">
        <v>737</v>
      </c>
      <c r="F267" s="9" t="n">
        <v>5</v>
      </c>
      <c r="G267" s="20" t="n">
        <v>11.95</v>
      </c>
      <c r="H267" s="20" t="n">
        <v>59.75</v>
      </c>
    </row>
    <row r="268" customFormat="false" ht="15" hidden="false" customHeight="false" outlineLevel="0" collapsed="false">
      <c r="A268" s="8" t="s">
        <v>989</v>
      </c>
      <c r="B268" s="10" t="n">
        <v>45983</v>
      </c>
      <c r="C268" s="8" t="s">
        <v>145</v>
      </c>
      <c r="D268" s="8" t="s">
        <v>698</v>
      </c>
      <c r="E268" s="8" t="s">
        <v>754</v>
      </c>
      <c r="F268" s="9" t="n">
        <v>1</v>
      </c>
      <c r="G268" s="20" t="n">
        <v>88.33</v>
      </c>
      <c r="H268" s="20" t="n">
        <v>88.33</v>
      </c>
    </row>
    <row r="269" customFormat="false" ht="15" hidden="false" customHeight="false" outlineLevel="0" collapsed="false">
      <c r="A269" s="8" t="s">
        <v>990</v>
      </c>
      <c r="B269" s="10" t="n">
        <v>45901</v>
      </c>
      <c r="C269" s="8" t="s">
        <v>646</v>
      </c>
      <c r="D269" s="8" t="s">
        <v>703</v>
      </c>
      <c r="E269" s="8" t="s">
        <v>732</v>
      </c>
      <c r="F269" s="9" t="n">
        <v>8</v>
      </c>
      <c r="G269" s="20" t="n">
        <v>184.66</v>
      </c>
      <c r="H269" s="20" t="n">
        <v>1477.28</v>
      </c>
    </row>
    <row r="270" customFormat="false" ht="15" hidden="false" customHeight="false" outlineLevel="0" collapsed="false">
      <c r="A270" s="8" t="s">
        <v>991</v>
      </c>
      <c r="B270" s="10" t="n">
        <v>46254</v>
      </c>
      <c r="C270" s="8" t="s">
        <v>52</v>
      </c>
      <c r="D270" s="8" t="s">
        <v>703</v>
      </c>
      <c r="E270" s="8" t="s">
        <v>720</v>
      </c>
      <c r="F270" s="9" t="n">
        <v>2</v>
      </c>
      <c r="G270" s="20" t="n">
        <v>32.56</v>
      </c>
      <c r="H270" s="20" t="n">
        <v>65.12</v>
      </c>
    </row>
    <row r="271" customFormat="false" ht="15" hidden="false" customHeight="false" outlineLevel="0" collapsed="false">
      <c r="A271" s="8" t="s">
        <v>992</v>
      </c>
      <c r="B271" s="10" t="n">
        <v>45918</v>
      </c>
      <c r="C271" s="8" t="s">
        <v>115</v>
      </c>
      <c r="D271" s="8" t="s">
        <v>698</v>
      </c>
      <c r="E271" s="8" t="s">
        <v>821</v>
      </c>
      <c r="F271" s="9" t="n">
        <v>3</v>
      </c>
      <c r="G271" s="20" t="n">
        <v>43.74</v>
      </c>
      <c r="H271" s="20" t="n">
        <v>131.22</v>
      </c>
    </row>
    <row r="272" customFormat="false" ht="15" hidden="false" customHeight="false" outlineLevel="0" collapsed="false">
      <c r="A272" s="8" t="s">
        <v>993</v>
      </c>
      <c r="B272" s="10" t="n">
        <v>46101</v>
      </c>
      <c r="C272" s="8" t="s">
        <v>277</v>
      </c>
      <c r="D272" s="8" t="s">
        <v>698</v>
      </c>
      <c r="E272" s="8" t="s">
        <v>710</v>
      </c>
      <c r="F272" s="9" t="n">
        <v>3</v>
      </c>
      <c r="G272" s="20" t="n">
        <v>58.86</v>
      </c>
      <c r="H272" s="20" t="n">
        <v>176.58</v>
      </c>
    </row>
    <row r="273" customFormat="false" ht="15" hidden="false" customHeight="false" outlineLevel="0" collapsed="false">
      <c r="A273" s="8" t="s">
        <v>994</v>
      </c>
      <c r="B273" s="10" t="n">
        <v>46249</v>
      </c>
      <c r="C273" s="8" t="s">
        <v>214</v>
      </c>
      <c r="D273" s="8" t="s">
        <v>703</v>
      </c>
      <c r="E273" s="8" t="s">
        <v>715</v>
      </c>
      <c r="F273" s="9" t="n">
        <v>1</v>
      </c>
      <c r="G273" s="20" t="n">
        <v>47.85</v>
      </c>
      <c r="H273" s="20" t="n">
        <v>47.85</v>
      </c>
    </row>
    <row r="274" customFormat="false" ht="15" hidden="false" customHeight="false" outlineLevel="0" collapsed="false">
      <c r="A274" s="8" t="s">
        <v>995</v>
      </c>
      <c r="B274" s="10" t="n">
        <v>46188</v>
      </c>
      <c r="C274" s="8" t="s">
        <v>115</v>
      </c>
      <c r="D274" s="8" t="s">
        <v>698</v>
      </c>
      <c r="E274" s="8" t="s">
        <v>821</v>
      </c>
      <c r="F274" s="9" t="n">
        <v>2</v>
      </c>
      <c r="G274" s="20" t="n">
        <v>42.61</v>
      </c>
      <c r="H274" s="20" t="n">
        <v>85.22</v>
      </c>
    </row>
    <row r="275" customFormat="false" ht="15" hidden="false" customHeight="false" outlineLevel="0" collapsed="false">
      <c r="A275" s="8" t="s">
        <v>996</v>
      </c>
      <c r="B275" s="10" t="n">
        <v>45925</v>
      </c>
      <c r="C275" s="8" t="s">
        <v>145</v>
      </c>
      <c r="D275" s="8" t="s">
        <v>703</v>
      </c>
      <c r="E275" s="8" t="s">
        <v>706</v>
      </c>
      <c r="F275" s="9" t="n">
        <v>4</v>
      </c>
      <c r="G275" s="20" t="n">
        <v>231.43</v>
      </c>
      <c r="H275" s="20" t="n">
        <v>925.72</v>
      </c>
    </row>
    <row r="276" customFormat="false" ht="15" hidden="false" customHeight="false" outlineLevel="0" collapsed="false">
      <c r="A276" s="8" t="s">
        <v>997</v>
      </c>
      <c r="B276" s="10" t="n">
        <v>45983</v>
      </c>
      <c r="C276" s="8" t="s">
        <v>262</v>
      </c>
      <c r="D276" s="8" t="s">
        <v>703</v>
      </c>
      <c r="E276" s="8" t="s">
        <v>769</v>
      </c>
      <c r="F276" s="9" t="n">
        <v>2</v>
      </c>
      <c r="G276" s="20" t="n">
        <v>31.85</v>
      </c>
      <c r="H276" s="20" t="n">
        <v>63.7</v>
      </c>
    </row>
    <row r="277" customFormat="false" ht="15" hidden="false" customHeight="false" outlineLevel="0" collapsed="false">
      <c r="A277" s="8" t="s">
        <v>998</v>
      </c>
      <c r="B277" s="10" t="n">
        <v>46135</v>
      </c>
      <c r="C277" s="8" t="s">
        <v>52</v>
      </c>
      <c r="D277" s="8" t="s">
        <v>703</v>
      </c>
      <c r="E277" s="8" t="s">
        <v>720</v>
      </c>
      <c r="F277" s="9" t="n">
        <v>8</v>
      </c>
      <c r="G277" s="20" t="n">
        <v>36.92</v>
      </c>
      <c r="H277" s="20" t="n">
        <v>295.36</v>
      </c>
    </row>
    <row r="278" customFormat="false" ht="15" hidden="false" customHeight="false" outlineLevel="0" collapsed="false">
      <c r="A278" s="8" t="s">
        <v>999</v>
      </c>
      <c r="B278" s="10" t="n">
        <v>45903</v>
      </c>
      <c r="C278" s="8" t="s">
        <v>52</v>
      </c>
      <c r="D278" s="8" t="s">
        <v>703</v>
      </c>
      <c r="E278" s="8" t="s">
        <v>720</v>
      </c>
      <c r="F278" s="9" t="n">
        <v>4</v>
      </c>
      <c r="G278" s="20" t="n">
        <v>35.06</v>
      </c>
      <c r="H278" s="20" t="n">
        <v>140.24</v>
      </c>
    </row>
    <row r="279" customFormat="false" ht="15" hidden="false" customHeight="false" outlineLevel="0" collapsed="false">
      <c r="A279" s="8" t="s">
        <v>1000</v>
      </c>
      <c r="B279" s="10" t="n">
        <v>46114</v>
      </c>
      <c r="C279" s="8" t="s">
        <v>52</v>
      </c>
      <c r="D279" s="8" t="s">
        <v>698</v>
      </c>
      <c r="E279" s="8" t="s">
        <v>699</v>
      </c>
      <c r="F279" s="9" t="n">
        <v>4</v>
      </c>
      <c r="G279" s="20" t="n">
        <v>16.02</v>
      </c>
      <c r="H279" s="20" t="n">
        <v>64.08</v>
      </c>
    </row>
    <row r="280" customFormat="false" ht="15" hidden="false" customHeight="false" outlineLevel="0" collapsed="false">
      <c r="A280" s="8" t="s">
        <v>1001</v>
      </c>
      <c r="B280" s="10" t="n">
        <v>46153</v>
      </c>
      <c r="C280" s="8" t="s">
        <v>69</v>
      </c>
      <c r="D280" s="8" t="s">
        <v>703</v>
      </c>
      <c r="E280" s="8" t="s">
        <v>734</v>
      </c>
      <c r="F280" s="9" t="n">
        <v>2</v>
      </c>
      <c r="G280" s="20" t="n">
        <v>40.22</v>
      </c>
      <c r="H280" s="20" t="n">
        <v>80.44</v>
      </c>
    </row>
    <row r="281" customFormat="false" ht="15" hidden="false" customHeight="false" outlineLevel="0" collapsed="false">
      <c r="A281" s="8" t="s">
        <v>1002</v>
      </c>
      <c r="B281" s="10" t="n">
        <v>45960</v>
      </c>
      <c r="C281" s="8" t="s">
        <v>214</v>
      </c>
      <c r="D281" s="8" t="s">
        <v>698</v>
      </c>
      <c r="E281" s="8" t="s">
        <v>701</v>
      </c>
      <c r="F281" s="9" t="n">
        <v>1</v>
      </c>
      <c r="G281" s="20" t="n">
        <v>19.17</v>
      </c>
      <c r="H281" s="20" t="n">
        <v>19.17</v>
      </c>
    </row>
    <row r="282" customFormat="false" ht="15" hidden="false" customHeight="false" outlineLevel="0" collapsed="false">
      <c r="A282" s="8" t="s">
        <v>1003</v>
      </c>
      <c r="B282" s="10" t="n">
        <v>46099</v>
      </c>
      <c r="C282" s="8" t="s">
        <v>650</v>
      </c>
      <c r="D282" s="8" t="s">
        <v>698</v>
      </c>
      <c r="E282" s="8" t="s">
        <v>800</v>
      </c>
      <c r="F282" s="9" t="n">
        <v>2</v>
      </c>
      <c r="G282" s="20" t="n">
        <v>27.35</v>
      </c>
      <c r="H282" s="20" t="n">
        <v>54.7</v>
      </c>
    </row>
    <row r="283" customFormat="false" ht="15" hidden="false" customHeight="false" outlineLevel="0" collapsed="false">
      <c r="A283" s="8" t="s">
        <v>1004</v>
      </c>
      <c r="B283" s="10" t="n">
        <v>46044</v>
      </c>
      <c r="C283" s="8" t="s">
        <v>214</v>
      </c>
      <c r="D283" s="8" t="s">
        <v>703</v>
      </c>
      <c r="E283" s="8" t="s">
        <v>715</v>
      </c>
      <c r="F283" s="9" t="n">
        <v>3</v>
      </c>
      <c r="G283" s="20" t="n">
        <v>47.09</v>
      </c>
      <c r="H283" s="20" t="n">
        <v>141.27</v>
      </c>
    </row>
    <row r="284" customFormat="false" ht="15" hidden="false" customHeight="false" outlineLevel="0" collapsed="false">
      <c r="A284" s="8" t="s">
        <v>1005</v>
      </c>
      <c r="B284" s="10" t="n">
        <v>46031</v>
      </c>
      <c r="C284" s="8" t="s">
        <v>166</v>
      </c>
      <c r="D284" s="8" t="s">
        <v>698</v>
      </c>
      <c r="E284" s="8" t="s">
        <v>729</v>
      </c>
      <c r="F284" s="9" t="n">
        <v>3</v>
      </c>
      <c r="G284" s="20" t="n">
        <v>144.44</v>
      </c>
      <c r="H284" s="20" t="n">
        <v>433.32</v>
      </c>
    </row>
    <row r="285" customFormat="false" ht="15" hidden="false" customHeight="false" outlineLevel="0" collapsed="false">
      <c r="A285" s="8" t="s">
        <v>1006</v>
      </c>
      <c r="B285" s="10" t="n">
        <v>46204</v>
      </c>
      <c r="C285" s="8" t="s">
        <v>154</v>
      </c>
      <c r="D285" s="8" t="s">
        <v>703</v>
      </c>
      <c r="E285" s="8" t="s">
        <v>778</v>
      </c>
      <c r="F285" s="9" t="n">
        <v>4</v>
      </c>
      <c r="G285" s="20" t="n">
        <v>51.02</v>
      </c>
      <c r="H285" s="20" t="n">
        <v>204.08</v>
      </c>
    </row>
    <row r="286" customFormat="false" ht="15" hidden="false" customHeight="false" outlineLevel="0" collapsed="false">
      <c r="A286" s="8" t="s">
        <v>1007</v>
      </c>
      <c r="B286" s="10" t="n">
        <v>46238</v>
      </c>
      <c r="C286" s="8" t="s">
        <v>166</v>
      </c>
      <c r="D286" s="8" t="s">
        <v>703</v>
      </c>
      <c r="E286" s="8" t="s">
        <v>774</v>
      </c>
      <c r="F286" s="9" t="n">
        <v>1</v>
      </c>
      <c r="G286" s="20" t="n">
        <v>390.69</v>
      </c>
      <c r="H286" s="20" t="n">
        <v>390.69</v>
      </c>
    </row>
    <row r="287" customFormat="false" ht="15" hidden="false" customHeight="false" outlineLevel="0" collapsed="false">
      <c r="A287" s="8" t="s">
        <v>1008</v>
      </c>
      <c r="B287" s="10" t="n">
        <v>46156</v>
      </c>
      <c r="C287" s="8" t="s">
        <v>650</v>
      </c>
      <c r="D287" s="8" t="s">
        <v>703</v>
      </c>
      <c r="E287" s="8" t="s">
        <v>858</v>
      </c>
      <c r="F287" s="9" t="n">
        <v>8</v>
      </c>
      <c r="G287" s="20" t="n">
        <v>67.48</v>
      </c>
      <c r="H287" s="20" t="n">
        <v>539.84</v>
      </c>
    </row>
    <row r="288" customFormat="false" ht="15" hidden="false" customHeight="false" outlineLevel="0" collapsed="false">
      <c r="A288" s="8" t="s">
        <v>1009</v>
      </c>
      <c r="B288" s="10" t="n">
        <v>46141</v>
      </c>
      <c r="C288" s="8" t="s">
        <v>52</v>
      </c>
      <c r="D288" s="8" t="s">
        <v>698</v>
      </c>
      <c r="E288" s="8" t="s">
        <v>699</v>
      </c>
      <c r="F288" s="9" t="n">
        <v>2</v>
      </c>
      <c r="G288" s="20" t="n">
        <v>15.04</v>
      </c>
      <c r="H288" s="20" t="n">
        <v>30.08</v>
      </c>
    </row>
    <row r="289" customFormat="false" ht="15" hidden="false" customHeight="false" outlineLevel="0" collapsed="false">
      <c r="A289" s="8" t="s">
        <v>1010</v>
      </c>
      <c r="B289" s="10" t="n">
        <v>45995</v>
      </c>
      <c r="C289" s="8" t="s">
        <v>390</v>
      </c>
      <c r="D289" s="8" t="s">
        <v>698</v>
      </c>
      <c r="E289" s="8" t="s">
        <v>708</v>
      </c>
      <c r="F289" s="9" t="n">
        <v>3</v>
      </c>
      <c r="G289" s="20" t="n">
        <v>9.72</v>
      </c>
      <c r="H289" s="20" t="n">
        <v>29.16</v>
      </c>
    </row>
    <row r="290" customFormat="false" ht="15" hidden="false" customHeight="false" outlineLevel="0" collapsed="false">
      <c r="A290" s="8" t="s">
        <v>1011</v>
      </c>
      <c r="B290" s="10" t="n">
        <v>45960</v>
      </c>
      <c r="C290" s="8" t="s">
        <v>115</v>
      </c>
      <c r="D290" s="8" t="s">
        <v>698</v>
      </c>
      <c r="E290" s="8" t="s">
        <v>821</v>
      </c>
      <c r="F290" s="9" t="n">
        <v>3</v>
      </c>
      <c r="G290" s="20" t="n">
        <v>44.38</v>
      </c>
      <c r="H290" s="20" t="n">
        <v>133.14</v>
      </c>
    </row>
    <row r="291" customFormat="false" ht="15" hidden="false" customHeight="false" outlineLevel="0" collapsed="false">
      <c r="A291" s="8" t="s">
        <v>1012</v>
      </c>
      <c r="B291" s="10" t="n">
        <v>45968</v>
      </c>
      <c r="C291" s="8" t="s">
        <v>52</v>
      </c>
      <c r="D291" s="8" t="s">
        <v>698</v>
      </c>
      <c r="E291" s="8" t="s">
        <v>699</v>
      </c>
      <c r="F291" s="9" t="n">
        <v>3</v>
      </c>
      <c r="G291" s="20" t="n">
        <v>15.79</v>
      </c>
      <c r="H291" s="20" t="n">
        <v>47.37</v>
      </c>
    </row>
    <row r="292" customFormat="false" ht="15" hidden="false" customHeight="false" outlineLevel="0" collapsed="false">
      <c r="A292" s="8" t="s">
        <v>1013</v>
      </c>
      <c r="B292" s="10" t="n">
        <v>46224</v>
      </c>
      <c r="C292" s="8" t="s">
        <v>52</v>
      </c>
      <c r="D292" s="8" t="s">
        <v>698</v>
      </c>
      <c r="E292" s="8" t="s">
        <v>699</v>
      </c>
      <c r="F292" s="9" t="n">
        <v>4</v>
      </c>
      <c r="G292" s="20" t="n">
        <v>14.29</v>
      </c>
      <c r="H292" s="20" t="n">
        <v>57.16</v>
      </c>
    </row>
    <row r="293" customFormat="false" ht="15" hidden="false" customHeight="false" outlineLevel="0" collapsed="false">
      <c r="A293" s="8" t="s">
        <v>1014</v>
      </c>
      <c r="B293" s="10" t="n">
        <v>45994</v>
      </c>
      <c r="C293" s="8" t="s">
        <v>390</v>
      </c>
      <c r="D293" s="8" t="s">
        <v>703</v>
      </c>
      <c r="E293" s="8" t="s">
        <v>785</v>
      </c>
      <c r="F293" s="9" t="n">
        <v>2</v>
      </c>
      <c r="G293" s="20" t="n">
        <v>25.93</v>
      </c>
      <c r="H293" s="20" t="n">
        <v>51.86</v>
      </c>
    </row>
    <row r="294" customFormat="false" ht="15" hidden="false" customHeight="false" outlineLevel="0" collapsed="false">
      <c r="A294" s="8" t="s">
        <v>1015</v>
      </c>
      <c r="B294" s="10" t="n">
        <v>46209</v>
      </c>
      <c r="C294" s="8" t="s">
        <v>52</v>
      </c>
      <c r="D294" s="8" t="s">
        <v>703</v>
      </c>
      <c r="E294" s="8" t="s">
        <v>720</v>
      </c>
      <c r="F294" s="9" t="n">
        <v>1</v>
      </c>
      <c r="G294" s="20" t="n">
        <v>34.63</v>
      </c>
      <c r="H294" s="20" t="n">
        <v>34.63</v>
      </c>
    </row>
    <row r="295" customFormat="false" ht="15" hidden="false" customHeight="false" outlineLevel="0" collapsed="false">
      <c r="A295" s="8" t="s">
        <v>1016</v>
      </c>
      <c r="B295" s="10" t="n">
        <v>46122</v>
      </c>
      <c r="C295" s="8" t="s">
        <v>323</v>
      </c>
      <c r="D295" s="8" t="s">
        <v>703</v>
      </c>
      <c r="E295" s="8" t="s">
        <v>704</v>
      </c>
      <c r="F295" s="9" t="n">
        <v>8</v>
      </c>
      <c r="G295" s="20" t="n">
        <v>235.35</v>
      </c>
      <c r="H295" s="20" t="n">
        <v>1882.8</v>
      </c>
    </row>
    <row r="296" customFormat="false" ht="15" hidden="false" customHeight="false" outlineLevel="0" collapsed="false">
      <c r="A296" s="8" t="s">
        <v>1017</v>
      </c>
      <c r="B296" s="10" t="n">
        <v>46137</v>
      </c>
      <c r="C296" s="8" t="s">
        <v>646</v>
      </c>
      <c r="D296" s="8" t="s">
        <v>698</v>
      </c>
      <c r="E296" s="8" t="s">
        <v>782</v>
      </c>
      <c r="F296" s="9" t="n">
        <v>2</v>
      </c>
      <c r="G296" s="20" t="n">
        <v>68.2</v>
      </c>
      <c r="H296" s="20" t="n">
        <v>136.4</v>
      </c>
    </row>
    <row r="297" customFormat="false" ht="15" hidden="false" customHeight="false" outlineLevel="0" collapsed="false">
      <c r="A297" s="8" t="s">
        <v>1018</v>
      </c>
      <c r="B297" s="10" t="n">
        <v>46186</v>
      </c>
      <c r="C297" s="8" t="s">
        <v>69</v>
      </c>
      <c r="D297" s="8" t="s">
        <v>698</v>
      </c>
      <c r="E297" s="8" t="s">
        <v>713</v>
      </c>
      <c r="F297" s="9" t="n">
        <v>7</v>
      </c>
      <c r="G297" s="20" t="n">
        <v>18.16</v>
      </c>
      <c r="H297" s="20" t="n">
        <v>127.12</v>
      </c>
    </row>
    <row r="298" customFormat="false" ht="15" hidden="false" customHeight="false" outlineLevel="0" collapsed="false">
      <c r="A298" s="8" t="s">
        <v>1019</v>
      </c>
      <c r="B298" s="10" t="n">
        <v>46115</v>
      </c>
      <c r="C298" s="8" t="s">
        <v>115</v>
      </c>
      <c r="D298" s="8" t="s">
        <v>698</v>
      </c>
      <c r="E298" s="8" t="s">
        <v>821</v>
      </c>
      <c r="F298" s="9" t="n">
        <v>4</v>
      </c>
      <c r="G298" s="20" t="n">
        <v>46.09</v>
      </c>
      <c r="H298" s="20" t="n">
        <v>184.36</v>
      </c>
    </row>
    <row r="299" customFormat="false" ht="15" hidden="false" customHeight="false" outlineLevel="0" collapsed="false">
      <c r="A299" s="8" t="s">
        <v>1020</v>
      </c>
      <c r="B299" s="10" t="n">
        <v>46180</v>
      </c>
      <c r="C299" s="8" t="s">
        <v>323</v>
      </c>
      <c r="D299" s="8" t="s">
        <v>698</v>
      </c>
      <c r="E299" s="8" t="s">
        <v>804</v>
      </c>
      <c r="F299" s="9" t="n">
        <v>2</v>
      </c>
      <c r="G299" s="20" t="n">
        <v>88.36</v>
      </c>
      <c r="H299" s="20" t="n">
        <v>176.72</v>
      </c>
    </row>
    <row r="300" customFormat="false" ht="15" hidden="false" customHeight="false" outlineLevel="0" collapsed="false">
      <c r="A300" s="8" t="s">
        <v>1021</v>
      </c>
      <c r="B300" s="10" t="n">
        <v>46153</v>
      </c>
      <c r="C300" s="8" t="s">
        <v>277</v>
      </c>
      <c r="D300" s="8" t="s">
        <v>698</v>
      </c>
      <c r="E300" s="8" t="s">
        <v>710</v>
      </c>
      <c r="F300" s="9" t="n">
        <v>1</v>
      </c>
      <c r="G300" s="20" t="n">
        <v>63.33</v>
      </c>
      <c r="H300" s="20" t="n">
        <v>63.33</v>
      </c>
    </row>
    <row r="301" customFormat="false" ht="15" hidden="false" customHeight="false" outlineLevel="0" collapsed="false">
      <c r="A301" s="8" t="s">
        <v>1022</v>
      </c>
      <c r="B301" s="10" t="n">
        <v>45947</v>
      </c>
      <c r="C301" s="8" t="s">
        <v>390</v>
      </c>
      <c r="D301" s="8" t="s">
        <v>698</v>
      </c>
      <c r="E301" s="8" t="s">
        <v>708</v>
      </c>
      <c r="F301" s="9" t="n">
        <v>4</v>
      </c>
      <c r="G301" s="20" t="n">
        <v>9.6</v>
      </c>
      <c r="H301" s="20" t="n">
        <v>38.4</v>
      </c>
    </row>
    <row r="302" customFormat="false" ht="15" hidden="false" customHeight="false" outlineLevel="0" collapsed="false">
      <c r="A302" s="8" t="s">
        <v>1023</v>
      </c>
      <c r="B302" s="10" t="n">
        <v>46138</v>
      </c>
      <c r="C302" s="8" t="s">
        <v>390</v>
      </c>
      <c r="D302" s="8" t="s">
        <v>698</v>
      </c>
      <c r="E302" s="8" t="s">
        <v>708</v>
      </c>
      <c r="F302" s="9" t="n">
        <v>2</v>
      </c>
      <c r="G302" s="20" t="n">
        <v>10.51</v>
      </c>
      <c r="H302" s="20" t="n">
        <v>21.02</v>
      </c>
    </row>
    <row r="303" customFormat="false" ht="15" hidden="false" customHeight="false" outlineLevel="0" collapsed="false">
      <c r="A303" s="8" t="s">
        <v>1024</v>
      </c>
      <c r="B303" s="10" t="n">
        <v>46170</v>
      </c>
      <c r="C303" s="8" t="s">
        <v>166</v>
      </c>
      <c r="D303" s="8" t="s">
        <v>698</v>
      </c>
      <c r="E303" s="8" t="s">
        <v>729</v>
      </c>
      <c r="F303" s="9" t="n">
        <v>5</v>
      </c>
      <c r="G303" s="20" t="n">
        <v>154.67</v>
      </c>
      <c r="H303" s="20" t="n">
        <v>773.35</v>
      </c>
    </row>
    <row r="304" customFormat="false" ht="15" hidden="false" customHeight="false" outlineLevel="0" collapsed="false">
      <c r="A304" s="8" t="s">
        <v>1025</v>
      </c>
      <c r="B304" s="10" t="n">
        <v>46121</v>
      </c>
      <c r="C304" s="8" t="s">
        <v>154</v>
      </c>
      <c r="D304" s="8" t="s">
        <v>698</v>
      </c>
      <c r="E304" s="8" t="s">
        <v>750</v>
      </c>
      <c r="F304" s="9" t="n">
        <v>7</v>
      </c>
      <c r="G304" s="20" t="n">
        <v>24.37</v>
      </c>
      <c r="H304" s="20" t="n">
        <v>170.59</v>
      </c>
    </row>
    <row r="305" customFormat="false" ht="15" hidden="false" customHeight="false" outlineLevel="0" collapsed="false">
      <c r="A305" s="8" t="s">
        <v>1026</v>
      </c>
      <c r="B305" s="10" t="n">
        <v>45942</v>
      </c>
      <c r="C305" s="8" t="s">
        <v>145</v>
      </c>
      <c r="D305" s="8" t="s">
        <v>703</v>
      </c>
      <c r="E305" s="8" t="s">
        <v>706</v>
      </c>
      <c r="F305" s="9" t="n">
        <v>1</v>
      </c>
      <c r="G305" s="20" t="n">
        <v>209.86</v>
      </c>
      <c r="H305" s="20" t="n">
        <v>209.86</v>
      </c>
    </row>
    <row r="306" customFormat="false" ht="15" hidden="false" customHeight="false" outlineLevel="0" collapsed="false">
      <c r="A306" s="8" t="s">
        <v>1027</v>
      </c>
      <c r="B306" s="10" t="n">
        <v>46204</v>
      </c>
      <c r="C306" s="8" t="s">
        <v>214</v>
      </c>
      <c r="D306" s="8" t="s">
        <v>698</v>
      </c>
      <c r="E306" s="8" t="s">
        <v>701</v>
      </c>
      <c r="F306" s="9" t="n">
        <v>7</v>
      </c>
      <c r="G306" s="20" t="n">
        <v>21.33</v>
      </c>
      <c r="H306" s="20" t="n">
        <v>149.31</v>
      </c>
    </row>
    <row r="307" customFormat="false" ht="15" hidden="false" customHeight="false" outlineLevel="0" collapsed="false">
      <c r="A307" s="8" t="s">
        <v>1028</v>
      </c>
      <c r="B307" s="10" t="n">
        <v>46044</v>
      </c>
      <c r="C307" s="8" t="s">
        <v>262</v>
      </c>
      <c r="D307" s="8" t="s">
        <v>703</v>
      </c>
      <c r="E307" s="8" t="s">
        <v>769</v>
      </c>
      <c r="F307" s="9" t="n">
        <v>4</v>
      </c>
      <c r="G307" s="20" t="n">
        <v>29.5</v>
      </c>
      <c r="H307" s="20" t="n">
        <v>118</v>
      </c>
    </row>
    <row r="308" customFormat="false" ht="15" hidden="false" customHeight="false" outlineLevel="0" collapsed="false">
      <c r="A308" s="8" t="s">
        <v>1029</v>
      </c>
      <c r="B308" s="10" t="n">
        <v>46107</v>
      </c>
      <c r="C308" s="8" t="s">
        <v>166</v>
      </c>
      <c r="D308" s="8" t="s">
        <v>698</v>
      </c>
      <c r="E308" s="8" t="s">
        <v>729</v>
      </c>
      <c r="F308" s="9" t="n">
        <v>6</v>
      </c>
      <c r="G308" s="20" t="n">
        <v>155.27</v>
      </c>
      <c r="H308" s="20" t="n">
        <v>931.62</v>
      </c>
    </row>
    <row r="309" customFormat="false" ht="15" hidden="false" customHeight="false" outlineLevel="0" collapsed="false">
      <c r="A309" s="8" t="s">
        <v>1030</v>
      </c>
      <c r="B309" s="10" t="n">
        <v>46259</v>
      </c>
      <c r="C309" s="8" t="s">
        <v>145</v>
      </c>
      <c r="D309" s="8" t="s">
        <v>698</v>
      </c>
      <c r="E309" s="8" t="s">
        <v>754</v>
      </c>
      <c r="F309" s="9" t="n">
        <v>1</v>
      </c>
      <c r="G309" s="20" t="n">
        <v>87.66</v>
      </c>
      <c r="H309" s="20" t="n">
        <v>87.66</v>
      </c>
    </row>
    <row r="310" customFormat="false" ht="15" hidden="false" customHeight="false" outlineLevel="0" collapsed="false">
      <c r="A310" s="8" t="s">
        <v>1031</v>
      </c>
      <c r="B310" s="10" t="n">
        <v>46149</v>
      </c>
      <c r="C310" s="8" t="s">
        <v>390</v>
      </c>
      <c r="D310" s="8" t="s">
        <v>698</v>
      </c>
      <c r="E310" s="8" t="s">
        <v>708</v>
      </c>
      <c r="F310" s="9" t="n">
        <v>2</v>
      </c>
      <c r="G310" s="20" t="n">
        <v>9.61</v>
      </c>
      <c r="H310" s="20" t="n">
        <v>19.22</v>
      </c>
    </row>
    <row r="311" customFormat="false" ht="15" hidden="false" customHeight="false" outlineLevel="0" collapsed="false">
      <c r="A311" s="8" t="s">
        <v>1032</v>
      </c>
      <c r="B311" s="10" t="n">
        <v>45982</v>
      </c>
      <c r="C311" s="8" t="s">
        <v>154</v>
      </c>
      <c r="D311" s="8" t="s">
        <v>698</v>
      </c>
      <c r="E311" s="8" t="s">
        <v>750</v>
      </c>
      <c r="F311" s="9" t="n">
        <v>4</v>
      </c>
      <c r="G311" s="20" t="n">
        <v>24.54</v>
      </c>
      <c r="H311" s="20" t="n">
        <v>98.16</v>
      </c>
    </row>
    <row r="312" customFormat="false" ht="15" hidden="false" customHeight="false" outlineLevel="0" collapsed="false">
      <c r="A312" s="8" t="s">
        <v>1033</v>
      </c>
      <c r="B312" s="10" t="n">
        <v>46174</v>
      </c>
      <c r="C312" s="8" t="s">
        <v>390</v>
      </c>
      <c r="D312" s="8" t="s">
        <v>703</v>
      </c>
      <c r="E312" s="8" t="s">
        <v>785</v>
      </c>
      <c r="F312" s="9" t="n">
        <v>5</v>
      </c>
      <c r="G312" s="20" t="n">
        <v>25.35</v>
      </c>
      <c r="H312" s="20" t="n">
        <v>126.75</v>
      </c>
    </row>
    <row r="313" customFormat="false" ht="15" hidden="false" customHeight="false" outlineLevel="0" collapsed="false">
      <c r="A313" s="8" t="s">
        <v>1034</v>
      </c>
      <c r="B313" s="10" t="n">
        <v>45927</v>
      </c>
      <c r="C313" s="8" t="s">
        <v>390</v>
      </c>
      <c r="D313" s="8" t="s">
        <v>698</v>
      </c>
      <c r="E313" s="8" t="s">
        <v>708</v>
      </c>
      <c r="F313" s="9" t="n">
        <v>1</v>
      </c>
      <c r="G313" s="20" t="n">
        <v>10.41</v>
      </c>
      <c r="H313" s="20" t="n">
        <v>10.41</v>
      </c>
    </row>
    <row r="314" customFormat="false" ht="15" hidden="false" customHeight="false" outlineLevel="0" collapsed="false">
      <c r="A314" s="8" t="s">
        <v>1035</v>
      </c>
      <c r="B314" s="10" t="n">
        <v>46205</v>
      </c>
      <c r="C314" s="8" t="s">
        <v>214</v>
      </c>
      <c r="D314" s="8" t="s">
        <v>698</v>
      </c>
      <c r="E314" s="8" t="s">
        <v>701</v>
      </c>
      <c r="F314" s="9" t="n">
        <v>1</v>
      </c>
      <c r="G314" s="20" t="n">
        <v>20.72</v>
      </c>
      <c r="H314" s="20" t="n">
        <v>20.72</v>
      </c>
    </row>
    <row r="315" customFormat="false" ht="15" hidden="false" customHeight="false" outlineLevel="0" collapsed="false">
      <c r="A315" s="8" t="s">
        <v>1036</v>
      </c>
      <c r="B315" s="10" t="n">
        <v>46077</v>
      </c>
      <c r="C315" s="8" t="s">
        <v>214</v>
      </c>
      <c r="D315" s="8" t="s">
        <v>703</v>
      </c>
      <c r="E315" s="8" t="s">
        <v>715</v>
      </c>
      <c r="F315" s="9" t="n">
        <v>1</v>
      </c>
      <c r="G315" s="20" t="n">
        <v>41.5</v>
      </c>
      <c r="H315" s="20" t="n">
        <v>41.5</v>
      </c>
    </row>
    <row r="316" customFormat="false" ht="15" hidden="false" customHeight="false" outlineLevel="0" collapsed="false">
      <c r="A316" s="8" t="s">
        <v>1037</v>
      </c>
      <c r="B316" s="10" t="n">
        <v>45979</v>
      </c>
      <c r="C316" s="8" t="s">
        <v>52</v>
      </c>
      <c r="D316" s="8" t="s">
        <v>703</v>
      </c>
      <c r="E316" s="8" t="s">
        <v>720</v>
      </c>
      <c r="F316" s="9" t="n">
        <v>3</v>
      </c>
      <c r="G316" s="20" t="n">
        <v>33.41</v>
      </c>
      <c r="H316" s="20" t="n">
        <v>100.23</v>
      </c>
    </row>
    <row r="317" customFormat="false" ht="15" hidden="false" customHeight="false" outlineLevel="0" collapsed="false">
      <c r="A317" s="8" t="s">
        <v>1038</v>
      </c>
      <c r="B317" s="10" t="n">
        <v>46228</v>
      </c>
      <c r="C317" s="8" t="s">
        <v>154</v>
      </c>
      <c r="D317" s="8" t="s">
        <v>698</v>
      </c>
      <c r="E317" s="8" t="s">
        <v>750</v>
      </c>
      <c r="F317" s="9" t="n">
        <v>5</v>
      </c>
      <c r="G317" s="20" t="n">
        <v>25.31</v>
      </c>
      <c r="H317" s="20" t="n">
        <v>126.55</v>
      </c>
    </row>
    <row r="318" customFormat="false" ht="15" hidden="false" customHeight="false" outlineLevel="0" collapsed="false">
      <c r="A318" s="8" t="s">
        <v>1039</v>
      </c>
      <c r="B318" s="10" t="n">
        <v>46008</v>
      </c>
      <c r="C318" s="8" t="s">
        <v>154</v>
      </c>
      <c r="D318" s="8" t="s">
        <v>698</v>
      </c>
      <c r="E318" s="8" t="s">
        <v>750</v>
      </c>
      <c r="F318" s="9" t="n">
        <v>2</v>
      </c>
      <c r="G318" s="20" t="n">
        <v>23.38</v>
      </c>
      <c r="H318" s="20" t="n">
        <v>46.76</v>
      </c>
    </row>
    <row r="319" customFormat="false" ht="15" hidden="false" customHeight="false" outlineLevel="0" collapsed="false">
      <c r="A319" s="8" t="s">
        <v>1040</v>
      </c>
      <c r="B319" s="10" t="n">
        <v>46046</v>
      </c>
      <c r="C319" s="8" t="s">
        <v>52</v>
      </c>
      <c r="D319" s="8" t="s">
        <v>698</v>
      </c>
      <c r="E319" s="8" t="s">
        <v>699</v>
      </c>
      <c r="F319" s="9" t="n">
        <v>2</v>
      </c>
      <c r="G319" s="20" t="n">
        <v>15</v>
      </c>
      <c r="H319" s="20" t="n">
        <v>30</v>
      </c>
    </row>
    <row r="320" customFormat="false" ht="15" hidden="false" customHeight="false" outlineLevel="0" collapsed="false">
      <c r="A320" s="8" t="s">
        <v>1041</v>
      </c>
      <c r="B320" s="10" t="n">
        <v>46016</v>
      </c>
      <c r="C320" s="8" t="s">
        <v>394</v>
      </c>
      <c r="D320" s="8" t="s">
        <v>698</v>
      </c>
      <c r="E320" s="8" t="s">
        <v>776</v>
      </c>
      <c r="F320" s="9" t="n">
        <v>1</v>
      </c>
      <c r="G320" s="20" t="n">
        <v>21.81</v>
      </c>
      <c r="H320" s="20" t="n">
        <v>21.81</v>
      </c>
    </row>
    <row r="321" customFormat="false" ht="15" hidden="false" customHeight="false" outlineLevel="0" collapsed="false">
      <c r="A321" s="8" t="s">
        <v>1042</v>
      </c>
      <c r="B321" s="10" t="n">
        <v>46191</v>
      </c>
      <c r="C321" s="8" t="s">
        <v>390</v>
      </c>
      <c r="D321" s="8" t="s">
        <v>703</v>
      </c>
      <c r="E321" s="8" t="s">
        <v>785</v>
      </c>
      <c r="F321" s="9" t="n">
        <v>5</v>
      </c>
      <c r="G321" s="20" t="n">
        <v>24.07</v>
      </c>
      <c r="H321" s="20" t="n">
        <v>120.35</v>
      </c>
    </row>
    <row r="322" customFormat="false" ht="15" hidden="false" customHeight="false" outlineLevel="0" collapsed="false">
      <c r="A322" s="8" t="s">
        <v>1043</v>
      </c>
      <c r="B322" s="10" t="n">
        <v>46002</v>
      </c>
      <c r="C322" s="8" t="s">
        <v>390</v>
      </c>
      <c r="D322" s="8" t="s">
        <v>698</v>
      </c>
      <c r="E322" s="8" t="s">
        <v>708</v>
      </c>
      <c r="F322" s="9" t="n">
        <v>2</v>
      </c>
      <c r="G322" s="20" t="n">
        <v>9.24</v>
      </c>
      <c r="H322" s="20" t="n">
        <v>18.48</v>
      </c>
    </row>
    <row r="323" customFormat="false" ht="15" hidden="false" customHeight="false" outlineLevel="0" collapsed="false">
      <c r="A323" s="8" t="s">
        <v>1044</v>
      </c>
      <c r="B323" s="10" t="n">
        <v>46183</v>
      </c>
      <c r="C323" s="8" t="s">
        <v>52</v>
      </c>
      <c r="D323" s="8" t="s">
        <v>698</v>
      </c>
      <c r="E323" s="8" t="s">
        <v>699</v>
      </c>
      <c r="F323" s="9" t="n">
        <v>2</v>
      </c>
      <c r="G323" s="20" t="n">
        <v>14.6</v>
      </c>
      <c r="H323" s="20" t="n">
        <v>29.2</v>
      </c>
    </row>
    <row r="324" customFormat="false" ht="15" hidden="false" customHeight="false" outlineLevel="0" collapsed="false">
      <c r="A324" s="8" t="s">
        <v>1045</v>
      </c>
      <c r="B324" s="10" t="n">
        <v>46050</v>
      </c>
      <c r="C324" s="8" t="s">
        <v>145</v>
      </c>
      <c r="D324" s="8" t="s">
        <v>703</v>
      </c>
      <c r="E324" s="8" t="s">
        <v>706</v>
      </c>
      <c r="F324" s="9" t="n">
        <v>2</v>
      </c>
      <c r="G324" s="20" t="n">
        <v>224.45</v>
      </c>
      <c r="H324" s="20" t="n">
        <v>448.9</v>
      </c>
    </row>
    <row r="325" customFormat="false" ht="15" hidden="false" customHeight="false" outlineLevel="0" collapsed="false">
      <c r="A325" s="8" t="s">
        <v>1046</v>
      </c>
      <c r="B325" s="10" t="n">
        <v>46166</v>
      </c>
      <c r="C325" s="8" t="s">
        <v>262</v>
      </c>
      <c r="D325" s="8" t="s">
        <v>703</v>
      </c>
      <c r="E325" s="8" t="s">
        <v>769</v>
      </c>
      <c r="F325" s="9" t="n">
        <v>4</v>
      </c>
      <c r="G325" s="20" t="n">
        <v>31.05</v>
      </c>
      <c r="H325" s="20" t="n">
        <v>124.2</v>
      </c>
    </row>
    <row r="326" customFormat="false" ht="15" hidden="false" customHeight="false" outlineLevel="0" collapsed="false">
      <c r="A326" s="8" t="s">
        <v>1047</v>
      </c>
      <c r="B326" s="10" t="n">
        <v>46077</v>
      </c>
      <c r="C326" s="8" t="s">
        <v>145</v>
      </c>
      <c r="D326" s="8" t="s">
        <v>698</v>
      </c>
      <c r="E326" s="8" t="s">
        <v>754</v>
      </c>
      <c r="F326" s="9" t="n">
        <v>1</v>
      </c>
      <c r="G326" s="20" t="n">
        <v>84.37</v>
      </c>
      <c r="H326" s="20" t="n">
        <v>84.37</v>
      </c>
    </row>
    <row r="327" customFormat="false" ht="15" hidden="false" customHeight="false" outlineLevel="0" collapsed="false">
      <c r="A327" s="8" t="s">
        <v>1048</v>
      </c>
      <c r="B327" s="10" t="n">
        <v>46038</v>
      </c>
      <c r="C327" s="8" t="s">
        <v>214</v>
      </c>
      <c r="D327" s="8" t="s">
        <v>698</v>
      </c>
      <c r="E327" s="8" t="s">
        <v>701</v>
      </c>
      <c r="F327" s="9" t="n">
        <v>1</v>
      </c>
      <c r="G327" s="20" t="n">
        <v>19.77</v>
      </c>
      <c r="H327" s="20" t="n">
        <v>19.77</v>
      </c>
    </row>
    <row r="328" customFormat="false" ht="15" hidden="false" customHeight="false" outlineLevel="0" collapsed="false">
      <c r="A328" s="8" t="s">
        <v>1049</v>
      </c>
      <c r="B328" s="10" t="n">
        <v>46077</v>
      </c>
      <c r="C328" s="8" t="s">
        <v>262</v>
      </c>
      <c r="D328" s="8" t="s">
        <v>698</v>
      </c>
      <c r="E328" s="8" t="s">
        <v>737</v>
      </c>
      <c r="F328" s="9" t="n">
        <v>7</v>
      </c>
      <c r="G328" s="20" t="n">
        <v>12.45</v>
      </c>
      <c r="H328" s="20" t="n">
        <v>87.15</v>
      </c>
    </row>
    <row r="329" customFormat="false" ht="15" hidden="false" customHeight="false" outlineLevel="0" collapsed="false">
      <c r="A329" s="8" t="s">
        <v>1050</v>
      </c>
      <c r="B329" s="10" t="n">
        <v>46081</v>
      </c>
      <c r="C329" s="8" t="s">
        <v>390</v>
      </c>
      <c r="D329" s="8" t="s">
        <v>703</v>
      </c>
      <c r="E329" s="8" t="s">
        <v>785</v>
      </c>
      <c r="F329" s="9" t="n">
        <v>2</v>
      </c>
      <c r="G329" s="20" t="n">
        <v>25.52</v>
      </c>
      <c r="H329" s="20" t="n">
        <v>51.04</v>
      </c>
    </row>
    <row r="330" customFormat="false" ht="15" hidden="false" customHeight="false" outlineLevel="0" collapsed="false">
      <c r="A330" s="8" t="s">
        <v>1051</v>
      </c>
      <c r="B330" s="10" t="n">
        <v>46030</v>
      </c>
      <c r="C330" s="8" t="s">
        <v>52</v>
      </c>
      <c r="D330" s="8" t="s">
        <v>703</v>
      </c>
      <c r="E330" s="8" t="s">
        <v>720</v>
      </c>
      <c r="F330" s="9" t="n">
        <v>4</v>
      </c>
      <c r="G330" s="20" t="n">
        <v>35.71</v>
      </c>
      <c r="H330" s="20" t="n">
        <v>142.84</v>
      </c>
    </row>
    <row r="331" customFormat="false" ht="15" hidden="false" customHeight="false" outlineLevel="0" collapsed="false">
      <c r="A331" s="8" t="s">
        <v>1052</v>
      </c>
      <c r="B331" s="10" t="n">
        <v>46082</v>
      </c>
      <c r="C331" s="8" t="s">
        <v>646</v>
      </c>
      <c r="D331" s="8" t="s">
        <v>703</v>
      </c>
      <c r="E331" s="8" t="s">
        <v>732</v>
      </c>
      <c r="F331" s="9" t="n">
        <v>3</v>
      </c>
      <c r="G331" s="20" t="n">
        <v>165.82</v>
      </c>
      <c r="H331" s="20" t="n">
        <v>497.46</v>
      </c>
    </row>
    <row r="332" customFormat="false" ht="15" hidden="false" customHeight="false" outlineLevel="0" collapsed="false">
      <c r="A332" s="8" t="s">
        <v>1053</v>
      </c>
      <c r="B332" s="10" t="n">
        <v>46068</v>
      </c>
      <c r="C332" s="8" t="s">
        <v>145</v>
      </c>
      <c r="D332" s="8" t="s">
        <v>703</v>
      </c>
      <c r="E332" s="8" t="s">
        <v>706</v>
      </c>
      <c r="F332" s="9" t="n">
        <v>5</v>
      </c>
      <c r="G332" s="20" t="n">
        <v>210.92</v>
      </c>
      <c r="H332" s="20" t="n">
        <v>1054.6</v>
      </c>
    </row>
    <row r="333" customFormat="false" ht="15" hidden="false" customHeight="false" outlineLevel="0" collapsed="false">
      <c r="A333" s="8" t="s">
        <v>1054</v>
      </c>
      <c r="B333" s="10" t="n">
        <v>46205</v>
      </c>
      <c r="C333" s="8" t="s">
        <v>145</v>
      </c>
      <c r="D333" s="8" t="s">
        <v>703</v>
      </c>
      <c r="E333" s="8" t="s">
        <v>706</v>
      </c>
      <c r="F333" s="9" t="n">
        <v>7</v>
      </c>
      <c r="G333" s="20" t="n">
        <v>224.2</v>
      </c>
      <c r="H333" s="20" t="n">
        <v>1569.4</v>
      </c>
    </row>
    <row r="334" customFormat="false" ht="15" hidden="false" customHeight="false" outlineLevel="0" collapsed="false">
      <c r="A334" s="8" t="s">
        <v>1055</v>
      </c>
      <c r="B334" s="10" t="n">
        <v>46105</v>
      </c>
      <c r="C334" s="8" t="s">
        <v>115</v>
      </c>
      <c r="D334" s="8" t="s">
        <v>703</v>
      </c>
      <c r="E334" s="8" t="s">
        <v>772</v>
      </c>
      <c r="F334" s="9" t="n">
        <v>3</v>
      </c>
      <c r="G334" s="20" t="n">
        <v>115.44</v>
      </c>
      <c r="H334" s="20" t="n">
        <v>346.32</v>
      </c>
    </row>
    <row r="335" customFormat="false" ht="15" hidden="false" customHeight="false" outlineLevel="0" collapsed="false">
      <c r="A335" s="8" t="s">
        <v>1056</v>
      </c>
      <c r="B335" s="10" t="n">
        <v>46237</v>
      </c>
      <c r="C335" s="8" t="s">
        <v>214</v>
      </c>
      <c r="D335" s="8" t="s">
        <v>698</v>
      </c>
      <c r="E335" s="8" t="s">
        <v>701</v>
      </c>
      <c r="F335" s="9" t="n">
        <v>2</v>
      </c>
      <c r="G335" s="20" t="n">
        <v>19.49</v>
      </c>
      <c r="H335" s="20" t="n">
        <v>38.98</v>
      </c>
    </row>
    <row r="336" customFormat="false" ht="15" hidden="false" customHeight="false" outlineLevel="0" collapsed="false">
      <c r="A336" s="8" t="s">
        <v>1057</v>
      </c>
      <c r="B336" s="10" t="n">
        <v>46200</v>
      </c>
      <c r="C336" s="8" t="s">
        <v>390</v>
      </c>
      <c r="D336" s="8" t="s">
        <v>698</v>
      </c>
      <c r="E336" s="8" t="s">
        <v>708</v>
      </c>
      <c r="F336" s="9" t="n">
        <v>5</v>
      </c>
      <c r="G336" s="20" t="n">
        <v>9.96</v>
      </c>
      <c r="H336" s="20" t="n">
        <v>49.8</v>
      </c>
    </row>
    <row r="337" customFormat="false" ht="15" hidden="false" customHeight="false" outlineLevel="0" collapsed="false">
      <c r="A337" s="8" t="s">
        <v>1058</v>
      </c>
      <c r="B337" s="10" t="n">
        <v>45987</v>
      </c>
      <c r="C337" s="8" t="s">
        <v>52</v>
      </c>
      <c r="D337" s="8" t="s">
        <v>698</v>
      </c>
      <c r="E337" s="8" t="s">
        <v>699</v>
      </c>
      <c r="F337" s="9" t="n">
        <v>2</v>
      </c>
      <c r="G337" s="20" t="n">
        <v>16.14</v>
      </c>
      <c r="H337" s="20" t="n">
        <v>32.28</v>
      </c>
    </row>
    <row r="338" customFormat="false" ht="15" hidden="false" customHeight="false" outlineLevel="0" collapsed="false">
      <c r="A338" s="8" t="s">
        <v>1059</v>
      </c>
      <c r="B338" s="10" t="n">
        <v>46190</v>
      </c>
      <c r="C338" s="8" t="s">
        <v>69</v>
      </c>
      <c r="D338" s="8" t="s">
        <v>703</v>
      </c>
      <c r="E338" s="8" t="s">
        <v>734</v>
      </c>
      <c r="F338" s="9" t="n">
        <v>5</v>
      </c>
      <c r="G338" s="20" t="n">
        <v>43.02</v>
      </c>
      <c r="H338" s="20" t="n">
        <v>215.1</v>
      </c>
    </row>
    <row r="339" customFormat="false" ht="15" hidden="false" customHeight="false" outlineLevel="0" collapsed="false">
      <c r="A339" s="8" t="s">
        <v>1060</v>
      </c>
      <c r="B339" s="10" t="n">
        <v>46034</v>
      </c>
      <c r="C339" s="8" t="s">
        <v>52</v>
      </c>
      <c r="D339" s="8" t="s">
        <v>703</v>
      </c>
      <c r="E339" s="8" t="s">
        <v>720</v>
      </c>
      <c r="F339" s="9" t="n">
        <v>7</v>
      </c>
      <c r="G339" s="20" t="n">
        <v>36.89</v>
      </c>
      <c r="H339" s="20" t="n">
        <v>258.23</v>
      </c>
    </row>
    <row r="340" customFormat="false" ht="15" hidden="false" customHeight="false" outlineLevel="0" collapsed="false">
      <c r="A340" s="8" t="s">
        <v>1061</v>
      </c>
      <c r="B340" s="10" t="n">
        <v>46178</v>
      </c>
      <c r="C340" s="8" t="s">
        <v>52</v>
      </c>
      <c r="D340" s="8" t="s">
        <v>703</v>
      </c>
      <c r="E340" s="8" t="s">
        <v>720</v>
      </c>
      <c r="F340" s="9" t="n">
        <v>1</v>
      </c>
      <c r="G340" s="20" t="n">
        <v>36.14</v>
      </c>
      <c r="H340" s="20" t="n">
        <v>36.14</v>
      </c>
    </row>
    <row r="341" customFormat="false" ht="15" hidden="false" customHeight="false" outlineLevel="0" collapsed="false">
      <c r="A341" s="8" t="s">
        <v>1062</v>
      </c>
      <c r="B341" s="10" t="n">
        <v>46147</v>
      </c>
      <c r="C341" s="8" t="s">
        <v>277</v>
      </c>
      <c r="D341" s="8" t="s">
        <v>698</v>
      </c>
      <c r="E341" s="8" t="s">
        <v>710</v>
      </c>
      <c r="F341" s="9" t="n">
        <v>4</v>
      </c>
      <c r="G341" s="20" t="n">
        <v>57.86</v>
      </c>
      <c r="H341" s="20" t="n">
        <v>231.44</v>
      </c>
    </row>
    <row r="342" customFormat="false" ht="15" hidden="false" customHeight="false" outlineLevel="0" collapsed="false">
      <c r="A342" s="8" t="s">
        <v>1063</v>
      </c>
      <c r="B342" s="10" t="n">
        <v>46086</v>
      </c>
      <c r="C342" s="8" t="s">
        <v>166</v>
      </c>
      <c r="D342" s="8" t="s">
        <v>698</v>
      </c>
      <c r="E342" s="8" t="s">
        <v>729</v>
      </c>
      <c r="F342" s="9" t="n">
        <v>3</v>
      </c>
      <c r="G342" s="20" t="n">
        <v>152.67</v>
      </c>
      <c r="H342" s="20" t="n">
        <v>458.01</v>
      </c>
    </row>
    <row r="343" customFormat="false" ht="15" hidden="false" customHeight="false" outlineLevel="0" collapsed="false">
      <c r="A343" s="8" t="s">
        <v>1064</v>
      </c>
      <c r="B343" s="10" t="n">
        <v>46120</v>
      </c>
      <c r="C343" s="8" t="s">
        <v>115</v>
      </c>
      <c r="D343" s="8" t="s">
        <v>698</v>
      </c>
      <c r="E343" s="8" t="s">
        <v>821</v>
      </c>
      <c r="F343" s="9" t="n">
        <v>3</v>
      </c>
      <c r="G343" s="20" t="n">
        <v>47.28</v>
      </c>
      <c r="H343" s="20" t="n">
        <v>141.84</v>
      </c>
    </row>
    <row r="344" customFormat="false" ht="15" hidden="false" customHeight="false" outlineLevel="0" collapsed="false">
      <c r="A344" s="8" t="s">
        <v>1065</v>
      </c>
      <c r="B344" s="10" t="n">
        <v>46145</v>
      </c>
      <c r="C344" s="8" t="s">
        <v>277</v>
      </c>
      <c r="D344" s="8" t="s">
        <v>703</v>
      </c>
      <c r="E344" s="8" t="s">
        <v>724</v>
      </c>
      <c r="F344" s="9" t="n">
        <v>2</v>
      </c>
      <c r="G344" s="20" t="n">
        <v>128.9</v>
      </c>
      <c r="H344" s="20" t="n">
        <v>257.8</v>
      </c>
    </row>
    <row r="345" customFormat="false" ht="15" hidden="false" customHeight="false" outlineLevel="0" collapsed="false">
      <c r="A345" s="8" t="s">
        <v>1066</v>
      </c>
      <c r="B345" s="10" t="n">
        <v>46215</v>
      </c>
      <c r="C345" s="8" t="s">
        <v>214</v>
      </c>
      <c r="D345" s="8" t="s">
        <v>703</v>
      </c>
      <c r="E345" s="8" t="s">
        <v>715</v>
      </c>
      <c r="F345" s="9" t="n">
        <v>4</v>
      </c>
      <c r="G345" s="20" t="n">
        <v>47.81</v>
      </c>
      <c r="H345" s="20" t="n">
        <v>191.24</v>
      </c>
    </row>
    <row r="346" customFormat="false" ht="15" hidden="false" customHeight="false" outlineLevel="0" collapsed="false">
      <c r="A346" s="8" t="s">
        <v>1067</v>
      </c>
      <c r="B346" s="10" t="n">
        <v>46117</v>
      </c>
      <c r="C346" s="8" t="s">
        <v>115</v>
      </c>
      <c r="D346" s="8" t="s">
        <v>703</v>
      </c>
      <c r="E346" s="8" t="s">
        <v>772</v>
      </c>
      <c r="F346" s="9" t="n">
        <v>8</v>
      </c>
      <c r="G346" s="20" t="n">
        <v>109.72</v>
      </c>
      <c r="H346" s="20" t="n">
        <v>877.76</v>
      </c>
    </row>
    <row r="347" customFormat="false" ht="15" hidden="false" customHeight="false" outlineLevel="0" collapsed="false">
      <c r="A347" s="8" t="s">
        <v>1068</v>
      </c>
      <c r="B347" s="10" t="n">
        <v>46072</v>
      </c>
      <c r="C347" s="8" t="s">
        <v>650</v>
      </c>
      <c r="D347" s="8" t="s">
        <v>698</v>
      </c>
      <c r="E347" s="8" t="s">
        <v>800</v>
      </c>
      <c r="F347" s="9" t="n">
        <v>1</v>
      </c>
      <c r="G347" s="20" t="n">
        <v>26.87</v>
      </c>
      <c r="H347" s="20" t="n">
        <v>26.87</v>
      </c>
    </row>
    <row r="348" customFormat="false" ht="15" hidden="false" customHeight="false" outlineLevel="0" collapsed="false">
      <c r="A348" s="8" t="s">
        <v>1069</v>
      </c>
      <c r="B348" s="10" t="n">
        <v>46086</v>
      </c>
      <c r="C348" s="8" t="s">
        <v>52</v>
      </c>
      <c r="D348" s="8" t="s">
        <v>703</v>
      </c>
      <c r="E348" s="8" t="s">
        <v>720</v>
      </c>
      <c r="F348" s="9" t="n">
        <v>2</v>
      </c>
      <c r="G348" s="20" t="n">
        <v>32.77</v>
      </c>
      <c r="H348" s="20" t="n">
        <v>65.54</v>
      </c>
    </row>
    <row r="349" customFormat="false" ht="15" hidden="false" customHeight="false" outlineLevel="0" collapsed="false">
      <c r="A349" s="8" t="s">
        <v>1070</v>
      </c>
      <c r="B349" s="10" t="n">
        <v>46199</v>
      </c>
      <c r="C349" s="8" t="s">
        <v>52</v>
      </c>
      <c r="D349" s="8" t="s">
        <v>698</v>
      </c>
      <c r="E349" s="8" t="s">
        <v>699</v>
      </c>
      <c r="F349" s="9" t="n">
        <v>8</v>
      </c>
      <c r="G349" s="20" t="n">
        <v>14.61</v>
      </c>
      <c r="H349" s="20" t="n">
        <v>116.88</v>
      </c>
    </row>
    <row r="350" customFormat="false" ht="15" hidden="false" customHeight="false" outlineLevel="0" collapsed="false">
      <c r="A350" s="8" t="s">
        <v>1071</v>
      </c>
      <c r="B350" s="10" t="n">
        <v>46157</v>
      </c>
      <c r="C350" s="8" t="s">
        <v>52</v>
      </c>
      <c r="D350" s="8" t="s">
        <v>703</v>
      </c>
      <c r="E350" s="8" t="s">
        <v>720</v>
      </c>
      <c r="F350" s="9" t="n">
        <v>1</v>
      </c>
      <c r="G350" s="20" t="n">
        <v>35.06</v>
      </c>
      <c r="H350" s="20" t="n">
        <v>35.06</v>
      </c>
    </row>
    <row r="351" customFormat="false" ht="15" hidden="false" customHeight="false" outlineLevel="0" collapsed="false">
      <c r="A351" s="8" t="s">
        <v>1072</v>
      </c>
      <c r="B351" s="10" t="n">
        <v>45946</v>
      </c>
      <c r="C351" s="8" t="s">
        <v>650</v>
      </c>
      <c r="D351" s="8" t="s">
        <v>703</v>
      </c>
      <c r="E351" s="8" t="s">
        <v>858</v>
      </c>
      <c r="F351" s="9" t="n">
        <v>7</v>
      </c>
      <c r="G351" s="20" t="n">
        <v>61.21</v>
      </c>
      <c r="H351" s="20" t="n">
        <v>428.47</v>
      </c>
    </row>
    <row r="352" customFormat="false" ht="15" hidden="false" customHeight="false" outlineLevel="0" collapsed="false">
      <c r="A352" s="8" t="s">
        <v>1073</v>
      </c>
      <c r="B352" s="10" t="n">
        <v>45942</v>
      </c>
      <c r="C352" s="8" t="s">
        <v>262</v>
      </c>
      <c r="D352" s="8" t="s">
        <v>698</v>
      </c>
      <c r="E352" s="8" t="s">
        <v>737</v>
      </c>
      <c r="F352" s="9" t="n">
        <v>3</v>
      </c>
      <c r="G352" s="20" t="n">
        <v>12.32</v>
      </c>
      <c r="H352" s="20" t="n">
        <v>36.96</v>
      </c>
    </row>
    <row r="353" customFormat="false" ht="15" hidden="false" customHeight="false" outlineLevel="0" collapsed="false">
      <c r="A353" s="8" t="s">
        <v>1074</v>
      </c>
      <c r="B353" s="10" t="n">
        <v>45935</v>
      </c>
      <c r="C353" s="8" t="s">
        <v>390</v>
      </c>
      <c r="D353" s="8" t="s">
        <v>703</v>
      </c>
      <c r="E353" s="8" t="s">
        <v>785</v>
      </c>
      <c r="F353" s="9" t="n">
        <v>1</v>
      </c>
      <c r="G353" s="20" t="n">
        <v>25.07</v>
      </c>
      <c r="H353" s="20" t="n">
        <v>25.07</v>
      </c>
    </row>
    <row r="354" customFormat="false" ht="15" hidden="false" customHeight="false" outlineLevel="0" collapsed="false">
      <c r="A354" s="8" t="s">
        <v>1075</v>
      </c>
      <c r="B354" s="10" t="n">
        <v>46259</v>
      </c>
      <c r="C354" s="8" t="s">
        <v>145</v>
      </c>
      <c r="D354" s="8" t="s">
        <v>698</v>
      </c>
      <c r="E354" s="8" t="s">
        <v>754</v>
      </c>
      <c r="F354" s="9" t="n">
        <v>1</v>
      </c>
      <c r="G354" s="20" t="n">
        <v>94.14</v>
      </c>
      <c r="H354" s="20" t="n">
        <v>94.14</v>
      </c>
    </row>
    <row r="355" customFormat="false" ht="15" hidden="false" customHeight="false" outlineLevel="0" collapsed="false">
      <c r="A355" s="8" t="s">
        <v>1076</v>
      </c>
      <c r="B355" s="10" t="n">
        <v>45981</v>
      </c>
      <c r="C355" s="8" t="s">
        <v>650</v>
      </c>
      <c r="D355" s="8" t="s">
        <v>703</v>
      </c>
      <c r="E355" s="8" t="s">
        <v>858</v>
      </c>
      <c r="F355" s="9" t="n">
        <v>2</v>
      </c>
      <c r="G355" s="20" t="n">
        <v>64.97</v>
      </c>
      <c r="H355" s="20" t="n">
        <v>129.94</v>
      </c>
    </row>
    <row r="356" customFormat="false" ht="15" hidden="false" customHeight="false" outlineLevel="0" collapsed="false">
      <c r="A356" s="8" t="s">
        <v>1077</v>
      </c>
      <c r="B356" s="10" t="n">
        <v>46093</v>
      </c>
      <c r="C356" s="8" t="s">
        <v>69</v>
      </c>
      <c r="D356" s="8" t="s">
        <v>703</v>
      </c>
      <c r="E356" s="8" t="s">
        <v>734</v>
      </c>
      <c r="F356" s="9" t="n">
        <v>2</v>
      </c>
      <c r="G356" s="20" t="n">
        <v>37.45</v>
      </c>
      <c r="H356" s="20" t="n">
        <v>74.9</v>
      </c>
    </row>
    <row r="357" customFormat="false" ht="15" hidden="false" customHeight="false" outlineLevel="0" collapsed="false">
      <c r="A357" s="8" t="s">
        <v>1078</v>
      </c>
      <c r="B357" s="10" t="n">
        <v>46152</v>
      </c>
      <c r="C357" s="8" t="s">
        <v>277</v>
      </c>
      <c r="D357" s="8" t="s">
        <v>698</v>
      </c>
      <c r="E357" s="8" t="s">
        <v>710</v>
      </c>
      <c r="F357" s="9" t="n">
        <v>5</v>
      </c>
      <c r="G357" s="20" t="n">
        <v>64.08</v>
      </c>
      <c r="H357" s="20" t="n">
        <v>320.4</v>
      </c>
    </row>
    <row r="358" customFormat="false" ht="15" hidden="false" customHeight="false" outlineLevel="0" collapsed="false">
      <c r="A358" s="8" t="s">
        <v>1079</v>
      </c>
      <c r="B358" s="10" t="n">
        <v>45959</v>
      </c>
      <c r="C358" s="8" t="s">
        <v>214</v>
      </c>
      <c r="D358" s="8" t="s">
        <v>703</v>
      </c>
      <c r="E358" s="8" t="s">
        <v>715</v>
      </c>
      <c r="F358" s="9" t="n">
        <v>7</v>
      </c>
      <c r="G358" s="20" t="n">
        <v>44.74</v>
      </c>
      <c r="H358" s="20" t="n">
        <v>313.18</v>
      </c>
    </row>
    <row r="359" customFormat="false" ht="15" hidden="false" customHeight="false" outlineLevel="0" collapsed="false">
      <c r="A359" s="8" t="s">
        <v>1080</v>
      </c>
      <c r="B359" s="10" t="n">
        <v>46181</v>
      </c>
      <c r="C359" s="8" t="s">
        <v>145</v>
      </c>
      <c r="D359" s="8" t="s">
        <v>698</v>
      </c>
      <c r="E359" s="8" t="s">
        <v>754</v>
      </c>
      <c r="F359" s="9" t="n">
        <v>8</v>
      </c>
      <c r="G359" s="20" t="n">
        <v>86.02</v>
      </c>
      <c r="H359" s="20" t="n">
        <v>688.16</v>
      </c>
    </row>
    <row r="360" customFormat="false" ht="15" hidden="false" customHeight="false" outlineLevel="0" collapsed="false">
      <c r="A360" s="8" t="s">
        <v>1081</v>
      </c>
      <c r="B360" s="10" t="n">
        <v>46134</v>
      </c>
      <c r="C360" s="8" t="s">
        <v>323</v>
      </c>
      <c r="D360" s="8" t="s">
        <v>703</v>
      </c>
      <c r="E360" s="8" t="s">
        <v>704</v>
      </c>
      <c r="F360" s="9" t="n">
        <v>1</v>
      </c>
      <c r="G360" s="20" t="n">
        <v>227.38</v>
      </c>
      <c r="H360" s="20" t="n">
        <v>227.38</v>
      </c>
    </row>
    <row r="361" customFormat="false" ht="15" hidden="false" customHeight="false" outlineLevel="0" collapsed="false">
      <c r="A361" s="8" t="s">
        <v>1082</v>
      </c>
      <c r="B361" s="10" t="n">
        <v>45915</v>
      </c>
      <c r="C361" s="8" t="s">
        <v>214</v>
      </c>
      <c r="D361" s="8" t="s">
        <v>698</v>
      </c>
      <c r="E361" s="8" t="s">
        <v>701</v>
      </c>
      <c r="F361" s="9" t="n">
        <v>8</v>
      </c>
      <c r="G361" s="20" t="n">
        <v>18.97</v>
      </c>
      <c r="H361" s="20" t="n">
        <v>151.76</v>
      </c>
    </row>
    <row r="362" customFormat="false" ht="15" hidden="false" customHeight="false" outlineLevel="0" collapsed="false">
      <c r="A362" s="8" t="s">
        <v>1083</v>
      </c>
      <c r="B362" s="10" t="n">
        <v>46182</v>
      </c>
      <c r="C362" s="8" t="s">
        <v>646</v>
      </c>
      <c r="D362" s="8" t="s">
        <v>703</v>
      </c>
      <c r="E362" s="8" t="s">
        <v>732</v>
      </c>
      <c r="F362" s="9" t="n">
        <v>5</v>
      </c>
      <c r="G362" s="20" t="n">
        <v>184.66</v>
      </c>
      <c r="H362" s="20" t="n">
        <v>923.3</v>
      </c>
    </row>
    <row r="363" customFormat="false" ht="15" hidden="false" customHeight="false" outlineLevel="0" collapsed="false">
      <c r="A363" s="8" t="s">
        <v>1084</v>
      </c>
      <c r="B363" s="10" t="n">
        <v>46088</v>
      </c>
      <c r="C363" s="8" t="s">
        <v>52</v>
      </c>
      <c r="D363" s="8" t="s">
        <v>703</v>
      </c>
      <c r="E363" s="8" t="s">
        <v>720</v>
      </c>
      <c r="F363" s="9" t="n">
        <v>4</v>
      </c>
      <c r="G363" s="20" t="n">
        <v>37.68</v>
      </c>
      <c r="H363" s="20" t="n">
        <v>150.72</v>
      </c>
    </row>
    <row r="364" customFormat="false" ht="15" hidden="false" customHeight="false" outlineLevel="0" collapsed="false">
      <c r="A364" s="8" t="s">
        <v>1085</v>
      </c>
      <c r="B364" s="10" t="n">
        <v>46030</v>
      </c>
      <c r="C364" s="8" t="s">
        <v>69</v>
      </c>
      <c r="D364" s="8" t="s">
        <v>703</v>
      </c>
      <c r="E364" s="8" t="s">
        <v>734</v>
      </c>
      <c r="F364" s="9" t="n">
        <v>3</v>
      </c>
      <c r="G364" s="20" t="n">
        <v>38.06</v>
      </c>
      <c r="H364" s="20" t="n">
        <v>114.18</v>
      </c>
    </row>
    <row r="365" customFormat="false" ht="15" hidden="false" customHeight="false" outlineLevel="0" collapsed="false">
      <c r="A365" s="8" t="s">
        <v>1086</v>
      </c>
      <c r="B365" s="10" t="n">
        <v>46042</v>
      </c>
      <c r="C365" s="8" t="s">
        <v>145</v>
      </c>
      <c r="D365" s="8" t="s">
        <v>703</v>
      </c>
      <c r="E365" s="8" t="s">
        <v>706</v>
      </c>
      <c r="F365" s="9" t="n">
        <v>1</v>
      </c>
      <c r="G365" s="20" t="n">
        <v>227.48</v>
      </c>
      <c r="H365" s="20" t="n">
        <v>227.48</v>
      </c>
    </row>
    <row r="366" customFormat="false" ht="15" hidden="false" customHeight="false" outlineLevel="0" collapsed="false">
      <c r="A366" s="8" t="s">
        <v>1087</v>
      </c>
      <c r="B366" s="10" t="n">
        <v>46110</v>
      </c>
      <c r="C366" s="8" t="s">
        <v>52</v>
      </c>
      <c r="D366" s="8" t="s">
        <v>698</v>
      </c>
      <c r="E366" s="8" t="s">
        <v>699</v>
      </c>
      <c r="F366" s="9" t="n">
        <v>8</v>
      </c>
      <c r="G366" s="20" t="n">
        <v>14.74</v>
      </c>
      <c r="H366" s="20" t="n">
        <v>117.92</v>
      </c>
    </row>
    <row r="367" customFormat="false" ht="15" hidden="false" customHeight="false" outlineLevel="0" collapsed="false">
      <c r="A367" s="8" t="s">
        <v>1088</v>
      </c>
      <c r="B367" s="10" t="n">
        <v>46106</v>
      </c>
      <c r="C367" s="8" t="s">
        <v>214</v>
      </c>
      <c r="D367" s="8" t="s">
        <v>703</v>
      </c>
      <c r="E367" s="8" t="s">
        <v>715</v>
      </c>
      <c r="F367" s="9" t="n">
        <v>7</v>
      </c>
      <c r="G367" s="20" t="n">
        <v>46.21</v>
      </c>
      <c r="H367" s="20" t="n">
        <v>323.47</v>
      </c>
    </row>
    <row r="368" customFormat="false" ht="15" hidden="false" customHeight="false" outlineLevel="0" collapsed="false">
      <c r="A368" s="8" t="s">
        <v>1089</v>
      </c>
      <c r="B368" s="10" t="n">
        <v>45942</v>
      </c>
      <c r="C368" s="8" t="s">
        <v>166</v>
      </c>
      <c r="D368" s="8" t="s">
        <v>698</v>
      </c>
      <c r="E368" s="8" t="s">
        <v>729</v>
      </c>
      <c r="F368" s="9" t="n">
        <v>4</v>
      </c>
      <c r="G368" s="20" t="n">
        <v>152.03</v>
      </c>
      <c r="H368" s="20" t="n">
        <v>608.12</v>
      </c>
    </row>
    <row r="369" customFormat="false" ht="15" hidden="false" customHeight="false" outlineLevel="0" collapsed="false">
      <c r="A369" s="8" t="s">
        <v>1090</v>
      </c>
      <c r="B369" s="10" t="n">
        <v>45997</v>
      </c>
      <c r="C369" s="8" t="s">
        <v>52</v>
      </c>
      <c r="D369" s="8" t="s">
        <v>698</v>
      </c>
      <c r="E369" s="8" t="s">
        <v>699</v>
      </c>
      <c r="F369" s="9" t="n">
        <v>3</v>
      </c>
      <c r="G369" s="20" t="n">
        <v>14.22</v>
      </c>
      <c r="H369" s="20" t="n">
        <v>42.66</v>
      </c>
    </row>
    <row r="370" customFormat="false" ht="15" hidden="false" customHeight="false" outlineLevel="0" collapsed="false">
      <c r="A370" s="8" t="s">
        <v>1091</v>
      </c>
      <c r="B370" s="10" t="n">
        <v>46011</v>
      </c>
      <c r="C370" s="8" t="s">
        <v>115</v>
      </c>
      <c r="D370" s="8" t="s">
        <v>698</v>
      </c>
      <c r="E370" s="8" t="s">
        <v>821</v>
      </c>
      <c r="F370" s="9" t="n">
        <v>8</v>
      </c>
      <c r="G370" s="20" t="n">
        <v>46.71</v>
      </c>
      <c r="H370" s="20" t="n">
        <v>373.68</v>
      </c>
    </row>
    <row r="371" customFormat="false" ht="15" hidden="false" customHeight="false" outlineLevel="0" collapsed="false">
      <c r="A371" s="8" t="s">
        <v>1092</v>
      </c>
      <c r="B371" s="10" t="n">
        <v>46178</v>
      </c>
      <c r="C371" s="8" t="s">
        <v>52</v>
      </c>
      <c r="D371" s="8" t="s">
        <v>698</v>
      </c>
      <c r="E371" s="8" t="s">
        <v>699</v>
      </c>
      <c r="F371" s="9" t="n">
        <v>1</v>
      </c>
      <c r="G371" s="20" t="n">
        <v>14.95</v>
      </c>
      <c r="H371" s="20" t="n">
        <v>14.95</v>
      </c>
    </row>
    <row r="372" customFormat="false" ht="15" hidden="false" customHeight="false" outlineLevel="0" collapsed="false">
      <c r="A372" s="8" t="s">
        <v>1093</v>
      </c>
      <c r="B372" s="10" t="n">
        <v>46110</v>
      </c>
      <c r="C372" s="8" t="s">
        <v>214</v>
      </c>
      <c r="D372" s="8" t="s">
        <v>698</v>
      </c>
      <c r="E372" s="8" t="s">
        <v>701</v>
      </c>
      <c r="F372" s="9" t="n">
        <v>3</v>
      </c>
      <c r="G372" s="20" t="n">
        <v>19.1</v>
      </c>
      <c r="H372" s="20" t="n">
        <v>57.3</v>
      </c>
    </row>
    <row r="373" customFormat="false" ht="15" hidden="false" customHeight="false" outlineLevel="0" collapsed="false">
      <c r="A373" s="8" t="s">
        <v>1094</v>
      </c>
      <c r="B373" s="10" t="n">
        <v>46140</v>
      </c>
      <c r="C373" s="8" t="s">
        <v>262</v>
      </c>
      <c r="D373" s="8" t="s">
        <v>698</v>
      </c>
      <c r="E373" s="8" t="s">
        <v>737</v>
      </c>
      <c r="F373" s="9" t="n">
        <v>8</v>
      </c>
      <c r="G373" s="20" t="n">
        <v>12.4</v>
      </c>
      <c r="H373" s="20" t="n">
        <v>99.2</v>
      </c>
    </row>
    <row r="374" customFormat="false" ht="15" hidden="false" customHeight="false" outlineLevel="0" collapsed="false">
      <c r="A374" s="8" t="s">
        <v>1095</v>
      </c>
      <c r="B374" s="10" t="n">
        <v>46077</v>
      </c>
      <c r="C374" s="8" t="s">
        <v>277</v>
      </c>
      <c r="D374" s="8" t="s">
        <v>698</v>
      </c>
      <c r="E374" s="8" t="s">
        <v>710</v>
      </c>
      <c r="F374" s="9" t="n">
        <v>1</v>
      </c>
      <c r="G374" s="20" t="n">
        <v>57.03</v>
      </c>
      <c r="H374" s="20" t="n">
        <v>57.03</v>
      </c>
    </row>
    <row r="375" customFormat="false" ht="15" hidden="false" customHeight="false" outlineLevel="0" collapsed="false">
      <c r="A375" s="8" t="s">
        <v>1096</v>
      </c>
      <c r="B375" s="10" t="n">
        <v>46243</v>
      </c>
      <c r="C375" s="8" t="s">
        <v>154</v>
      </c>
      <c r="D375" s="8" t="s">
        <v>698</v>
      </c>
      <c r="E375" s="8" t="s">
        <v>750</v>
      </c>
      <c r="F375" s="9" t="n">
        <v>1</v>
      </c>
      <c r="G375" s="20" t="n">
        <v>25.2</v>
      </c>
      <c r="H375" s="20" t="n">
        <v>25.2</v>
      </c>
    </row>
    <row r="376" customFormat="false" ht="15" hidden="false" customHeight="false" outlineLevel="0" collapsed="false">
      <c r="A376" s="8" t="s">
        <v>1097</v>
      </c>
      <c r="B376" s="10" t="n">
        <v>45975</v>
      </c>
      <c r="C376" s="8" t="s">
        <v>69</v>
      </c>
      <c r="D376" s="8" t="s">
        <v>698</v>
      </c>
      <c r="E376" s="8" t="s">
        <v>713</v>
      </c>
      <c r="F376" s="9" t="n">
        <v>2</v>
      </c>
      <c r="G376" s="20" t="n">
        <v>17.77</v>
      </c>
      <c r="H376" s="20" t="n">
        <v>35.54</v>
      </c>
    </row>
    <row r="377" customFormat="false" ht="15" hidden="false" customHeight="false" outlineLevel="0" collapsed="false">
      <c r="A377" s="8" t="s">
        <v>1098</v>
      </c>
      <c r="B377" s="10" t="n">
        <v>46166</v>
      </c>
      <c r="C377" s="8" t="s">
        <v>214</v>
      </c>
      <c r="D377" s="8" t="s">
        <v>698</v>
      </c>
      <c r="E377" s="8" t="s">
        <v>701</v>
      </c>
      <c r="F377" s="9" t="n">
        <v>2</v>
      </c>
      <c r="G377" s="20" t="n">
        <v>18.98</v>
      </c>
      <c r="H377" s="20" t="n">
        <v>37.96</v>
      </c>
    </row>
    <row r="378" customFormat="false" ht="15" hidden="false" customHeight="false" outlineLevel="0" collapsed="false">
      <c r="A378" s="8" t="s">
        <v>1099</v>
      </c>
      <c r="B378" s="10" t="n">
        <v>46108</v>
      </c>
      <c r="C378" s="8" t="s">
        <v>69</v>
      </c>
      <c r="D378" s="8" t="s">
        <v>698</v>
      </c>
      <c r="E378" s="8" t="s">
        <v>713</v>
      </c>
      <c r="F378" s="9" t="n">
        <v>1</v>
      </c>
      <c r="G378" s="20" t="n">
        <v>17.88</v>
      </c>
      <c r="H378" s="20" t="n">
        <v>17.88</v>
      </c>
    </row>
    <row r="379" customFormat="false" ht="15" hidden="false" customHeight="false" outlineLevel="0" collapsed="false">
      <c r="A379" s="8" t="s">
        <v>1100</v>
      </c>
      <c r="B379" s="10" t="n">
        <v>46261</v>
      </c>
      <c r="C379" s="8" t="s">
        <v>646</v>
      </c>
      <c r="D379" s="8" t="s">
        <v>703</v>
      </c>
      <c r="E379" s="8" t="s">
        <v>732</v>
      </c>
      <c r="F379" s="9" t="n">
        <v>4</v>
      </c>
      <c r="G379" s="20" t="n">
        <v>165.91</v>
      </c>
      <c r="H379" s="20" t="n">
        <v>663.64</v>
      </c>
    </row>
    <row r="380" customFormat="false" ht="15" hidden="false" customHeight="false" outlineLevel="0" collapsed="false">
      <c r="A380" s="8" t="s">
        <v>1101</v>
      </c>
      <c r="B380" s="10" t="n">
        <v>46150</v>
      </c>
      <c r="C380" s="8" t="s">
        <v>323</v>
      </c>
      <c r="D380" s="8" t="s">
        <v>698</v>
      </c>
      <c r="E380" s="8" t="s">
        <v>804</v>
      </c>
      <c r="F380" s="9" t="n">
        <v>8</v>
      </c>
      <c r="G380" s="20" t="n">
        <v>94</v>
      </c>
      <c r="H380" s="20" t="n">
        <v>752</v>
      </c>
    </row>
    <row r="381" customFormat="false" ht="15" hidden="false" customHeight="false" outlineLevel="0" collapsed="false">
      <c r="A381" s="8" t="s">
        <v>1102</v>
      </c>
      <c r="B381" s="10" t="n">
        <v>46190</v>
      </c>
      <c r="C381" s="8" t="s">
        <v>390</v>
      </c>
      <c r="D381" s="8" t="s">
        <v>698</v>
      </c>
      <c r="E381" s="8" t="s">
        <v>708</v>
      </c>
      <c r="F381" s="9" t="n">
        <v>2</v>
      </c>
      <c r="G381" s="20" t="n">
        <v>10.17</v>
      </c>
      <c r="H381" s="20" t="n">
        <v>20.34</v>
      </c>
    </row>
    <row r="382" customFormat="false" ht="15" hidden="false" customHeight="false" outlineLevel="0" collapsed="false">
      <c r="A382" s="8" t="s">
        <v>1103</v>
      </c>
      <c r="B382" s="10" t="n">
        <v>46213</v>
      </c>
      <c r="C382" s="8" t="s">
        <v>390</v>
      </c>
      <c r="D382" s="8" t="s">
        <v>703</v>
      </c>
      <c r="E382" s="8" t="s">
        <v>785</v>
      </c>
      <c r="F382" s="9" t="n">
        <v>6</v>
      </c>
      <c r="G382" s="20" t="n">
        <v>25.83</v>
      </c>
      <c r="H382" s="20" t="n">
        <v>154.98</v>
      </c>
    </row>
    <row r="383" customFormat="false" ht="15" hidden="false" customHeight="false" outlineLevel="0" collapsed="false">
      <c r="A383" s="8" t="s">
        <v>1104</v>
      </c>
      <c r="B383" s="10" t="n">
        <v>45921</v>
      </c>
      <c r="C383" s="8" t="s">
        <v>390</v>
      </c>
      <c r="D383" s="8" t="s">
        <v>703</v>
      </c>
      <c r="E383" s="8" t="s">
        <v>785</v>
      </c>
      <c r="F383" s="9" t="n">
        <v>4</v>
      </c>
      <c r="G383" s="20" t="n">
        <v>25.05</v>
      </c>
      <c r="H383" s="20" t="n">
        <v>100.2</v>
      </c>
    </row>
    <row r="384" customFormat="false" ht="15" hidden="false" customHeight="false" outlineLevel="0" collapsed="false">
      <c r="A384" s="8" t="s">
        <v>1105</v>
      </c>
      <c r="B384" s="10" t="n">
        <v>46100</v>
      </c>
      <c r="C384" s="8" t="s">
        <v>277</v>
      </c>
      <c r="D384" s="8" t="s">
        <v>703</v>
      </c>
      <c r="E384" s="8" t="s">
        <v>724</v>
      </c>
      <c r="F384" s="9" t="n">
        <v>3</v>
      </c>
      <c r="G384" s="20" t="n">
        <v>145.6</v>
      </c>
      <c r="H384" s="20" t="n">
        <v>436.8</v>
      </c>
    </row>
    <row r="385" customFormat="false" ht="15" hidden="false" customHeight="false" outlineLevel="0" collapsed="false">
      <c r="A385" s="8" t="s">
        <v>1106</v>
      </c>
      <c r="B385" s="10" t="n">
        <v>45944</v>
      </c>
      <c r="C385" s="8" t="s">
        <v>115</v>
      </c>
      <c r="D385" s="8" t="s">
        <v>698</v>
      </c>
      <c r="E385" s="8" t="s">
        <v>821</v>
      </c>
      <c r="F385" s="9" t="n">
        <v>1</v>
      </c>
      <c r="G385" s="20" t="n">
        <v>42.11</v>
      </c>
      <c r="H385" s="20" t="n">
        <v>42.11</v>
      </c>
    </row>
    <row r="386" customFormat="false" ht="15" hidden="false" customHeight="false" outlineLevel="0" collapsed="false">
      <c r="A386" s="8" t="s">
        <v>1107</v>
      </c>
      <c r="B386" s="10" t="n">
        <v>45964</v>
      </c>
      <c r="C386" s="8" t="s">
        <v>262</v>
      </c>
      <c r="D386" s="8" t="s">
        <v>698</v>
      </c>
      <c r="E386" s="8" t="s">
        <v>737</v>
      </c>
      <c r="F386" s="9" t="n">
        <v>7</v>
      </c>
      <c r="G386" s="20" t="n">
        <v>12.66</v>
      </c>
      <c r="H386" s="20" t="n">
        <v>88.62</v>
      </c>
    </row>
    <row r="387" customFormat="false" ht="15" hidden="false" customHeight="false" outlineLevel="0" collapsed="false">
      <c r="A387" s="8" t="s">
        <v>1108</v>
      </c>
      <c r="B387" s="10" t="n">
        <v>46112</v>
      </c>
      <c r="C387" s="8" t="s">
        <v>52</v>
      </c>
      <c r="D387" s="8" t="s">
        <v>698</v>
      </c>
      <c r="E387" s="8" t="s">
        <v>699</v>
      </c>
      <c r="F387" s="9" t="n">
        <v>5</v>
      </c>
      <c r="G387" s="20" t="n">
        <v>13.94</v>
      </c>
      <c r="H387" s="20" t="n">
        <v>69.7</v>
      </c>
    </row>
    <row r="388" customFormat="false" ht="15" hidden="false" customHeight="false" outlineLevel="0" collapsed="false">
      <c r="A388" s="8" t="s">
        <v>1109</v>
      </c>
      <c r="B388" s="10" t="n">
        <v>46225</v>
      </c>
      <c r="C388" s="8" t="s">
        <v>166</v>
      </c>
      <c r="D388" s="8" t="s">
        <v>698</v>
      </c>
      <c r="E388" s="8" t="s">
        <v>729</v>
      </c>
      <c r="F388" s="9" t="n">
        <v>2</v>
      </c>
      <c r="G388" s="20" t="n">
        <v>157.15</v>
      </c>
      <c r="H388" s="20" t="n">
        <v>314.3</v>
      </c>
    </row>
    <row r="389" customFormat="false" ht="15" hidden="false" customHeight="false" outlineLevel="0" collapsed="false">
      <c r="A389" s="8" t="s">
        <v>1110</v>
      </c>
      <c r="B389" s="10" t="n">
        <v>46014</v>
      </c>
      <c r="C389" s="8" t="s">
        <v>52</v>
      </c>
      <c r="D389" s="8" t="s">
        <v>703</v>
      </c>
      <c r="E389" s="8" t="s">
        <v>720</v>
      </c>
      <c r="F389" s="9" t="n">
        <v>5</v>
      </c>
      <c r="G389" s="20" t="n">
        <v>34.24</v>
      </c>
      <c r="H389" s="20" t="n">
        <v>171.2</v>
      </c>
    </row>
    <row r="390" customFormat="false" ht="15" hidden="false" customHeight="false" outlineLevel="0" collapsed="false">
      <c r="A390" s="8" t="s">
        <v>1111</v>
      </c>
      <c r="B390" s="10" t="n">
        <v>46044</v>
      </c>
      <c r="C390" s="8" t="s">
        <v>214</v>
      </c>
      <c r="D390" s="8" t="s">
        <v>698</v>
      </c>
      <c r="E390" s="8" t="s">
        <v>701</v>
      </c>
      <c r="F390" s="9" t="n">
        <v>1</v>
      </c>
      <c r="G390" s="20" t="n">
        <v>19.05</v>
      </c>
      <c r="H390" s="20" t="n">
        <v>19.05</v>
      </c>
    </row>
    <row r="391" customFormat="false" ht="15" hidden="false" customHeight="false" outlineLevel="0" collapsed="false">
      <c r="A391" s="8" t="s">
        <v>1112</v>
      </c>
      <c r="B391" s="10" t="n">
        <v>45926</v>
      </c>
      <c r="C391" s="8" t="s">
        <v>390</v>
      </c>
      <c r="D391" s="8" t="s">
        <v>703</v>
      </c>
      <c r="E391" s="8" t="s">
        <v>785</v>
      </c>
      <c r="F391" s="9" t="n">
        <v>1</v>
      </c>
      <c r="G391" s="20" t="n">
        <v>23.37</v>
      </c>
      <c r="H391" s="20" t="n">
        <v>23.37</v>
      </c>
    </row>
    <row r="392" customFormat="false" ht="15" hidden="false" customHeight="false" outlineLevel="0" collapsed="false">
      <c r="A392" s="8" t="s">
        <v>1113</v>
      </c>
      <c r="B392" s="10" t="n">
        <v>45934</v>
      </c>
      <c r="C392" s="8" t="s">
        <v>69</v>
      </c>
      <c r="D392" s="8" t="s">
        <v>703</v>
      </c>
      <c r="E392" s="8" t="s">
        <v>734</v>
      </c>
      <c r="F392" s="9" t="n">
        <v>1</v>
      </c>
      <c r="G392" s="20" t="n">
        <v>38.96</v>
      </c>
      <c r="H392" s="20" t="n">
        <v>38.96</v>
      </c>
    </row>
    <row r="393" customFormat="false" ht="15" hidden="false" customHeight="false" outlineLevel="0" collapsed="false">
      <c r="A393" s="8" t="s">
        <v>1114</v>
      </c>
      <c r="B393" s="10" t="n">
        <v>46122</v>
      </c>
      <c r="C393" s="8" t="s">
        <v>390</v>
      </c>
      <c r="D393" s="8" t="s">
        <v>703</v>
      </c>
      <c r="E393" s="8" t="s">
        <v>785</v>
      </c>
      <c r="F393" s="9" t="n">
        <v>3</v>
      </c>
      <c r="G393" s="20" t="n">
        <v>25.93</v>
      </c>
      <c r="H393" s="20" t="n">
        <v>77.79</v>
      </c>
    </row>
    <row r="394" customFormat="false" ht="15" hidden="false" customHeight="false" outlineLevel="0" collapsed="false">
      <c r="A394" s="8" t="s">
        <v>1115</v>
      </c>
      <c r="B394" s="10" t="n">
        <v>46012</v>
      </c>
      <c r="C394" s="8" t="s">
        <v>69</v>
      </c>
      <c r="D394" s="8" t="s">
        <v>698</v>
      </c>
      <c r="E394" s="8" t="s">
        <v>713</v>
      </c>
      <c r="F394" s="9" t="n">
        <v>1</v>
      </c>
      <c r="G394" s="20" t="n">
        <v>17.23</v>
      </c>
      <c r="H394" s="20" t="n">
        <v>17.23</v>
      </c>
    </row>
    <row r="395" customFormat="false" ht="15" hidden="false" customHeight="false" outlineLevel="0" collapsed="false">
      <c r="A395" s="8" t="s">
        <v>1116</v>
      </c>
      <c r="B395" s="10" t="n">
        <v>46261</v>
      </c>
      <c r="C395" s="8" t="s">
        <v>69</v>
      </c>
      <c r="D395" s="8" t="s">
        <v>703</v>
      </c>
      <c r="E395" s="8" t="s">
        <v>734</v>
      </c>
      <c r="F395" s="9" t="n">
        <v>2</v>
      </c>
      <c r="G395" s="20" t="n">
        <v>40.51</v>
      </c>
      <c r="H395" s="20" t="n">
        <v>81.02</v>
      </c>
    </row>
    <row r="396" customFormat="false" ht="15" hidden="false" customHeight="false" outlineLevel="0" collapsed="false">
      <c r="A396" s="8" t="s">
        <v>1117</v>
      </c>
      <c r="B396" s="10" t="n">
        <v>46079</v>
      </c>
      <c r="C396" s="8" t="s">
        <v>154</v>
      </c>
      <c r="D396" s="8" t="s">
        <v>698</v>
      </c>
      <c r="E396" s="8" t="s">
        <v>750</v>
      </c>
      <c r="F396" s="9" t="n">
        <v>3</v>
      </c>
      <c r="G396" s="20" t="n">
        <v>25.68</v>
      </c>
      <c r="H396" s="20" t="n">
        <v>77.04</v>
      </c>
    </row>
    <row r="397" customFormat="false" ht="15" hidden="false" customHeight="false" outlineLevel="0" collapsed="false">
      <c r="A397" s="8" t="s">
        <v>1118</v>
      </c>
      <c r="B397" s="10" t="n">
        <v>46174</v>
      </c>
      <c r="C397" s="8" t="s">
        <v>115</v>
      </c>
      <c r="D397" s="8" t="s">
        <v>698</v>
      </c>
      <c r="E397" s="8" t="s">
        <v>821</v>
      </c>
      <c r="F397" s="9" t="n">
        <v>5</v>
      </c>
      <c r="G397" s="20" t="n">
        <v>47.06</v>
      </c>
      <c r="H397" s="20" t="n">
        <v>235.3</v>
      </c>
    </row>
    <row r="398" customFormat="false" ht="15" hidden="false" customHeight="false" outlineLevel="0" collapsed="false">
      <c r="A398" s="8" t="s">
        <v>1119</v>
      </c>
      <c r="B398" s="10" t="n">
        <v>46178</v>
      </c>
      <c r="C398" s="8" t="s">
        <v>69</v>
      </c>
      <c r="D398" s="8" t="s">
        <v>703</v>
      </c>
      <c r="E398" s="8" t="s">
        <v>734</v>
      </c>
      <c r="F398" s="9" t="n">
        <v>3</v>
      </c>
      <c r="G398" s="20" t="n">
        <v>37.24</v>
      </c>
      <c r="H398" s="20" t="n">
        <v>111.72</v>
      </c>
    </row>
    <row r="399" customFormat="false" ht="15" hidden="false" customHeight="false" outlineLevel="0" collapsed="false">
      <c r="A399" s="8" t="s">
        <v>1120</v>
      </c>
      <c r="B399" s="10" t="n">
        <v>46087</v>
      </c>
      <c r="C399" s="8" t="s">
        <v>145</v>
      </c>
      <c r="D399" s="8" t="s">
        <v>698</v>
      </c>
      <c r="E399" s="8" t="s">
        <v>754</v>
      </c>
      <c r="F399" s="9" t="n">
        <v>1</v>
      </c>
      <c r="G399" s="20" t="n">
        <v>92.66</v>
      </c>
      <c r="H399" s="20" t="n">
        <v>92.66</v>
      </c>
    </row>
    <row r="400" customFormat="false" ht="15" hidden="false" customHeight="false" outlineLevel="0" collapsed="false">
      <c r="A400" s="8" t="s">
        <v>1121</v>
      </c>
      <c r="B400" s="10" t="n">
        <v>46161</v>
      </c>
      <c r="C400" s="8" t="s">
        <v>650</v>
      </c>
      <c r="D400" s="8" t="s">
        <v>698</v>
      </c>
      <c r="E400" s="8" t="s">
        <v>800</v>
      </c>
      <c r="F400" s="9" t="n">
        <v>4</v>
      </c>
      <c r="G400" s="20" t="n">
        <v>27.43</v>
      </c>
      <c r="H400" s="20" t="n">
        <v>109.72</v>
      </c>
    </row>
    <row r="401" customFormat="false" ht="15" hidden="false" customHeight="false" outlineLevel="0" collapsed="false">
      <c r="A401" s="8" t="s">
        <v>1122</v>
      </c>
      <c r="B401" s="10" t="n">
        <v>46066</v>
      </c>
      <c r="C401" s="8" t="s">
        <v>394</v>
      </c>
      <c r="D401" s="8" t="s">
        <v>703</v>
      </c>
      <c r="E401" s="8" t="s">
        <v>1123</v>
      </c>
      <c r="F401" s="9" t="n">
        <v>6</v>
      </c>
      <c r="G401" s="20" t="n">
        <v>60.32</v>
      </c>
      <c r="H401" s="20" t="n">
        <v>361.92</v>
      </c>
    </row>
    <row r="402" customFormat="false" ht="15" hidden="false" customHeight="false" outlineLevel="0" collapsed="false">
      <c r="A402" s="8" t="s">
        <v>1124</v>
      </c>
      <c r="B402" s="10" t="n">
        <v>46097</v>
      </c>
      <c r="C402" s="8" t="s">
        <v>154</v>
      </c>
      <c r="D402" s="8" t="s">
        <v>703</v>
      </c>
      <c r="E402" s="8" t="s">
        <v>778</v>
      </c>
      <c r="F402" s="9" t="n">
        <v>7</v>
      </c>
      <c r="G402" s="20" t="n">
        <v>57.8</v>
      </c>
      <c r="H402" s="20" t="n">
        <v>404.6</v>
      </c>
    </row>
    <row r="403" customFormat="false" ht="15" hidden="false" customHeight="false" outlineLevel="0" collapsed="false">
      <c r="A403" s="8" t="s">
        <v>1125</v>
      </c>
      <c r="B403" s="10" t="n">
        <v>45963</v>
      </c>
      <c r="C403" s="8" t="s">
        <v>214</v>
      </c>
      <c r="D403" s="8" t="s">
        <v>703</v>
      </c>
      <c r="E403" s="8" t="s">
        <v>715</v>
      </c>
      <c r="F403" s="9" t="n">
        <v>1</v>
      </c>
      <c r="G403" s="20" t="n">
        <v>42.84</v>
      </c>
      <c r="H403" s="20" t="n">
        <v>42.84</v>
      </c>
    </row>
    <row r="404" customFormat="false" ht="15" hidden="false" customHeight="false" outlineLevel="0" collapsed="false">
      <c r="A404" s="8" t="s">
        <v>1126</v>
      </c>
      <c r="B404" s="10" t="n">
        <v>46203</v>
      </c>
      <c r="C404" s="8" t="s">
        <v>214</v>
      </c>
      <c r="D404" s="8" t="s">
        <v>703</v>
      </c>
      <c r="E404" s="8" t="s">
        <v>715</v>
      </c>
      <c r="F404" s="9" t="n">
        <v>3</v>
      </c>
      <c r="G404" s="20" t="n">
        <v>47.63</v>
      </c>
      <c r="H404" s="20" t="n">
        <v>142.89</v>
      </c>
    </row>
    <row r="405" customFormat="false" ht="15" hidden="false" customHeight="false" outlineLevel="0" collapsed="false">
      <c r="A405" s="8" t="s">
        <v>1127</v>
      </c>
      <c r="B405" s="10" t="n">
        <v>46155</v>
      </c>
      <c r="C405" s="8" t="s">
        <v>52</v>
      </c>
      <c r="D405" s="8" t="s">
        <v>698</v>
      </c>
      <c r="E405" s="8" t="s">
        <v>699</v>
      </c>
      <c r="F405" s="9" t="n">
        <v>5</v>
      </c>
      <c r="G405" s="20" t="n">
        <v>15.25</v>
      </c>
      <c r="H405" s="20" t="n">
        <v>76.25</v>
      </c>
    </row>
    <row r="406" customFormat="false" ht="15" hidden="false" customHeight="false" outlineLevel="0" collapsed="false">
      <c r="A406" s="8" t="s">
        <v>1128</v>
      </c>
      <c r="B406" s="10" t="n">
        <v>46043</v>
      </c>
      <c r="C406" s="8" t="s">
        <v>277</v>
      </c>
      <c r="D406" s="8" t="s">
        <v>698</v>
      </c>
      <c r="E406" s="8" t="s">
        <v>710</v>
      </c>
      <c r="F406" s="9" t="n">
        <v>3</v>
      </c>
      <c r="G406" s="20" t="n">
        <v>59.59</v>
      </c>
      <c r="H406" s="20" t="n">
        <v>178.77</v>
      </c>
    </row>
    <row r="407" customFormat="false" ht="15" hidden="false" customHeight="false" outlineLevel="0" collapsed="false">
      <c r="A407" s="8" t="s">
        <v>1129</v>
      </c>
      <c r="B407" s="10" t="n">
        <v>46138</v>
      </c>
      <c r="C407" s="8" t="s">
        <v>646</v>
      </c>
      <c r="D407" s="8" t="s">
        <v>698</v>
      </c>
      <c r="E407" s="8" t="s">
        <v>782</v>
      </c>
      <c r="F407" s="9" t="n">
        <v>1</v>
      </c>
      <c r="G407" s="20" t="n">
        <v>72.42</v>
      </c>
      <c r="H407" s="20" t="n">
        <v>72.42</v>
      </c>
    </row>
    <row r="408" customFormat="false" ht="15" hidden="false" customHeight="false" outlineLevel="0" collapsed="false">
      <c r="A408" s="8" t="s">
        <v>1130</v>
      </c>
      <c r="B408" s="10" t="n">
        <v>46244</v>
      </c>
      <c r="C408" s="8" t="s">
        <v>214</v>
      </c>
      <c r="D408" s="8" t="s">
        <v>698</v>
      </c>
      <c r="E408" s="8" t="s">
        <v>701</v>
      </c>
      <c r="F408" s="9" t="n">
        <v>5</v>
      </c>
      <c r="G408" s="20" t="n">
        <v>19.34</v>
      </c>
      <c r="H408" s="20" t="n">
        <v>96.7</v>
      </c>
    </row>
    <row r="409" customFormat="false" ht="15" hidden="false" customHeight="false" outlineLevel="0" collapsed="false">
      <c r="A409" s="8" t="s">
        <v>1131</v>
      </c>
      <c r="B409" s="10" t="n">
        <v>45991</v>
      </c>
      <c r="C409" s="8" t="s">
        <v>277</v>
      </c>
      <c r="D409" s="8" t="s">
        <v>698</v>
      </c>
      <c r="E409" s="8" t="s">
        <v>710</v>
      </c>
      <c r="F409" s="9" t="n">
        <v>1</v>
      </c>
      <c r="G409" s="20" t="n">
        <v>61.57</v>
      </c>
      <c r="H409" s="20" t="n">
        <v>61.57</v>
      </c>
    </row>
    <row r="410" customFormat="false" ht="15" hidden="false" customHeight="false" outlineLevel="0" collapsed="false">
      <c r="A410" s="8" t="s">
        <v>1132</v>
      </c>
      <c r="B410" s="10" t="n">
        <v>45966</v>
      </c>
      <c r="C410" s="8" t="s">
        <v>650</v>
      </c>
      <c r="D410" s="8" t="s">
        <v>698</v>
      </c>
      <c r="E410" s="8" t="s">
        <v>800</v>
      </c>
      <c r="F410" s="9" t="n">
        <v>2</v>
      </c>
      <c r="G410" s="20" t="n">
        <v>26.01</v>
      </c>
      <c r="H410" s="20" t="n">
        <v>52.02</v>
      </c>
    </row>
    <row r="411" customFormat="false" ht="15" hidden="false" customHeight="false" outlineLevel="0" collapsed="false">
      <c r="A411" s="8" t="s">
        <v>1133</v>
      </c>
      <c r="B411" s="10" t="n">
        <v>46035</v>
      </c>
      <c r="C411" s="8" t="s">
        <v>52</v>
      </c>
      <c r="D411" s="8" t="s">
        <v>703</v>
      </c>
      <c r="E411" s="8" t="s">
        <v>720</v>
      </c>
      <c r="F411" s="9" t="n">
        <v>3</v>
      </c>
      <c r="G411" s="20" t="n">
        <v>34.3</v>
      </c>
      <c r="H411" s="20" t="n">
        <v>102.9</v>
      </c>
    </row>
    <row r="412" customFormat="false" ht="15" hidden="false" customHeight="false" outlineLevel="0" collapsed="false">
      <c r="A412" s="8" t="s">
        <v>1134</v>
      </c>
      <c r="B412" s="10" t="n">
        <v>46075</v>
      </c>
      <c r="C412" s="8" t="s">
        <v>52</v>
      </c>
      <c r="D412" s="8" t="s">
        <v>698</v>
      </c>
      <c r="E412" s="8" t="s">
        <v>699</v>
      </c>
      <c r="F412" s="9" t="n">
        <v>2</v>
      </c>
      <c r="G412" s="20" t="n">
        <v>15</v>
      </c>
      <c r="H412" s="20" t="n">
        <v>30</v>
      </c>
    </row>
    <row r="413" customFormat="false" ht="15" hidden="false" customHeight="false" outlineLevel="0" collapsed="false">
      <c r="A413" s="8" t="s">
        <v>1135</v>
      </c>
      <c r="B413" s="10" t="n">
        <v>46253</v>
      </c>
      <c r="C413" s="8" t="s">
        <v>214</v>
      </c>
      <c r="D413" s="8" t="s">
        <v>698</v>
      </c>
      <c r="E413" s="8" t="s">
        <v>701</v>
      </c>
      <c r="F413" s="9" t="n">
        <v>2</v>
      </c>
      <c r="G413" s="20" t="n">
        <v>20.39</v>
      </c>
      <c r="H413" s="20" t="n">
        <v>40.78</v>
      </c>
    </row>
    <row r="414" customFormat="false" ht="15" hidden="false" customHeight="false" outlineLevel="0" collapsed="false">
      <c r="A414" s="8" t="s">
        <v>1136</v>
      </c>
      <c r="B414" s="10" t="n">
        <v>46248</v>
      </c>
      <c r="C414" s="8" t="s">
        <v>277</v>
      </c>
      <c r="D414" s="8" t="s">
        <v>698</v>
      </c>
      <c r="E414" s="8" t="s">
        <v>710</v>
      </c>
      <c r="F414" s="9" t="n">
        <v>4</v>
      </c>
      <c r="G414" s="20" t="n">
        <v>62.02</v>
      </c>
      <c r="H414" s="20" t="n">
        <v>248.08</v>
      </c>
    </row>
    <row r="415" customFormat="false" ht="15" hidden="false" customHeight="false" outlineLevel="0" collapsed="false">
      <c r="A415" s="8" t="s">
        <v>1137</v>
      </c>
      <c r="B415" s="10" t="n">
        <v>45907</v>
      </c>
      <c r="C415" s="8" t="s">
        <v>390</v>
      </c>
      <c r="D415" s="8" t="s">
        <v>698</v>
      </c>
      <c r="E415" s="8" t="s">
        <v>708</v>
      </c>
      <c r="F415" s="9" t="n">
        <v>1</v>
      </c>
      <c r="G415" s="20" t="n">
        <v>10.7</v>
      </c>
      <c r="H415" s="20" t="n">
        <v>10.7</v>
      </c>
    </row>
    <row r="416" customFormat="false" ht="15" hidden="false" customHeight="false" outlineLevel="0" collapsed="false">
      <c r="A416" s="8" t="s">
        <v>1138</v>
      </c>
      <c r="B416" s="10" t="n">
        <v>46217</v>
      </c>
      <c r="C416" s="8" t="s">
        <v>214</v>
      </c>
      <c r="D416" s="8" t="s">
        <v>698</v>
      </c>
      <c r="E416" s="8" t="s">
        <v>701</v>
      </c>
      <c r="F416" s="9" t="n">
        <v>5</v>
      </c>
      <c r="G416" s="20" t="n">
        <v>18.7</v>
      </c>
      <c r="H416" s="20" t="n">
        <v>93.5</v>
      </c>
    </row>
    <row r="417" customFormat="false" ht="15" hidden="false" customHeight="false" outlineLevel="0" collapsed="false">
      <c r="A417" s="8" t="s">
        <v>1139</v>
      </c>
      <c r="B417" s="10" t="n">
        <v>46126</v>
      </c>
      <c r="C417" s="8" t="s">
        <v>69</v>
      </c>
      <c r="D417" s="8" t="s">
        <v>698</v>
      </c>
      <c r="E417" s="8" t="s">
        <v>713</v>
      </c>
      <c r="F417" s="9" t="n">
        <v>1</v>
      </c>
      <c r="G417" s="20" t="n">
        <v>17.55</v>
      </c>
      <c r="H417" s="20" t="n">
        <v>17.55</v>
      </c>
    </row>
    <row r="418" customFormat="false" ht="15" hidden="false" customHeight="false" outlineLevel="0" collapsed="false">
      <c r="A418" s="8" t="s">
        <v>1140</v>
      </c>
      <c r="B418" s="10" t="n">
        <v>45931</v>
      </c>
      <c r="C418" s="8" t="s">
        <v>214</v>
      </c>
      <c r="D418" s="8" t="s">
        <v>703</v>
      </c>
      <c r="E418" s="8" t="s">
        <v>715</v>
      </c>
      <c r="F418" s="9" t="n">
        <v>1</v>
      </c>
      <c r="G418" s="20" t="n">
        <v>43.97</v>
      </c>
      <c r="H418" s="20" t="n">
        <v>43.97</v>
      </c>
    </row>
    <row r="419" customFormat="false" ht="15" hidden="false" customHeight="false" outlineLevel="0" collapsed="false">
      <c r="A419" s="8" t="s">
        <v>1141</v>
      </c>
      <c r="B419" s="10" t="n">
        <v>45916</v>
      </c>
      <c r="C419" s="8" t="s">
        <v>394</v>
      </c>
      <c r="D419" s="8" t="s">
        <v>698</v>
      </c>
      <c r="E419" s="8" t="s">
        <v>776</v>
      </c>
      <c r="F419" s="9" t="n">
        <v>3</v>
      </c>
      <c r="G419" s="20" t="n">
        <v>21.76</v>
      </c>
      <c r="H419" s="20" t="n">
        <v>65.28</v>
      </c>
    </row>
    <row r="420" customFormat="false" ht="15" hidden="false" customHeight="false" outlineLevel="0" collapsed="false">
      <c r="A420" s="8" t="s">
        <v>1142</v>
      </c>
      <c r="B420" s="10" t="n">
        <v>46165</v>
      </c>
      <c r="C420" s="8" t="s">
        <v>52</v>
      </c>
      <c r="D420" s="8" t="s">
        <v>698</v>
      </c>
      <c r="E420" s="8" t="s">
        <v>699</v>
      </c>
      <c r="F420" s="9" t="n">
        <v>1</v>
      </c>
      <c r="G420" s="20" t="n">
        <v>13.89</v>
      </c>
      <c r="H420" s="20" t="n">
        <v>13.89</v>
      </c>
    </row>
    <row r="421" customFormat="false" ht="15" hidden="false" customHeight="false" outlineLevel="0" collapsed="false">
      <c r="A421" s="8" t="s">
        <v>1143</v>
      </c>
      <c r="B421" s="10" t="n">
        <v>45973</v>
      </c>
      <c r="C421" s="8" t="s">
        <v>390</v>
      </c>
      <c r="D421" s="8" t="s">
        <v>703</v>
      </c>
      <c r="E421" s="8" t="s">
        <v>785</v>
      </c>
      <c r="F421" s="9" t="n">
        <v>5</v>
      </c>
      <c r="G421" s="20" t="n">
        <v>26.45</v>
      </c>
      <c r="H421" s="20" t="n">
        <v>132.25</v>
      </c>
    </row>
    <row r="422" customFormat="false" ht="15" hidden="false" customHeight="false" outlineLevel="0" collapsed="false">
      <c r="A422" s="8" t="s">
        <v>1144</v>
      </c>
      <c r="B422" s="10" t="n">
        <v>46244</v>
      </c>
      <c r="C422" s="8" t="s">
        <v>115</v>
      </c>
      <c r="D422" s="8" t="s">
        <v>698</v>
      </c>
      <c r="E422" s="8" t="s">
        <v>821</v>
      </c>
      <c r="F422" s="9" t="n">
        <v>3</v>
      </c>
      <c r="G422" s="20" t="n">
        <v>44.73</v>
      </c>
      <c r="H422" s="20" t="n">
        <v>134.19</v>
      </c>
    </row>
    <row r="423" customFormat="false" ht="15" hidden="false" customHeight="false" outlineLevel="0" collapsed="false">
      <c r="A423" s="8" t="s">
        <v>1145</v>
      </c>
      <c r="B423" s="10" t="n">
        <v>46229</v>
      </c>
      <c r="C423" s="8" t="s">
        <v>52</v>
      </c>
      <c r="D423" s="8" t="s">
        <v>703</v>
      </c>
      <c r="E423" s="8" t="s">
        <v>720</v>
      </c>
      <c r="F423" s="9" t="n">
        <v>6</v>
      </c>
      <c r="G423" s="20" t="n">
        <v>36.1</v>
      </c>
      <c r="H423" s="20" t="n">
        <v>216.6</v>
      </c>
    </row>
    <row r="424" customFormat="false" ht="15" hidden="false" customHeight="false" outlineLevel="0" collapsed="false">
      <c r="A424" s="8" t="s">
        <v>1146</v>
      </c>
      <c r="B424" s="10" t="n">
        <v>46014</v>
      </c>
      <c r="C424" s="8" t="s">
        <v>277</v>
      </c>
      <c r="D424" s="8" t="s">
        <v>698</v>
      </c>
      <c r="E424" s="8" t="s">
        <v>710</v>
      </c>
      <c r="F424" s="9" t="n">
        <v>6</v>
      </c>
      <c r="G424" s="20" t="n">
        <v>62.2</v>
      </c>
      <c r="H424" s="20" t="n">
        <v>373.2</v>
      </c>
    </row>
    <row r="425" customFormat="false" ht="15" hidden="false" customHeight="false" outlineLevel="0" collapsed="false">
      <c r="A425" s="8" t="s">
        <v>1147</v>
      </c>
      <c r="B425" s="10" t="n">
        <v>46132</v>
      </c>
      <c r="C425" s="8" t="s">
        <v>394</v>
      </c>
      <c r="D425" s="8" t="s">
        <v>698</v>
      </c>
      <c r="E425" s="8" t="s">
        <v>776</v>
      </c>
      <c r="F425" s="9" t="n">
        <v>1</v>
      </c>
      <c r="G425" s="20" t="n">
        <v>23.36</v>
      </c>
      <c r="H425" s="20" t="n">
        <v>23.36</v>
      </c>
    </row>
    <row r="426" customFormat="false" ht="15" hidden="false" customHeight="false" outlineLevel="0" collapsed="false">
      <c r="A426" s="8" t="s">
        <v>1148</v>
      </c>
      <c r="B426" s="10" t="n">
        <v>46181</v>
      </c>
      <c r="C426" s="8" t="s">
        <v>52</v>
      </c>
      <c r="D426" s="8" t="s">
        <v>698</v>
      </c>
      <c r="E426" s="8" t="s">
        <v>699</v>
      </c>
      <c r="F426" s="9" t="n">
        <v>5</v>
      </c>
      <c r="G426" s="20" t="n">
        <v>15.39</v>
      </c>
      <c r="H426" s="20" t="n">
        <v>76.95</v>
      </c>
    </row>
    <row r="427" customFormat="false" ht="15" hidden="false" customHeight="false" outlineLevel="0" collapsed="false">
      <c r="A427" s="8" t="s">
        <v>1149</v>
      </c>
      <c r="B427" s="10" t="n">
        <v>46255</v>
      </c>
      <c r="C427" s="8" t="s">
        <v>323</v>
      </c>
      <c r="D427" s="8" t="s">
        <v>698</v>
      </c>
      <c r="E427" s="8" t="s">
        <v>804</v>
      </c>
      <c r="F427" s="9" t="n">
        <v>3</v>
      </c>
      <c r="G427" s="20" t="n">
        <v>94.85</v>
      </c>
      <c r="H427" s="20" t="n">
        <v>284.55</v>
      </c>
    </row>
    <row r="428" customFormat="false" ht="15" hidden="false" customHeight="false" outlineLevel="0" collapsed="false">
      <c r="A428" s="8" t="s">
        <v>1150</v>
      </c>
      <c r="B428" s="10" t="n">
        <v>46044</v>
      </c>
      <c r="C428" s="8" t="s">
        <v>145</v>
      </c>
      <c r="D428" s="8" t="s">
        <v>698</v>
      </c>
      <c r="E428" s="8" t="s">
        <v>754</v>
      </c>
      <c r="F428" s="9" t="n">
        <v>1</v>
      </c>
      <c r="G428" s="20" t="n">
        <v>85.87</v>
      </c>
      <c r="H428" s="20" t="n">
        <v>85.87</v>
      </c>
    </row>
    <row r="429" customFormat="false" ht="15" hidden="false" customHeight="false" outlineLevel="0" collapsed="false">
      <c r="A429" s="8" t="s">
        <v>1151</v>
      </c>
      <c r="B429" s="10" t="n">
        <v>46061</v>
      </c>
      <c r="C429" s="8" t="s">
        <v>69</v>
      </c>
      <c r="D429" s="8" t="s">
        <v>698</v>
      </c>
      <c r="E429" s="8" t="s">
        <v>713</v>
      </c>
      <c r="F429" s="9" t="n">
        <v>2</v>
      </c>
      <c r="G429" s="20" t="n">
        <v>18.16</v>
      </c>
      <c r="H429" s="20" t="n">
        <v>36.32</v>
      </c>
    </row>
    <row r="430" customFormat="false" ht="15" hidden="false" customHeight="false" outlineLevel="0" collapsed="false">
      <c r="A430" s="8" t="s">
        <v>1152</v>
      </c>
      <c r="B430" s="10" t="n">
        <v>46043</v>
      </c>
      <c r="C430" s="8" t="s">
        <v>390</v>
      </c>
      <c r="D430" s="8" t="s">
        <v>698</v>
      </c>
      <c r="E430" s="8" t="s">
        <v>708</v>
      </c>
      <c r="F430" s="9" t="n">
        <v>5</v>
      </c>
      <c r="G430" s="20" t="n">
        <v>9.57</v>
      </c>
      <c r="H430" s="20" t="n">
        <v>47.85</v>
      </c>
    </row>
    <row r="431" customFormat="false" ht="15" hidden="false" customHeight="false" outlineLevel="0" collapsed="false">
      <c r="A431" s="8" t="s">
        <v>1153</v>
      </c>
      <c r="B431" s="10" t="n">
        <v>45969</v>
      </c>
      <c r="C431" s="8" t="s">
        <v>154</v>
      </c>
      <c r="D431" s="8" t="s">
        <v>703</v>
      </c>
      <c r="E431" s="8" t="s">
        <v>778</v>
      </c>
      <c r="F431" s="9" t="n">
        <v>3</v>
      </c>
      <c r="G431" s="20" t="n">
        <v>54.9</v>
      </c>
      <c r="H431" s="20" t="n">
        <v>164.7</v>
      </c>
    </row>
    <row r="432" customFormat="false" ht="15" hidden="false" customHeight="false" outlineLevel="0" collapsed="false">
      <c r="A432" s="8" t="s">
        <v>1154</v>
      </c>
      <c r="B432" s="10" t="n">
        <v>46142</v>
      </c>
      <c r="C432" s="8" t="s">
        <v>390</v>
      </c>
      <c r="D432" s="8" t="s">
        <v>698</v>
      </c>
      <c r="E432" s="8" t="s">
        <v>708</v>
      </c>
      <c r="F432" s="9" t="n">
        <v>4</v>
      </c>
      <c r="G432" s="20" t="n">
        <v>10.24</v>
      </c>
      <c r="H432" s="20" t="n">
        <v>40.96</v>
      </c>
    </row>
    <row r="433" customFormat="false" ht="15" hidden="false" customHeight="false" outlineLevel="0" collapsed="false">
      <c r="A433" s="8" t="s">
        <v>1155</v>
      </c>
      <c r="B433" s="10" t="n">
        <v>46262</v>
      </c>
      <c r="C433" s="8" t="s">
        <v>52</v>
      </c>
      <c r="D433" s="8" t="s">
        <v>698</v>
      </c>
      <c r="E433" s="8" t="s">
        <v>699</v>
      </c>
      <c r="F433" s="9" t="n">
        <v>7</v>
      </c>
      <c r="G433" s="20" t="n">
        <v>15.37</v>
      </c>
      <c r="H433" s="20" t="n">
        <v>107.59</v>
      </c>
    </row>
    <row r="434" customFormat="false" ht="15" hidden="false" customHeight="false" outlineLevel="0" collapsed="false">
      <c r="A434" s="8" t="s">
        <v>1156</v>
      </c>
      <c r="B434" s="10" t="n">
        <v>46207</v>
      </c>
      <c r="C434" s="8" t="s">
        <v>166</v>
      </c>
      <c r="D434" s="8" t="s">
        <v>703</v>
      </c>
      <c r="E434" s="8" t="s">
        <v>774</v>
      </c>
      <c r="F434" s="9" t="n">
        <v>7</v>
      </c>
      <c r="G434" s="20" t="n">
        <v>365.35</v>
      </c>
      <c r="H434" s="20" t="n">
        <v>2557.45</v>
      </c>
    </row>
    <row r="435" customFormat="false" ht="15" hidden="false" customHeight="false" outlineLevel="0" collapsed="false">
      <c r="A435" s="8" t="s">
        <v>1157</v>
      </c>
      <c r="B435" s="10" t="n">
        <v>46244</v>
      </c>
      <c r="C435" s="8" t="s">
        <v>650</v>
      </c>
      <c r="D435" s="8" t="s">
        <v>703</v>
      </c>
      <c r="E435" s="8" t="s">
        <v>858</v>
      </c>
      <c r="F435" s="9" t="n">
        <v>1</v>
      </c>
      <c r="G435" s="20" t="n">
        <v>61.55</v>
      </c>
      <c r="H435" s="20" t="n">
        <v>61.55</v>
      </c>
    </row>
    <row r="436" customFormat="false" ht="15" hidden="false" customHeight="false" outlineLevel="0" collapsed="false">
      <c r="A436" s="8" t="s">
        <v>1158</v>
      </c>
      <c r="B436" s="10" t="n">
        <v>46059</v>
      </c>
      <c r="C436" s="8" t="s">
        <v>145</v>
      </c>
      <c r="D436" s="8" t="s">
        <v>698</v>
      </c>
      <c r="E436" s="8" t="s">
        <v>754</v>
      </c>
      <c r="F436" s="9" t="n">
        <v>4</v>
      </c>
      <c r="G436" s="20" t="n">
        <v>83.16</v>
      </c>
      <c r="H436" s="20" t="n">
        <v>332.64</v>
      </c>
    </row>
    <row r="437" customFormat="false" ht="15" hidden="false" customHeight="false" outlineLevel="0" collapsed="false">
      <c r="A437" s="8" t="s">
        <v>1159</v>
      </c>
      <c r="B437" s="10" t="n">
        <v>45987</v>
      </c>
      <c r="C437" s="8" t="s">
        <v>214</v>
      </c>
      <c r="D437" s="8" t="s">
        <v>698</v>
      </c>
      <c r="E437" s="8" t="s">
        <v>701</v>
      </c>
      <c r="F437" s="9" t="n">
        <v>1</v>
      </c>
      <c r="G437" s="20" t="n">
        <v>18.57</v>
      </c>
      <c r="H437" s="20" t="n">
        <v>18.57</v>
      </c>
    </row>
    <row r="438" customFormat="false" ht="15" hidden="false" customHeight="false" outlineLevel="0" collapsed="false">
      <c r="A438" s="8" t="s">
        <v>1160</v>
      </c>
      <c r="B438" s="10" t="n">
        <v>46072</v>
      </c>
      <c r="C438" s="8" t="s">
        <v>145</v>
      </c>
      <c r="D438" s="8" t="s">
        <v>698</v>
      </c>
      <c r="E438" s="8" t="s">
        <v>754</v>
      </c>
      <c r="F438" s="9" t="n">
        <v>1</v>
      </c>
      <c r="G438" s="20" t="n">
        <v>96.52</v>
      </c>
      <c r="H438" s="20" t="n">
        <v>96.52</v>
      </c>
    </row>
    <row r="439" customFormat="false" ht="15" hidden="false" customHeight="false" outlineLevel="0" collapsed="false">
      <c r="A439" s="8" t="s">
        <v>1161</v>
      </c>
      <c r="B439" s="10" t="n">
        <v>46139</v>
      </c>
      <c r="C439" s="8" t="s">
        <v>52</v>
      </c>
      <c r="D439" s="8" t="s">
        <v>698</v>
      </c>
      <c r="E439" s="8" t="s">
        <v>699</v>
      </c>
      <c r="F439" s="9" t="n">
        <v>5</v>
      </c>
      <c r="G439" s="20" t="n">
        <v>14.91</v>
      </c>
      <c r="H439" s="20" t="n">
        <v>74.55</v>
      </c>
    </row>
    <row r="440" customFormat="false" ht="15" hidden="false" customHeight="false" outlineLevel="0" collapsed="false">
      <c r="A440" s="8" t="s">
        <v>1162</v>
      </c>
      <c r="B440" s="10" t="n">
        <v>46103</v>
      </c>
      <c r="C440" s="8" t="s">
        <v>214</v>
      </c>
      <c r="D440" s="8" t="s">
        <v>698</v>
      </c>
      <c r="E440" s="8" t="s">
        <v>701</v>
      </c>
      <c r="F440" s="9" t="n">
        <v>4</v>
      </c>
      <c r="G440" s="20" t="n">
        <v>19.32</v>
      </c>
      <c r="H440" s="20" t="n">
        <v>77.28</v>
      </c>
    </row>
    <row r="441" customFormat="false" ht="15" hidden="false" customHeight="false" outlineLevel="0" collapsed="false">
      <c r="A441" s="8" t="s">
        <v>1163</v>
      </c>
      <c r="B441" s="10" t="n">
        <v>46044</v>
      </c>
      <c r="C441" s="8" t="s">
        <v>52</v>
      </c>
      <c r="D441" s="8" t="s">
        <v>698</v>
      </c>
      <c r="E441" s="8" t="s">
        <v>699</v>
      </c>
      <c r="F441" s="9" t="n">
        <v>5</v>
      </c>
      <c r="G441" s="20" t="n">
        <v>14.42</v>
      </c>
      <c r="H441" s="20" t="n">
        <v>72.1</v>
      </c>
    </row>
    <row r="442" customFormat="false" ht="15" hidden="false" customHeight="false" outlineLevel="0" collapsed="false">
      <c r="A442" s="8" t="s">
        <v>1164</v>
      </c>
      <c r="B442" s="10" t="n">
        <v>46251</v>
      </c>
      <c r="C442" s="8" t="s">
        <v>52</v>
      </c>
      <c r="D442" s="8" t="s">
        <v>703</v>
      </c>
      <c r="E442" s="8" t="s">
        <v>720</v>
      </c>
      <c r="F442" s="9" t="n">
        <v>6</v>
      </c>
      <c r="G442" s="20" t="n">
        <v>34.23</v>
      </c>
      <c r="H442" s="20" t="n">
        <v>205.38</v>
      </c>
    </row>
    <row r="443" customFormat="false" ht="15" hidden="false" customHeight="false" outlineLevel="0" collapsed="false">
      <c r="A443" s="8" t="s">
        <v>1165</v>
      </c>
      <c r="B443" s="10" t="n">
        <v>45956</v>
      </c>
      <c r="C443" s="8" t="s">
        <v>52</v>
      </c>
      <c r="D443" s="8" t="s">
        <v>698</v>
      </c>
      <c r="E443" s="8" t="s">
        <v>699</v>
      </c>
      <c r="F443" s="9" t="n">
        <v>1</v>
      </c>
      <c r="G443" s="20" t="n">
        <v>15.84</v>
      </c>
      <c r="H443" s="20" t="n">
        <v>15.84</v>
      </c>
    </row>
    <row r="444" customFormat="false" ht="15" hidden="false" customHeight="false" outlineLevel="0" collapsed="false">
      <c r="A444" s="8" t="s">
        <v>1166</v>
      </c>
      <c r="B444" s="10" t="n">
        <v>46256</v>
      </c>
      <c r="C444" s="8" t="s">
        <v>214</v>
      </c>
      <c r="D444" s="8" t="s">
        <v>703</v>
      </c>
      <c r="E444" s="8" t="s">
        <v>715</v>
      </c>
      <c r="F444" s="9" t="n">
        <v>1</v>
      </c>
      <c r="G444" s="20" t="n">
        <v>41.94</v>
      </c>
      <c r="H444" s="20" t="n">
        <v>41.94</v>
      </c>
    </row>
    <row r="445" customFormat="false" ht="15" hidden="false" customHeight="false" outlineLevel="0" collapsed="false">
      <c r="A445" s="8" t="s">
        <v>1167</v>
      </c>
      <c r="B445" s="10" t="n">
        <v>45983</v>
      </c>
      <c r="C445" s="8" t="s">
        <v>390</v>
      </c>
      <c r="D445" s="8" t="s">
        <v>703</v>
      </c>
      <c r="E445" s="8" t="s">
        <v>785</v>
      </c>
      <c r="F445" s="9" t="n">
        <v>1</v>
      </c>
      <c r="G445" s="20" t="n">
        <v>26.2</v>
      </c>
      <c r="H445" s="20" t="n">
        <v>26.2</v>
      </c>
    </row>
    <row r="446" customFormat="false" ht="15" hidden="false" customHeight="false" outlineLevel="0" collapsed="false">
      <c r="A446" s="8" t="s">
        <v>1168</v>
      </c>
      <c r="B446" s="10" t="n">
        <v>46114</v>
      </c>
      <c r="C446" s="8" t="s">
        <v>115</v>
      </c>
      <c r="D446" s="8" t="s">
        <v>698</v>
      </c>
      <c r="E446" s="8" t="s">
        <v>821</v>
      </c>
      <c r="F446" s="9" t="n">
        <v>8</v>
      </c>
      <c r="G446" s="20" t="n">
        <v>47.35</v>
      </c>
      <c r="H446" s="20" t="n">
        <v>378.8</v>
      </c>
    </row>
    <row r="447" customFormat="false" ht="15" hidden="false" customHeight="false" outlineLevel="0" collapsed="false">
      <c r="A447" s="8" t="s">
        <v>1169</v>
      </c>
      <c r="B447" s="10" t="n">
        <v>46189</v>
      </c>
      <c r="C447" s="8" t="s">
        <v>154</v>
      </c>
      <c r="D447" s="8" t="s">
        <v>698</v>
      </c>
      <c r="E447" s="8" t="s">
        <v>750</v>
      </c>
      <c r="F447" s="9" t="n">
        <v>1</v>
      </c>
      <c r="G447" s="20" t="n">
        <v>24.16</v>
      </c>
      <c r="H447" s="20" t="n">
        <v>24.16</v>
      </c>
    </row>
    <row r="448" customFormat="false" ht="15" hidden="false" customHeight="false" outlineLevel="0" collapsed="false">
      <c r="A448" s="8" t="s">
        <v>1170</v>
      </c>
      <c r="B448" s="10" t="n">
        <v>45931</v>
      </c>
      <c r="C448" s="8" t="s">
        <v>69</v>
      </c>
      <c r="D448" s="8" t="s">
        <v>703</v>
      </c>
      <c r="E448" s="8" t="s">
        <v>734</v>
      </c>
      <c r="F448" s="9" t="n">
        <v>7</v>
      </c>
      <c r="G448" s="20" t="n">
        <v>41.32</v>
      </c>
      <c r="H448" s="20" t="n">
        <v>289.24</v>
      </c>
    </row>
    <row r="449" customFormat="false" ht="15" hidden="false" customHeight="false" outlineLevel="0" collapsed="false">
      <c r="A449" s="8" t="s">
        <v>1171</v>
      </c>
      <c r="B449" s="10" t="n">
        <v>46078</v>
      </c>
      <c r="C449" s="8" t="s">
        <v>145</v>
      </c>
      <c r="D449" s="8" t="s">
        <v>698</v>
      </c>
      <c r="E449" s="8" t="s">
        <v>754</v>
      </c>
      <c r="F449" s="9" t="n">
        <v>1</v>
      </c>
      <c r="G449" s="20" t="n">
        <v>89.79</v>
      </c>
      <c r="H449" s="20" t="n">
        <v>89.79</v>
      </c>
    </row>
    <row r="450" customFormat="false" ht="15" hidden="false" customHeight="false" outlineLevel="0" collapsed="false">
      <c r="A450" s="8" t="s">
        <v>1172</v>
      </c>
      <c r="B450" s="10" t="n">
        <v>46064</v>
      </c>
      <c r="C450" s="8" t="s">
        <v>52</v>
      </c>
      <c r="D450" s="8" t="s">
        <v>698</v>
      </c>
      <c r="E450" s="8" t="s">
        <v>699</v>
      </c>
      <c r="F450" s="9" t="n">
        <v>1</v>
      </c>
      <c r="G450" s="20" t="n">
        <v>15.52</v>
      </c>
      <c r="H450" s="20" t="n">
        <v>15.52</v>
      </c>
    </row>
    <row r="451" customFormat="false" ht="15" hidden="false" customHeight="false" outlineLevel="0" collapsed="false">
      <c r="A451" s="8" t="s">
        <v>1173</v>
      </c>
      <c r="B451" s="10" t="n">
        <v>46178</v>
      </c>
      <c r="C451" s="8" t="s">
        <v>52</v>
      </c>
      <c r="D451" s="8" t="s">
        <v>698</v>
      </c>
      <c r="E451" s="8" t="s">
        <v>699</v>
      </c>
      <c r="F451" s="9" t="n">
        <v>1</v>
      </c>
      <c r="G451" s="20" t="n">
        <v>15.72</v>
      </c>
      <c r="H451" s="20" t="n">
        <v>15.72</v>
      </c>
    </row>
    <row r="452" customFormat="false" ht="15" hidden="false" customHeight="false" outlineLevel="0" collapsed="false">
      <c r="A452" s="8" t="s">
        <v>1174</v>
      </c>
      <c r="B452" s="10" t="n">
        <v>46124</v>
      </c>
      <c r="C452" s="8" t="s">
        <v>390</v>
      </c>
      <c r="D452" s="8" t="s">
        <v>698</v>
      </c>
      <c r="E452" s="8" t="s">
        <v>708</v>
      </c>
      <c r="F452" s="9" t="n">
        <v>6</v>
      </c>
      <c r="G452" s="20" t="n">
        <v>10.47</v>
      </c>
      <c r="H452" s="20" t="n">
        <v>62.82</v>
      </c>
    </row>
    <row r="453" customFormat="false" ht="15" hidden="false" customHeight="false" outlineLevel="0" collapsed="false">
      <c r="A453" s="8" t="s">
        <v>1175</v>
      </c>
      <c r="B453" s="10" t="n">
        <v>46034</v>
      </c>
      <c r="C453" s="8" t="s">
        <v>646</v>
      </c>
      <c r="D453" s="8" t="s">
        <v>698</v>
      </c>
      <c r="E453" s="8" t="s">
        <v>782</v>
      </c>
      <c r="F453" s="9" t="n">
        <v>8</v>
      </c>
      <c r="G453" s="20" t="n">
        <v>66.2</v>
      </c>
      <c r="H453" s="20" t="n">
        <v>529.6</v>
      </c>
    </row>
    <row r="454" customFormat="false" ht="15" hidden="false" customHeight="false" outlineLevel="0" collapsed="false">
      <c r="A454" s="8" t="s">
        <v>1176</v>
      </c>
      <c r="B454" s="10" t="n">
        <v>46179</v>
      </c>
      <c r="C454" s="8" t="s">
        <v>214</v>
      </c>
      <c r="D454" s="8" t="s">
        <v>703</v>
      </c>
      <c r="E454" s="8" t="s">
        <v>715</v>
      </c>
      <c r="F454" s="9" t="n">
        <v>5</v>
      </c>
      <c r="G454" s="20" t="n">
        <v>47.93</v>
      </c>
      <c r="H454" s="20" t="n">
        <v>239.65</v>
      </c>
    </row>
    <row r="455" customFormat="false" ht="15" hidden="false" customHeight="false" outlineLevel="0" collapsed="false">
      <c r="A455" s="8" t="s">
        <v>1177</v>
      </c>
      <c r="B455" s="10" t="n">
        <v>46069</v>
      </c>
      <c r="C455" s="8" t="s">
        <v>145</v>
      </c>
      <c r="D455" s="8" t="s">
        <v>703</v>
      </c>
      <c r="E455" s="8" t="s">
        <v>706</v>
      </c>
      <c r="F455" s="9" t="n">
        <v>2</v>
      </c>
      <c r="G455" s="20" t="n">
        <v>225.86</v>
      </c>
      <c r="H455" s="20" t="n">
        <v>451.72</v>
      </c>
    </row>
    <row r="456" customFormat="false" ht="15" hidden="false" customHeight="false" outlineLevel="0" collapsed="false">
      <c r="A456" s="8" t="s">
        <v>1178</v>
      </c>
      <c r="B456" s="10" t="n">
        <v>45944</v>
      </c>
      <c r="C456" s="8" t="s">
        <v>154</v>
      </c>
      <c r="D456" s="8" t="s">
        <v>703</v>
      </c>
      <c r="E456" s="8" t="s">
        <v>778</v>
      </c>
      <c r="F456" s="9" t="n">
        <v>2</v>
      </c>
      <c r="G456" s="20" t="n">
        <v>52.41</v>
      </c>
      <c r="H456" s="20" t="n">
        <v>104.82</v>
      </c>
    </row>
    <row r="457" customFormat="false" ht="15" hidden="false" customHeight="false" outlineLevel="0" collapsed="false">
      <c r="A457" s="8" t="s">
        <v>1179</v>
      </c>
      <c r="B457" s="10" t="n">
        <v>46129</v>
      </c>
      <c r="C457" s="8" t="s">
        <v>390</v>
      </c>
      <c r="D457" s="8" t="s">
        <v>698</v>
      </c>
      <c r="E457" s="8" t="s">
        <v>708</v>
      </c>
      <c r="F457" s="9" t="n">
        <v>4</v>
      </c>
      <c r="G457" s="20" t="n">
        <v>10.32</v>
      </c>
      <c r="H457" s="20" t="n">
        <v>41.28</v>
      </c>
    </row>
    <row r="458" customFormat="false" ht="15" hidden="false" customHeight="false" outlineLevel="0" collapsed="false">
      <c r="A458" s="8" t="s">
        <v>1180</v>
      </c>
      <c r="B458" s="10" t="n">
        <v>46075</v>
      </c>
      <c r="C458" s="8" t="s">
        <v>154</v>
      </c>
      <c r="D458" s="8" t="s">
        <v>703</v>
      </c>
      <c r="E458" s="8" t="s">
        <v>778</v>
      </c>
      <c r="F458" s="9" t="n">
        <v>3</v>
      </c>
      <c r="G458" s="20" t="n">
        <v>54.98</v>
      </c>
      <c r="H458" s="20" t="n">
        <v>164.94</v>
      </c>
    </row>
    <row r="459" customFormat="false" ht="15" hidden="false" customHeight="false" outlineLevel="0" collapsed="false">
      <c r="A459" s="8" t="s">
        <v>1181</v>
      </c>
      <c r="B459" s="10" t="n">
        <v>45983</v>
      </c>
      <c r="C459" s="8" t="s">
        <v>214</v>
      </c>
      <c r="D459" s="8" t="s">
        <v>703</v>
      </c>
      <c r="E459" s="8" t="s">
        <v>715</v>
      </c>
      <c r="F459" s="9" t="n">
        <v>5</v>
      </c>
      <c r="G459" s="20" t="n">
        <v>46.04</v>
      </c>
      <c r="H459" s="20" t="n">
        <v>230.2</v>
      </c>
    </row>
    <row r="460" customFormat="false" ht="15" hidden="false" customHeight="false" outlineLevel="0" collapsed="false">
      <c r="A460" s="8" t="s">
        <v>1182</v>
      </c>
      <c r="B460" s="10" t="n">
        <v>46090</v>
      </c>
      <c r="C460" s="8" t="s">
        <v>145</v>
      </c>
      <c r="D460" s="8" t="s">
        <v>703</v>
      </c>
      <c r="E460" s="8" t="s">
        <v>706</v>
      </c>
      <c r="F460" s="9" t="n">
        <v>8</v>
      </c>
      <c r="G460" s="20" t="n">
        <v>208.67</v>
      </c>
      <c r="H460" s="20" t="n">
        <v>1669.36</v>
      </c>
    </row>
    <row r="461" customFormat="false" ht="15" hidden="false" customHeight="false" outlineLevel="0" collapsed="false">
      <c r="A461" s="8" t="s">
        <v>1183</v>
      </c>
      <c r="B461" s="10" t="n">
        <v>45955</v>
      </c>
      <c r="C461" s="8" t="s">
        <v>277</v>
      </c>
      <c r="D461" s="8" t="s">
        <v>698</v>
      </c>
      <c r="E461" s="8" t="s">
        <v>710</v>
      </c>
      <c r="F461" s="9" t="n">
        <v>3</v>
      </c>
      <c r="G461" s="20" t="n">
        <v>55.65</v>
      </c>
      <c r="H461" s="20" t="n">
        <v>166.95</v>
      </c>
    </row>
    <row r="462" customFormat="false" ht="15" hidden="false" customHeight="false" outlineLevel="0" collapsed="false">
      <c r="A462" s="8" t="s">
        <v>1184</v>
      </c>
      <c r="B462" s="10" t="n">
        <v>46225</v>
      </c>
      <c r="C462" s="8" t="s">
        <v>214</v>
      </c>
      <c r="D462" s="8" t="s">
        <v>698</v>
      </c>
      <c r="E462" s="8" t="s">
        <v>701</v>
      </c>
      <c r="F462" s="9" t="n">
        <v>7</v>
      </c>
      <c r="G462" s="20" t="n">
        <v>19.19</v>
      </c>
      <c r="H462" s="20" t="n">
        <v>134.33</v>
      </c>
    </row>
    <row r="463" customFormat="false" ht="15" hidden="false" customHeight="false" outlineLevel="0" collapsed="false">
      <c r="A463" s="8" t="s">
        <v>1185</v>
      </c>
      <c r="B463" s="10" t="n">
        <v>45932</v>
      </c>
      <c r="C463" s="8" t="s">
        <v>390</v>
      </c>
      <c r="D463" s="8" t="s">
        <v>698</v>
      </c>
      <c r="E463" s="8" t="s">
        <v>708</v>
      </c>
      <c r="F463" s="9" t="n">
        <v>2</v>
      </c>
      <c r="G463" s="20" t="n">
        <v>9.78</v>
      </c>
      <c r="H463" s="20" t="n">
        <v>19.56</v>
      </c>
    </row>
    <row r="464" customFormat="false" ht="15" hidden="false" customHeight="false" outlineLevel="0" collapsed="false">
      <c r="A464" s="8" t="s">
        <v>1186</v>
      </c>
      <c r="B464" s="10" t="n">
        <v>46049</v>
      </c>
      <c r="C464" s="8" t="s">
        <v>115</v>
      </c>
      <c r="D464" s="8" t="s">
        <v>698</v>
      </c>
      <c r="E464" s="8" t="s">
        <v>821</v>
      </c>
      <c r="F464" s="9" t="n">
        <v>4</v>
      </c>
      <c r="G464" s="20" t="n">
        <v>42.17</v>
      </c>
      <c r="H464" s="20" t="n">
        <v>168.68</v>
      </c>
    </row>
    <row r="465" customFormat="false" ht="15" hidden="false" customHeight="false" outlineLevel="0" collapsed="false">
      <c r="A465" s="8" t="s">
        <v>1187</v>
      </c>
      <c r="B465" s="10" t="n">
        <v>46089</v>
      </c>
      <c r="C465" s="8" t="s">
        <v>214</v>
      </c>
      <c r="D465" s="8" t="s">
        <v>703</v>
      </c>
      <c r="E465" s="8" t="s">
        <v>715</v>
      </c>
      <c r="F465" s="9" t="n">
        <v>5</v>
      </c>
      <c r="G465" s="20" t="n">
        <v>47.98</v>
      </c>
      <c r="H465" s="20" t="n">
        <v>239.9</v>
      </c>
    </row>
    <row r="466" customFormat="false" ht="15" hidden="false" customHeight="false" outlineLevel="0" collapsed="false">
      <c r="A466" s="8" t="s">
        <v>1188</v>
      </c>
      <c r="B466" s="10" t="n">
        <v>46198</v>
      </c>
      <c r="C466" s="8" t="s">
        <v>145</v>
      </c>
      <c r="D466" s="8" t="s">
        <v>698</v>
      </c>
      <c r="E466" s="8" t="s">
        <v>754</v>
      </c>
      <c r="F466" s="9" t="n">
        <v>2</v>
      </c>
      <c r="G466" s="20" t="n">
        <v>92.09</v>
      </c>
      <c r="H466" s="20" t="n">
        <v>184.18</v>
      </c>
    </row>
    <row r="467" customFormat="false" ht="15" hidden="false" customHeight="false" outlineLevel="0" collapsed="false">
      <c r="A467" s="8" t="s">
        <v>1189</v>
      </c>
      <c r="B467" s="10" t="n">
        <v>46006</v>
      </c>
      <c r="C467" s="8" t="s">
        <v>52</v>
      </c>
      <c r="D467" s="8" t="s">
        <v>703</v>
      </c>
      <c r="E467" s="8" t="s">
        <v>720</v>
      </c>
      <c r="F467" s="9" t="n">
        <v>2</v>
      </c>
      <c r="G467" s="20" t="n">
        <v>33.53</v>
      </c>
      <c r="H467" s="20" t="n">
        <v>67.06</v>
      </c>
    </row>
    <row r="468" customFormat="false" ht="15" hidden="false" customHeight="false" outlineLevel="0" collapsed="false">
      <c r="A468" s="8" t="s">
        <v>1190</v>
      </c>
      <c r="B468" s="10" t="n">
        <v>46129</v>
      </c>
      <c r="C468" s="8" t="s">
        <v>390</v>
      </c>
      <c r="D468" s="8" t="s">
        <v>703</v>
      </c>
      <c r="E468" s="8" t="s">
        <v>785</v>
      </c>
      <c r="F468" s="9" t="n">
        <v>3</v>
      </c>
      <c r="G468" s="20" t="n">
        <v>26.02</v>
      </c>
      <c r="H468" s="20" t="n">
        <v>78.06</v>
      </c>
    </row>
    <row r="469" customFormat="false" ht="15" hidden="false" customHeight="false" outlineLevel="0" collapsed="false">
      <c r="A469" s="8" t="s">
        <v>1191</v>
      </c>
      <c r="B469" s="10" t="n">
        <v>46031</v>
      </c>
      <c r="C469" s="8" t="s">
        <v>214</v>
      </c>
      <c r="D469" s="8" t="s">
        <v>698</v>
      </c>
      <c r="E469" s="8" t="s">
        <v>701</v>
      </c>
      <c r="F469" s="9" t="n">
        <v>8</v>
      </c>
      <c r="G469" s="20" t="n">
        <v>19.57</v>
      </c>
      <c r="H469" s="20" t="n">
        <v>156.56</v>
      </c>
    </row>
    <row r="470" customFormat="false" ht="15" hidden="false" customHeight="false" outlineLevel="0" collapsed="false">
      <c r="A470" s="8" t="s">
        <v>1192</v>
      </c>
      <c r="B470" s="10" t="n">
        <v>46204</v>
      </c>
      <c r="C470" s="8" t="s">
        <v>214</v>
      </c>
      <c r="D470" s="8" t="s">
        <v>698</v>
      </c>
      <c r="E470" s="8" t="s">
        <v>701</v>
      </c>
      <c r="F470" s="9" t="n">
        <v>1</v>
      </c>
      <c r="G470" s="20" t="n">
        <v>19.42</v>
      </c>
      <c r="H470" s="20" t="n">
        <v>19.42</v>
      </c>
    </row>
    <row r="471" customFormat="false" ht="15" hidden="false" customHeight="false" outlineLevel="0" collapsed="false">
      <c r="A471" s="8" t="s">
        <v>1193</v>
      </c>
      <c r="B471" s="10" t="n">
        <v>45918</v>
      </c>
      <c r="C471" s="8" t="s">
        <v>52</v>
      </c>
      <c r="D471" s="8" t="s">
        <v>698</v>
      </c>
      <c r="E471" s="8" t="s">
        <v>699</v>
      </c>
      <c r="F471" s="9" t="n">
        <v>2</v>
      </c>
      <c r="G471" s="20" t="n">
        <v>14.43</v>
      </c>
      <c r="H471" s="20" t="n">
        <v>28.86</v>
      </c>
    </row>
    <row r="472" customFormat="false" ht="15" hidden="false" customHeight="false" outlineLevel="0" collapsed="false">
      <c r="A472" s="8" t="s">
        <v>1194</v>
      </c>
      <c r="B472" s="10" t="n">
        <v>46034</v>
      </c>
      <c r="C472" s="8" t="s">
        <v>277</v>
      </c>
      <c r="D472" s="8" t="s">
        <v>698</v>
      </c>
      <c r="E472" s="8" t="s">
        <v>710</v>
      </c>
      <c r="F472" s="9" t="n">
        <v>2</v>
      </c>
      <c r="G472" s="20" t="n">
        <v>63.37</v>
      </c>
      <c r="H472" s="20" t="n">
        <v>126.74</v>
      </c>
    </row>
    <row r="473" customFormat="false" ht="15" hidden="false" customHeight="false" outlineLevel="0" collapsed="false">
      <c r="A473" s="8" t="s">
        <v>1195</v>
      </c>
      <c r="B473" s="10" t="n">
        <v>46234</v>
      </c>
      <c r="C473" s="8" t="s">
        <v>390</v>
      </c>
      <c r="D473" s="8" t="s">
        <v>698</v>
      </c>
      <c r="E473" s="8" t="s">
        <v>708</v>
      </c>
      <c r="F473" s="9" t="n">
        <v>5</v>
      </c>
      <c r="G473" s="20" t="n">
        <v>10.75</v>
      </c>
      <c r="H473" s="20" t="n">
        <v>53.75</v>
      </c>
    </row>
    <row r="474" customFormat="false" ht="15" hidden="false" customHeight="false" outlineLevel="0" collapsed="false">
      <c r="A474" s="8" t="s">
        <v>1196</v>
      </c>
      <c r="B474" s="10" t="n">
        <v>46261</v>
      </c>
      <c r="C474" s="8" t="s">
        <v>390</v>
      </c>
      <c r="D474" s="8" t="s">
        <v>698</v>
      </c>
      <c r="E474" s="8" t="s">
        <v>708</v>
      </c>
      <c r="F474" s="9" t="n">
        <v>1</v>
      </c>
      <c r="G474" s="20" t="n">
        <v>9.26</v>
      </c>
      <c r="H474" s="20" t="n">
        <v>9.26</v>
      </c>
    </row>
    <row r="475" customFormat="false" ht="15" hidden="false" customHeight="false" outlineLevel="0" collapsed="false">
      <c r="A475" s="8" t="s">
        <v>1197</v>
      </c>
      <c r="B475" s="10" t="n">
        <v>46115</v>
      </c>
      <c r="C475" s="8" t="s">
        <v>145</v>
      </c>
      <c r="D475" s="8" t="s">
        <v>698</v>
      </c>
      <c r="E475" s="8" t="s">
        <v>754</v>
      </c>
      <c r="F475" s="9" t="n">
        <v>5</v>
      </c>
      <c r="G475" s="20" t="n">
        <v>83.06</v>
      </c>
      <c r="H475" s="20" t="n">
        <v>415.3</v>
      </c>
    </row>
    <row r="476" customFormat="false" ht="15" hidden="false" customHeight="false" outlineLevel="0" collapsed="false">
      <c r="A476" s="8" t="s">
        <v>1198</v>
      </c>
      <c r="B476" s="10" t="n">
        <v>46240</v>
      </c>
      <c r="C476" s="8" t="s">
        <v>390</v>
      </c>
      <c r="D476" s="8" t="s">
        <v>698</v>
      </c>
      <c r="E476" s="8" t="s">
        <v>708</v>
      </c>
      <c r="F476" s="9" t="n">
        <v>7</v>
      </c>
      <c r="G476" s="20" t="n">
        <v>10.59</v>
      </c>
      <c r="H476" s="20" t="n">
        <v>74.13</v>
      </c>
    </row>
    <row r="477" customFormat="false" ht="15" hidden="false" customHeight="false" outlineLevel="0" collapsed="false">
      <c r="A477" s="8" t="s">
        <v>1199</v>
      </c>
      <c r="B477" s="10" t="n">
        <v>46147</v>
      </c>
      <c r="C477" s="8" t="s">
        <v>145</v>
      </c>
      <c r="D477" s="8" t="s">
        <v>703</v>
      </c>
      <c r="E477" s="8" t="s">
        <v>706</v>
      </c>
      <c r="F477" s="9" t="n">
        <v>2</v>
      </c>
      <c r="G477" s="20" t="n">
        <v>217.39</v>
      </c>
      <c r="H477" s="20" t="n">
        <v>434.78</v>
      </c>
    </row>
    <row r="478" customFormat="false" ht="15" hidden="false" customHeight="false" outlineLevel="0" collapsed="false">
      <c r="A478" s="8" t="s">
        <v>1200</v>
      </c>
      <c r="B478" s="10" t="n">
        <v>46097</v>
      </c>
      <c r="C478" s="8" t="s">
        <v>262</v>
      </c>
      <c r="D478" s="8" t="s">
        <v>698</v>
      </c>
      <c r="E478" s="8" t="s">
        <v>737</v>
      </c>
      <c r="F478" s="9" t="n">
        <v>3</v>
      </c>
      <c r="G478" s="20" t="n">
        <v>11.39</v>
      </c>
      <c r="H478" s="20" t="n">
        <v>34.17</v>
      </c>
    </row>
    <row r="479" customFormat="false" ht="15" hidden="false" customHeight="false" outlineLevel="0" collapsed="false">
      <c r="A479" s="8" t="s">
        <v>1201</v>
      </c>
      <c r="B479" s="10" t="n">
        <v>45971</v>
      </c>
      <c r="C479" s="8" t="s">
        <v>646</v>
      </c>
      <c r="D479" s="8" t="s">
        <v>698</v>
      </c>
      <c r="E479" s="8" t="s">
        <v>782</v>
      </c>
      <c r="F479" s="9" t="n">
        <v>7</v>
      </c>
      <c r="G479" s="20" t="n">
        <v>65.12</v>
      </c>
      <c r="H479" s="20" t="n">
        <v>455.84</v>
      </c>
    </row>
    <row r="480" customFormat="false" ht="15" hidden="false" customHeight="false" outlineLevel="0" collapsed="false">
      <c r="A480" s="8" t="s">
        <v>1202</v>
      </c>
      <c r="B480" s="10" t="n">
        <v>46189</v>
      </c>
      <c r="C480" s="8" t="s">
        <v>52</v>
      </c>
      <c r="D480" s="8" t="s">
        <v>698</v>
      </c>
      <c r="E480" s="8" t="s">
        <v>699</v>
      </c>
      <c r="F480" s="9" t="n">
        <v>6</v>
      </c>
      <c r="G480" s="20" t="n">
        <v>15</v>
      </c>
      <c r="H480" s="20" t="n">
        <v>90</v>
      </c>
    </row>
    <row r="481" customFormat="false" ht="15" hidden="false" customHeight="false" outlineLevel="0" collapsed="false">
      <c r="A481" s="8" t="s">
        <v>1203</v>
      </c>
      <c r="B481" s="10" t="n">
        <v>46045</v>
      </c>
      <c r="C481" s="8" t="s">
        <v>69</v>
      </c>
      <c r="D481" s="8" t="s">
        <v>698</v>
      </c>
      <c r="E481" s="8" t="s">
        <v>713</v>
      </c>
      <c r="F481" s="9" t="n">
        <v>3</v>
      </c>
      <c r="G481" s="20" t="n">
        <v>18.29</v>
      </c>
      <c r="H481" s="20" t="n">
        <v>54.87</v>
      </c>
    </row>
    <row r="482" customFormat="false" ht="15" hidden="false" customHeight="false" outlineLevel="0" collapsed="false">
      <c r="A482" s="8" t="s">
        <v>1204</v>
      </c>
      <c r="B482" s="10" t="n">
        <v>46163</v>
      </c>
      <c r="C482" s="8" t="s">
        <v>69</v>
      </c>
      <c r="D482" s="8" t="s">
        <v>703</v>
      </c>
      <c r="E482" s="8" t="s">
        <v>734</v>
      </c>
      <c r="F482" s="9" t="n">
        <v>2</v>
      </c>
      <c r="G482" s="20" t="n">
        <v>42.72</v>
      </c>
      <c r="H482" s="20" t="n">
        <v>85.44</v>
      </c>
    </row>
    <row r="483" customFormat="false" ht="15" hidden="false" customHeight="false" outlineLevel="0" collapsed="false">
      <c r="A483" s="8" t="s">
        <v>1205</v>
      </c>
      <c r="B483" s="10" t="n">
        <v>45946</v>
      </c>
      <c r="C483" s="8" t="s">
        <v>390</v>
      </c>
      <c r="D483" s="8" t="s">
        <v>698</v>
      </c>
      <c r="E483" s="8" t="s">
        <v>708</v>
      </c>
      <c r="F483" s="9" t="n">
        <v>8</v>
      </c>
      <c r="G483" s="20" t="n">
        <v>9.82</v>
      </c>
      <c r="H483" s="20" t="n">
        <v>78.56</v>
      </c>
    </row>
    <row r="484" customFormat="false" ht="15" hidden="false" customHeight="false" outlineLevel="0" collapsed="false">
      <c r="A484" s="8" t="s">
        <v>1206</v>
      </c>
      <c r="B484" s="10" t="n">
        <v>46227</v>
      </c>
      <c r="C484" s="8" t="s">
        <v>650</v>
      </c>
      <c r="D484" s="8" t="s">
        <v>698</v>
      </c>
      <c r="E484" s="8" t="s">
        <v>800</v>
      </c>
      <c r="F484" s="9" t="n">
        <v>5</v>
      </c>
      <c r="G484" s="20" t="n">
        <v>26.27</v>
      </c>
      <c r="H484" s="20" t="n">
        <v>131.35</v>
      </c>
    </row>
    <row r="485" customFormat="false" ht="15" hidden="false" customHeight="false" outlineLevel="0" collapsed="false">
      <c r="A485" s="8" t="s">
        <v>1207</v>
      </c>
      <c r="B485" s="10" t="n">
        <v>46166</v>
      </c>
      <c r="C485" s="8" t="s">
        <v>262</v>
      </c>
      <c r="D485" s="8" t="s">
        <v>703</v>
      </c>
      <c r="E485" s="8" t="s">
        <v>769</v>
      </c>
      <c r="F485" s="9" t="n">
        <v>3</v>
      </c>
      <c r="G485" s="20" t="n">
        <v>29.34</v>
      </c>
      <c r="H485" s="20" t="n">
        <v>88.02</v>
      </c>
    </row>
    <row r="486" customFormat="false" ht="15" hidden="false" customHeight="false" outlineLevel="0" collapsed="false">
      <c r="A486" s="8" t="s">
        <v>1208</v>
      </c>
      <c r="B486" s="10" t="n">
        <v>46200</v>
      </c>
      <c r="C486" s="8" t="s">
        <v>650</v>
      </c>
      <c r="D486" s="8" t="s">
        <v>703</v>
      </c>
      <c r="E486" s="8" t="s">
        <v>858</v>
      </c>
      <c r="F486" s="9" t="n">
        <v>1</v>
      </c>
      <c r="G486" s="20" t="n">
        <v>69.77</v>
      </c>
      <c r="H486" s="20" t="n">
        <v>69.77</v>
      </c>
    </row>
    <row r="487" customFormat="false" ht="15" hidden="false" customHeight="false" outlineLevel="0" collapsed="false">
      <c r="A487" s="8" t="s">
        <v>1209</v>
      </c>
      <c r="B487" s="10" t="n">
        <v>46109</v>
      </c>
      <c r="C487" s="8" t="s">
        <v>69</v>
      </c>
      <c r="D487" s="8" t="s">
        <v>698</v>
      </c>
      <c r="E487" s="8" t="s">
        <v>713</v>
      </c>
      <c r="F487" s="9" t="n">
        <v>5</v>
      </c>
      <c r="G487" s="20" t="n">
        <v>17.07</v>
      </c>
      <c r="H487" s="20" t="n">
        <v>85.35</v>
      </c>
    </row>
    <row r="488" customFormat="false" ht="15" hidden="false" customHeight="false" outlineLevel="0" collapsed="false">
      <c r="A488" s="8" t="s">
        <v>1210</v>
      </c>
      <c r="B488" s="10" t="n">
        <v>46164</v>
      </c>
      <c r="C488" s="8" t="s">
        <v>277</v>
      </c>
      <c r="D488" s="8" t="s">
        <v>698</v>
      </c>
      <c r="E488" s="8" t="s">
        <v>710</v>
      </c>
      <c r="F488" s="9" t="n">
        <v>7</v>
      </c>
      <c r="G488" s="20" t="n">
        <v>61.29</v>
      </c>
      <c r="H488" s="20" t="n">
        <v>429.03</v>
      </c>
    </row>
    <row r="489" customFormat="false" ht="15" hidden="false" customHeight="false" outlineLevel="0" collapsed="false">
      <c r="A489" s="8" t="s">
        <v>1211</v>
      </c>
      <c r="B489" s="10" t="n">
        <v>45932</v>
      </c>
      <c r="C489" s="8" t="s">
        <v>52</v>
      </c>
      <c r="D489" s="8" t="s">
        <v>703</v>
      </c>
      <c r="E489" s="8" t="s">
        <v>720</v>
      </c>
      <c r="F489" s="9" t="n">
        <v>3</v>
      </c>
      <c r="G489" s="20" t="n">
        <v>36.31</v>
      </c>
      <c r="H489" s="20" t="n">
        <v>108.93</v>
      </c>
    </row>
    <row r="490" customFormat="false" ht="15" hidden="false" customHeight="false" outlineLevel="0" collapsed="false">
      <c r="A490" s="8" t="s">
        <v>1212</v>
      </c>
      <c r="B490" s="10" t="n">
        <v>46206</v>
      </c>
      <c r="C490" s="8" t="s">
        <v>115</v>
      </c>
      <c r="D490" s="8" t="s">
        <v>703</v>
      </c>
      <c r="E490" s="8" t="s">
        <v>772</v>
      </c>
      <c r="F490" s="9" t="n">
        <v>3</v>
      </c>
      <c r="G490" s="20" t="n">
        <v>104.73</v>
      </c>
      <c r="H490" s="20" t="n">
        <v>314.19</v>
      </c>
    </row>
    <row r="491" customFormat="false" ht="15" hidden="false" customHeight="false" outlineLevel="0" collapsed="false">
      <c r="A491" s="8" t="s">
        <v>1213</v>
      </c>
      <c r="B491" s="10" t="n">
        <v>45959</v>
      </c>
      <c r="C491" s="8" t="s">
        <v>154</v>
      </c>
      <c r="D491" s="8" t="s">
        <v>698</v>
      </c>
      <c r="E491" s="8" t="s">
        <v>750</v>
      </c>
      <c r="F491" s="9" t="n">
        <v>3</v>
      </c>
      <c r="G491" s="20" t="n">
        <v>23.78</v>
      </c>
      <c r="H491" s="20" t="n">
        <v>71.34</v>
      </c>
    </row>
    <row r="492" customFormat="false" ht="15" hidden="false" customHeight="false" outlineLevel="0" collapsed="false">
      <c r="A492" s="8" t="s">
        <v>1214</v>
      </c>
      <c r="B492" s="10" t="n">
        <v>46264</v>
      </c>
      <c r="C492" s="8" t="s">
        <v>390</v>
      </c>
      <c r="D492" s="8" t="s">
        <v>698</v>
      </c>
      <c r="E492" s="8" t="s">
        <v>708</v>
      </c>
      <c r="F492" s="9" t="n">
        <v>2</v>
      </c>
      <c r="G492" s="20" t="n">
        <v>9.27</v>
      </c>
      <c r="H492" s="20" t="n">
        <v>18.54</v>
      </c>
    </row>
    <row r="493" customFormat="false" ht="15" hidden="false" customHeight="false" outlineLevel="0" collapsed="false">
      <c r="A493" s="8" t="s">
        <v>1215</v>
      </c>
      <c r="B493" s="10" t="n">
        <v>46251</v>
      </c>
      <c r="C493" s="8" t="s">
        <v>145</v>
      </c>
      <c r="D493" s="8" t="s">
        <v>703</v>
      </c>
      <c r="E493" s="8" t="s">
        <v>706</v>
      </c>
      <c r="F493" s="9" t="n">
        <v>5</v>
      </c>
      <c r="G493" s="20" t="n">
        <v>223.14</v>
      </c>
      <c r="H493" s="20" t="n">
        <v>1115.7</v>
      </c>
    </row>
    <row r="494" customFormat="false" ht="15" hidden="false" customHeight="false" outlineLevel="0" collapsed="false">
      <c r="A494" s="8" t="s">
        <v>1216</v>
      </c>
      <c r="B494" s="10" t="n">
        <v>46178</v>
      </c>
      <c r="C494" s="8" t="s">
        <v>214</v>
      </c>
      <c r="D494" s="8" t="s">
        <v>698</v>
      </c>
      <c r="E494" s="8" t="s">
        <v>701</v>
      </c>
      <c r="F494" s="9" t="n">
        <v>1</v>
      </c>
      <c r="G494" s="20" t="n">
        <v>18.69</v>
      </c>
      <c r="H494" s="20" t="n">
        <v>18.69</v>
      </c>
    </row>
    <row r="495" customFormat="false" ht="15" hidden="false" customHeight="false" outlineLevel="0" collapsed="false">
      <c r="A495" s="8" t="s">
        <v>1217</v>
      </c>
      <c r="B495" s="10" t="n">
        <v>46026</v>
      </c>
      <c r="C495" s="8" t="s">
        <v>214</v>
      </c>
      <c r="D495" s="8" t="s">
        <v>698</v>
      </c>
      <c r="E495" s="8" t="s">
        <v>701</v>
      </c>
      <c r="F495" s="9" t="n">
        <v>3</v>
      </c>
      <c r="G495" s="20" t="n">
        <v>18.63</v>
      </c>
      <c r="H495" s="20" t="n">
        <v>55.89</v>
      </c>
    </row>
    <row r="496" customFormat="false" ht="15" hidden="false" customHeight="false" outlineLevel="0" collapsed="false">
      <c r="A496" s="8" t="s">
        <v>1218</v>
      </c>
      <c r="B496" s="10" t="n">
        <v>46193</v>
      </c>
      <c r="C496" s="8" t="s">
        <v>394</v>
      </c>
      <c r="D496" s="8" t="s">
        <v>703</v>
      </c>
      <c r="E496" s="8" t="s">
        <v>1123</v>
      </c>
      <c r="F496" s="9" t="n">
        <v>2</v>
      </c>
      <c r="G496" s="20" t="n">
        <v>60.44</v>
      </c>
      <c r="H496" s="20" t="n">
        <v>120.88</v>
      </c>
    </row>
    <row r="497" customFormat="false" ht="15" hidden="false" customHeight="false" outlineLevel="0" collapsed="false">
      <c r="A497" s="8" t="s">
        <v>1219</v>
      </c>
      <c r="B497" s="10" t="n">
        <v>46148</v>
      </c>
      <c r="C497" s="8" t="s">
        <v>115</v>
      </c>
      <c r="D497" s="8" t="s">
        <v>698</v>
      </c>
      <c r="E497" s="8" t="s">
        <v>821</v>
      </c>
      <c r="F497" s="9" t="n">
        <v>5</v>
      </c>
      <c r="G497" s="20" t="n">
        <v>45.88</v>
      </c>
      <c r="H497" s="20" t="n">
        <v>229.4</v>
      </c>
    </row>
    <row r="498" customFormat="false" ht="15" hidden="false" customHeight="false" outlineLevel="0" collapsed="false">
      <c r="A498" s="8" t="s">
        <v>1220</v>
      </c>
      <c r="B498" s="10" t="n">
        <v>45989</v>
      </c>
      <c r="C498" s="8" t="s">
        <v>214</v>
      </c>
      <c r="D498" s="8" t="s">
        <v>698</v>
      </c>
      <c r="E498" s="8" t="s">
        <v>701</v>
      </c>
      <c r="F498" s="9" t="n">
        <v>5</v>
      </c>
      <c r="G498" s="20" t="n">
        <v>19.6</v>
      </c>
      <c r="H498" s="20" t="n">
        <v>98</v>
      </c>
    </row>
    <row r="499" customFormat="false" ht="15" hidden="false" customHeight="false" outlineLevel="0" collapsed="false">
      <c r="A499" s="8" t="s">
        <v>1221</v>
      </c>
      <c r="B499" s="10" t="n">
        <v>45914</v>
      </c>
      <c r="C499" s="8" t="s">
        <v>214</v>
      </c>
      <c r="D499" s="8" t="s">
        <v>698</v>
      </c>
      <c r="E499" s="8" t="s">
        <v>701</v>
      </c>
      <c r="F499" s="9" t="n">
        <v>3</v>
      </c>
      <c r="G499" s="20" t="n">
        <v>19.27</v>
      </c>
      <c r="H499" s="20" t="n">
        <v>57.81</v>
      </c>
    </row>
    <row r="500" customFormat="false" ht="15" hidden="false" customHeight="false" outlineLevel="0" collapsed="false">
      <c r="A500" s="8" t="s">
        <v>1222</v>
      </c>
      <c r="B500" s="10" t="n">
        <v>46240</v>
      </c>
      <c r="C500" s="8" t="s">
        <v>52</v>
      </c>
      <c r="D500" s="8" t="s">
        <v>698</v>
      </c>
      <c r="E500" s="8" t="s">
        <v>699</v>
      </c>
      <c r="F500" s="9" t="n">
        <v>3</v>
      </c>
      <c r="G500" s="20" t="n">
        <v>16.19</v>
      </c>
      <c r="H500" s="20" t="n">
        <v>48.57</v>
      </c>
    </row>
    <row r="501" customFormat="false" ht="15" hidden="false" customHeight="false" outlineLevel="0" collapsed="false">
      <c r="A501" s="8" t="s">
        <v>1223</v>
      </c>
      <c r="B501" s="10" t="n">
        <v>45973</v>
      </c>
      <c r="C501" s="8" t="s">
        <v>115</v>
      </c>
      <c r="D501" s="8" t="s">
        <v>703</v>
      </c>
      <c r="E501" s="8" t="s">
        <v>772</v>
      </c>
      <c r="F501" s="9" t="n">
        <v>5</v>
      </c>
      <c r="G501" s="20" t="n">
        <v>113.04</v>
      </c>
      <c r="H501" s="20" t="n">
        <v>565.2</v>
      </c>
    </row>
    <row r="502" customFormat="false" ht="15" hidden="false" customHeight="false" outlineLevel="0" collapsed="false">
      <c r="A502" s="8" t="s">
        <v>1224</v>
      </c>
      <c r="B502" s="10" t="n">
        <v>46212</v>
      </c>
      <c r="C502" s="8" t="s">
        <v>52</v>
      </c>
      <c r="D502" s="8" t="s">
        <v>703</v>
      </c>
      <c r="E502" s="8" t="s">
        <v>720</v>
      </c>
      <c r="F502" s="9" t="n">
        <v>2</v>
      </c>
      <c r="G502" s="20" t="n">
        <v>34.15</v>
      </c>
      <c r="H502" s="20" t="n">
        <v>68.3</v>
      </c>
    </row>
    <row r="503" customFormat="false" ht="15" hidden="false" customHeight="false" outlineLevel="0" collapsed="false">
      <c r="A503" s="8" t="s">
        <v>1225</v>
      </c>
      <c r="B503" s="10" t="n">
        <v>46208</v>
      </c>
      <c r="C503" s="8" t="s">
        <v>214</v>
      </c>
      <c r="D503" s="8" t="s">
        <v>698</v>
      </c>
      <c r="E503" s="8" t="s">
        <v>701</v>
      </c>
      <c r="F503" s="9" t="n">
        <v>2</v>
      </c>
      <c r="G503" s="20" t="n">
        <v>20.97</v>
      </c>
      <c r="H503" s="20" t="n">
        <v>41.94</v>
      </c>
    </row>
    <row r="504" customFormat="false" ht="15" hidden="false" customHeight="false" outlineLevel="0" collapsed="false">
      <c r="A504" s="8" t="s">
        <v>1226</v>
      </c>
      <c r="B504" s="10" t="n">
        <v>46203</v>
      </c>
      <c r="C504" s="8" t="s">
        <v>166</v>
      </c>
      <c r="D504" s="8" t="s">
        <v>703</v>
      </c>
      <c r="E504" s="8" t="s">
        <v>774</v>
      </c>
      <c r="F504" s="9" t="n">
        <v>3</v>
      </c>
      <c r="G504" s="20" t="n">
        <v>393.89</v>
      </c>
      <c r="H504" s="20" t="n">
        <v>1181.67</v>
      </c>
    </row>
    <row r="505" customFormat="false" ht="15" hidden="false" customHeight="false" outlineLevel="0" collapsed="false">
      <c r="A505" s="8" t="s">
        <v>1227</v>
      </c>
      <c r="B505" s="10" t="n">
        <v>45960</v>
      </c>
      <c r="C505" s="8" t="s">
        <v>646</v>
      </c>
      <c r="D505" s="8" t="s">
        <v>698</v>
      </c>
      <c r="E505" s="8" t="s">
        <v>782</v>
      </c>
      <c r="F505" s="9" t="n">
        <v>2</v>
      </c>
      <c r="G505" s="20" t="n">
        <v>70.66</v>
      </c>
      <c r="H505" s="20" t="n">
        <v>141.32</v>
      </c>
    </row>
    <row r="506" customFormat="false" ht="15" hidden="false" customHeight="false" outlineLevel="0" collapsed="false">
      <c r="A506" s="8" t="s">
        <v>1228</v>
      </c>
      <c r="B506" s="10" t="n">
        <v>46016</v>
      </c>
      <c r="C506" s="8" t="s">
        <v>115</v>
      </c>
      <c r="D506" s="8" t="s">
        <v>703</v>
      </c>
      <c r="E506" s="8" t="s">
        <v>772</v>
      </c>
      <c r="F506" s="9" t="n">
        <v>4</v>
      </c>
      <c r="G506" s="20" t="n">
        <v>110.15</v>
      </c>
      <c r="H506" s="20" t="n">
        <v>440.6</v>
      </c>
    </row>
    <row r="507" customFormat="false" ht="15" hidden="false" customHeight="false" outlineLevel="0" collapsed="false">
      <c r="A507" s="8" t="s">
        <v>1229</v>
      </c>
      <c r="B507" s="10" t="n">
        <v>46162</v>
      </c>
      <c r="C507" s="8" t="s">
        <v>52</v>
      </c>
      <c r="D507" s="8" t="s">
        <v>698</v>
      </c>
      <c r="E507" s="8" t="s">
        <v>699</v>
      </c>
      <c r="F507" s="9" t="n">
        <v>1</v>
      </c>
      <c r="G507" s="20" t="n">
        <v>15.08</v>
      </c>
      <c r="H507" s="20" t="n">
        <v>15.08</v>
      </c>
    </row>
    <row r="508" customFormat="false" ht="15" hidden="false" customHeight="false" outlineLevel="0" collapsed="false">
      <c r="A508" s="8" t="s">
        <v>1230</v>
      </c>
      <c r="B508" s="10" t="n">
        <v>45993</v>
      </c>
      <c r="C508" s="8" t="s">
        <v>390</v>
      </c>
      <c r="D508" s="8" t="s">
        <v>698</v>
      </c>
      <c r="E508" s="8" t="s">
        <v>708</v>
      </c>
      <c r="F508" s="9" t="n">
        <v>1</v>
      </c>
      <c r="G508" s="20" t="n">
        <v>9.31</v>
      </c>
      <c r="H508" s="20" t="n">
        <v>9.31</v>
      </c>
    </row>
    <row r="509" customFormat="false" ht="15" hidden="false" customHeight="false" outlineLevel="0" collapsed="false">
      <c r="A509" s="8" t="s">
        <v>1231</v>
      </c>
      <c r="B509" s="10" t="n">
        <v>46075</v>
      </c>
      <c r="C509" s="8" t="s">
        <v>390</v>
      </c>
      <c r="D509" s="8" t="s">
        <v>703</v>
      </c>
      <c r="E509" s="8" t="s">
        <v>785</v>
      </c>
      <c r="F509" s="9" t="n">
        <v>7</v>
      </c>
      <c r="G509" s="20" t="n">
        <v>25.65</v>
      </c>
      <c r="H509" s="20" t="n">
        <v>179.55</v>
      </c>
    </row>
    <row r="510" customFormat="false" ht="15" hidden="false" customHeight="false" outlineLevel="0" collapsed="false">
      <c r="A510" s="8" t="s">
        <v>1232</v>
      </c>
      <c r="B510" s="10" t="n">
        <v>46244</v>
      </c>
      <c r="C510" s="8" t="s">
        <v>646</v>
      </c>
      <c r="D510" s="8" t="s">
        <v>698</v>
      </c>
      <c r="E510" s="8" t="s">
        <v>782</v>
      </c>
      <c r="F510" s="9" t="n">
        <v>5</v>
      </c>
      <c r="G510" s="20" t="n">
        <v>70.07</v>
      </c>
      <c r="H510" s="20" t="n">
        <v>350.35</v>
      </c>
    </row>
    <row r="511" customFormat="false" ht="15" hidden="false" customHeight="false" outlineLevel="0" collapsed="false">
      <c r="A511" s="8" t="s">
        <v>1233</v>
      </c>
      <c r="B511" s="10" t="n">
        <v>46215</v>
      </c>
      <c r="C511" s="8" t="s">
        <v>214</v>
      </c>
      <c r="D511" s="8" t="s">
        <v>703</v>
      </c>
      <c r="E511" s="8" t="s">
        <v>715</v>
      </c>
      <c r="F511" s="9" t="n">
        <v>8</v>
      </c>
      <c r="G511" s="20" t="n">
        <v>41.6</v>
      </c>
      <c r="H511" s="20" t="n">
        <v>332.8</v>
      </c>
    </row>
    <row r="512" customFormat="false" ht="15" hidden="false" customHeight="false" outlineLevel="0" collapsed="false">
      <c r="A512" s="8" t="s">
        <v>1234</v>
      </c>
      <c r="B512" s="10" t="n">
        <v>46075</v>
      </c>
      <c r="C512" s="8" t="s">
        <v>154</v>
      </c>
      <c r="D512" s="8" t="s">
        <v>703</v>
      </c>
      <c r="E512" s="8" t="s">
        <v>778</v>
      </c>
      <c r="F512" s="9" t="n">
        <v>1</v>
      </c>
      <c r="G512" s="20" t="n">
        <v>53.58</v>
      </c>
      <c r="H512" s="20" t="n">
        <v>53.58</v>
      </c>
    </row>
    <row r="513" customFormat="false" ht="15" hidden="false" customHeight="false" outlineLevel="0" collapsed="false">
      <c r="A513" s="8" t="s">
        <v>1235</v>
      </c>
      <c r="B513" s="10" t="n">
        <v>45987</v>
      </c>
      <c r="C513" s="8" t="s">
        <v>145</v>
      </c>
      <c r="D513" s="8" t="s">
        <v>698</v>
      </c>
      <c r="E513" s="8" t="s">
        <v>754</v>
      </c>
      <c r="F513" s="9" t="n">
        <v>6</v>
      </c>
      <c r="G513" s="20" t="n">
        <v>93.08</v>
      </c>
      <c r="H513" s="20" t="n">
        <v>558.48</v>
      </c>
    </row>
    <row r="514" customFormat="false" ht="15" hidden="false" customHeight="false" outlineLevel="0" collapsed="false">
      <c r="A514" s="8" t="s">
        <v>1236</v>
      </c>
      <c r="B514" s="10" t="n">
        <v>45990</v>
      </c>
      <c r="C514" s="8" t="s">
        <v>214</v>
      </c>
      <c r="D514" s="8" t="s">
        <v>698</v>
      </c>
      <c r="E514" s="8" t="s">
        <v>701</v>
      </c>
      <c r="F514" s="9" t="n">
        <v>2</v>
      </c>
      <c r="G514" s="20" t="n">
        <v>20.89</v>
      </c>
      <c r="H514" s="20" t="n">
        <v>41.78</v>
      </c>
    </row>
    <row r="515" customFormat="false" ht="15" hidden="false" customHeight="false" outlineLevel="0" collapsed="false">
      <c r="A515" s="8" t="s">
        <v>1237</v>
      </c>
      <c r="B515" s="10" t="n">
        <v>45997</v>
      </c>
      <c r="C515" s="8" t="s">
        <v>69</v>
      </c>
      <c r="D515" s="8" t="s">
        <v>703</v>
      </c>
      <c r="E515" s="8" t="s">
        <v>734</v>
      </c>
      <c r="F515" s="9" t="n">
        <v>5</v>
      </c>
      <c r="G515" s="20" t="n">
        <v>37.63</v>
      </c>
      <c r="H515" s="20" t="n">
        <v>188.15</v>
      </c>
    </row>
    <row r="516" customFormat="false" ht="15" hidden="false" customHeight="false" outlineLevel="0" collapsed="false">
      <c r="A516" s="8" t="s">
        <v>1238</v>
      </c>
      <c r="B516" s="10" t="n">
        <v>45941</v>
      </c>
      <c r="C516" s="8" t="s">
        <v>214</v>
      </c>
      <c r="D516" s="8" t="s">
        <v>698</v>
      </c>
      <c r="E516" s="8" t="s">
        <v>701</v>
      </c>
      <c r="F516" s="9" t="n">
        <v>2</v>
      </c>
      <c r="G516" s="20" t="n">
        <v>18.48</v>
      </c>
      <c r="H516" s="20" t="n">
        <v>36.96</v>
      </c>
    </row>
    <row r="517" customFormat="false" ht="15" hidden="false" customHeight="false" outlineLevel="0" collapsed="false">
      <c r="A517" s="8" t="s">
        <v>1239</v>
      </c>
      <c r="B517" s="10" t="n">
        <v>46235</v>
      </c>
      <c r="C517" s="8" t="s">
        <v>145</v>
      </c>
      <c r="D517" s="8" t="s">
        <v>698</v>
      </c>
      <c r="E517" s="8" t="s">
        <v>754</v>
      </c>
      <c r="F517" s="9" t="n">
        <v>3</v>
      </c>
      <c r="G517" s="20" t="n">
        <v>92.62</v>
      </c>
      <c r="H517" s="20" t="n">
        <v>277.86</v>
      </c>
    </row>
    <row r="518" customFormat="false" ht="15" hidden="false" customHeight="false" outlineLevel="0" collapsed="false">
      <c r="A518" s="8" t="s">
        <v>1240</v>
      </c>
      <c r="B518" s="10" t="n">
        <v>46100</v>
      </c>
      <c r="C518" s="8" t="s">
        <v>650</v>
      </c>
      <c r="D518" s="8" t="s">
        <v>698</v>
      </c>
      <c r="E518" s="8" t="s">
        <v>800</v>
      </c>
      <c r="F518" s="9" t="n">
        <v>5</v>
      </c>
      <c r="G518" s="20" t="n">
        <v>28.59</v>
      </c>
      <c r="H518" s="20" t="n">
        <v>142.95</v>
      </c>
    </row>
    <row r="519" customFormat="false" ht="15" hidden="false" customHeight="false" outlineLevel="0" collapsed="false">
      <c r="A519" s="8" t="s">
        <v>1241</v>
      </c>
      <c r="B519" s="10" t="n">
        <v>46172</v>
      </c>
      <c r="C519" s="8" t="s">
        <v>145</v>
      </c>
      <c r="D519" s="8" t="s">
        <v>698</v>
      </c>
      <c r="E519" s="8" t="s">
        <v>754</v>
      </c>
      <c r="F519" s="9" t="n">
        <v>2</v>
      </c>
      <c r="G519" s="20" t="n">
        <v>96.58</v>
      </c>
      <c r="H519" s="20" t="n">
        <v>193.16</v>
      </c>
    </row>
    <row r="520" customFormat="false" ht="15" hidden="false" customHeight="false" outlineLevel="0" collapsed="false">
      <c r="A520" s="8" t="s">
        <v>1242</v>
      </c>
      <c r="B520" s="10" t="n">
        <v>45914</v>
      </c>
      <c r="C520" s="8" t="s">
        <v>646</v>
      </c>
      <c r="D520" s="8" t="s">
        <v>698</v>
      </c>
      <c r="E520" s="8" t="s">
        <v>782</v>
      </c>
      <c r="F520" s="9" t="n">
        <v>3</v>
      </c>
      <c r="G520" s="20" t="n">
        <v>73.74</v>
      </c>
      <c r="H520" s="20" t="n">
        <v>221.22</v>
      </c>
    </row>
    <row r="521" customFormat="false" ht="15" hidden="false" customHeight="false" outlineLevel="0" collapsed="false">
      <c r="A521" s="8" t="s">
        <v>1243</v>
      </c>
      <c r="B521" s="10" t="n">
        <v>45962</v>
      </c>
      <c r="C521" s="8" t="s">
        <v>650</v>
      </c>
      <c r="D521" s="8" t="s">
        <v>703</v>
      </c>
      <c r="E521" s="8" t="s">
        <v>858</v>
      </c>
      <c r="F521" s="9" t="n">
        <v>4</v>
      </c>
      <c r="G521" s="20" t="n">
        <v>63.44</v>
      </c>
      <c r="H521" s="20" t="n">
        <v>253.76</v>
      </c>
    </row>
    <row r="522" customFormat="false" ht="15" hidden="false" customHeight="false" outlineLevel="0" collapsed="false">
      <c r="A522" s="8" t="s">
        <v>1244</v>
      </c>
      <c r="B522" s="10" t="n">
        <v>46105</v>
      </c>
      <c r="C522" s="8" t="s">
        <v>214</v>
      </c>
      <c r="D522" s="8" t="s">
        <v>698</v>
      </c>
      <c r="E522" s="8" t="s">
        <v>701</v>
      </c>
      <c r="F522" s="9" t="n">
        <v>2</v>
      </c>
      <c r="G522" s="20" t="n">
        <v>21.03</v>
      </c>
      <c r="H522" s="20" t="n">
        <v>42.06</v>
      </c>
    </row>
    <row r="523" customFormat="false" ht="15" hidden="false" customHeight="false" outlineLevel="0" collapsed="false">
      <c r="A523" s="8" t="s">
        <v>1245</v>
      </c>
      <c r="B523" s="10" t="n">
        <v>46110</v>
      </c>
      <c r="C523" s="8" t="s">
        <v>214</v>
      </c>
      <c r="D523" s="8" t="s">
        <v>703</v>
      </c>
      <c r="E523" s="8" t="s">
        <v>715</v>
      </c>
      <c r="F523" s="9" t="n">
        <v>7</v>
      </c>
      <c r="G523" s="20" t="n">
        <v>41.8</v>
      </c>
      <c r="H523" s="20" t="n">
        <v>292.6</v>
      </c>
    </row>
    <row r="524" customFormat="false" ht="15" hidden="false" customHeight="false" outlineLevel="0" collapsed="false">
      <c r="A524" s="8" t="s">
        <v>1246</v>
      </c>
      <c r="B524" s="10" t="n">
        <v>46019</v>
      </c>
      <c r="C524" s="8" t="s">
        <v>214</v>
      </c>
      <c r="D524" s="8" t="s">
        <v>703</v>
      </c>
      <c r="E524" s="8" t="s">
        <v>715</v>
      </c>
      <c r="F524" s="9" t="n">
        <v>4</v>
      </c>
      <c r="G524" s="20" t="n">
        <v>43.51</v>
      </c>
      <c r="H524" s="20" t="n">
        <v>174.04</v>
      </c>
    </row>
    <row r="525" customFormat="false" ht="15" hidden="false" customHeight="false" outlineLevel="0" collapsed="false">
      <c r="A525" s="8" t="s">
        <v>1247</v>
      </c>
      <c r="B525" s="10" t="n">
        <v>45975</v>
      </c>
      <c r="C525" s="8" t="s">
        <v>166</v>
      </c>
      <c r="D525" s="8" t="s">
        <v>698</v>
      </c>
      <c r="E525" s="8" t="s">
        <v>729</v>
      </c>
      <c r="F525" s="9" t="n">
        <v>1</v>
      </c>
      <c r="G525" s="20" t="n">
        <v>146.89</v>
      </c>
      <c r="H525" s="20" t="n">
        <v>146.89</v>
      </c>
    </row>
    <row r="526" customFormat="false" ht="15" hidden="false" customHeight="false" outlineLevel="0" collapsed="false">
      <c r="A526" s="8" t="s">
        <v>1248</v>
      </c>
      <c r="B526" s="10" t="n">
        <v>46057</v>
      </c>
      <c r="C526" s="8" t="s">
        <v>650</v>
      </c>
      <c r="D526" s="8" t="s">
        <v>698</v>
      </c>
      <c r="E526" s="8" t="s">
        <v>800</v>
      </c>
      <c r="F526" s="9" t="n">
        <v>5</v>
      </c>
      <c r="G526" s="20" t="n">
        <v>29.04</v>
      </c>
      <c r="H526" s="20" t="n">
        <v>145.2</v>
      </c>
    </row>
    <row r="527" customFormat="false" ht="15" hidden="false" customHeight="false" outlineLevel="0" collapsed="false">
      <c r="A527" s="8" t="s">
        <v>1249</v>
      </c>
      <c r="B527" s="10" t="n">
        <v>46202</v>
      </c>
      <c r="C527" s="8" t="s">
        <v>69</v>
      </c>
      <c r="D527" s="8" t="s">
        <v>698</v>
      </c>
      <c r="E527" s="8" t="s">
        <v>713</v>
      </c>
      <c r="F527" s="9" t="n">
        <v>6</v>
      </c>
      <c r="G527" s="20" t="n">
        <v>18.35</v>
      </c>
      <c r="H527" s="20" t="n">
        <v>110.1</v>
      </c>
    </row>
    <row r="528" customFormat="false" ht="15" hidden="false" customHeight="false" outlineLevel="0" collapsed="false">
      <c r="A528" s="8" t="s">
        <v>1250</v>
      </c>
      <c r="B528" s="10" t="n">
        <v>46155</v>
      </c>
      <c r="C528" s="8" t="s">
        <v>277</v>
      </c>
      <c r="D528" s="8" t="s">
        <v>698</v>
      </c>
      <c r="E528" s="8" t="s">
        <v>710</v>
      </c>
      <c r="F528" s="9" t="n">
        <v>1</v>
      </c>
      <c r="G528" s="20" t="n">
        <v>64.74</v>
      </c>
      <c r="H528" s="20" t="n">
        <v>64.74</v>
      </c>
    </row>
    <row r="529" customFormat="false" ht="15" hidden="false" customHeight="false" outlineLevel="0" collapsed="false">
      <c r="A529" s="8" t="s">
        <v>1251</v>
      </c>
      <c r="B529" s="10" t="n">
        <v>46011</v>
      </c>
      <c r="C529" s="8" t="s">
        <v>154</v>
      </c>
      <c r="D529" s="8" t="s">
        <v>703</v>
      </c>
      <c r="E529" s="8" t="s">
        <v>778</v>
      </c>
      <c r="F529" s="9" t="n">
        <v>4</v>
      </c>
      <c r="G529" s="20" t="n">
        <v>54.51</v>
      </c>
      <c r="H529" s="20" t="n">
        <v>218.04</v>
      </c>
    </row>
    <row r="530" customFormat="false" ht="15" hidden="false" customHeight="false" outlineLevel="0" collapsed="false">
      <c r="A530" s="8" t="s">
        <v>1252</v>
      </c>
      <c r="B530" s="10" t="n">
        <v>46264</v>
      </c>
      <c r="C530" s="8" t="s">
        <v>154</v>
      </c>
      <c r="D530" s="8" t="s">
        <v>698</v>
      </c>
      <c r="E530" s="8" t="s">
        <v>750</v>
      </c>
      <c r="F530" s="9" t="n">
        <v>2</v>
      </c>
      <c r="G530" s="20" t="n">
        <v>23.83</v>
      </c>
      <c r="H530" s="20" t="n">
        <v>47.66</v>
      </c>
    </row>
    <row r="531" customFormat="false" ht="15" hidden="false" customHeight="false" outlineLevel="0" collapsed="false">
      <c r="A531" s="8" t="s">
        <v>1253</v>
      </c>
      <c r="B531" s="10" t="n">
        <v>46076</v>
      </c>
      <c r="C531" s="8" t="s">
        <v>145</v>
      </c>
      <c r="D531" s="8" t="s">
        <v>703</v>
      </c>
      <c r="E531" s="8" t="s">
        <v>706</v>
      </c>
      <c r="F531" s="9" t="n">
        <v>1</v>
      </c>
      <c r="G531" s="20" t="n">
        <v>228.01</v>
      </c>
      <c r="H531" s="20" t="n">
        <v>228.01</v>
      </c>
    </row>
    <row r="532" customFormat="false" ht="15" hidden="false" customHeight="false" outlineLevel="0" collapsed="false">
      <c r="A532" s="8" t="s">
        <v>1254</v>
      </c>
      <c r="B532" s="10" t="n">
        <v>46098</v>
      </c>
      <c r="C532" s="8" t="s">
        <v>390</v>
      </c>
      <c r="D532" s="8" t="s">
        <v>698</v>
      </c>
      <c r="E532" s="8" t="s">
        <v>708</v>
      </c>
      <c r="F532" s="9" t="n">
        <v>1</v>
      </c>
      <c r="G532" s="20" t="n">
        <v>9.5</v>
      </c>
      <c r="H532" s="20" t="n">
        <v>9.5</v>
      </c>
    </row>
    <row r="533" customFormat="false" ht="15" hidden="false" customHeight="false" outlineLevel="0" collapsed="false">
      <c r="A533" s="8" t="s">
        <v>1255</v>
      </c>
      <c r="B533" s="10" t="n">
        <v>45996</v>
      </c>
      <c r="C533" s="8" t="s">
        <v>277</v>
      </c>
      <c r="D533" s="8" t="s">
        <v>703</v>
      </c>
      <c r="E533" s="8" t="s">
        <v>724</v>
      </c>
      <c r="F533" s="9" t="n">
        <v>1</v>
      </c>
      <c r="G533" s="20" t="n">
        <v>137.07</v>
      </c>
      <c r="H533" s="20" t="n">
        <v>137.07</v>
      </c>
    </row>
    <row r="534" customFormat="false" ht="15" hidden="false" customHeight="false" outlineLevel="0" collapsed="false">
      <c r="A534" s="8" t="s">
        <v>1256</v>
      </c>
      <c r="B534" s="10" t="n">
        <v>46106</v>
      </c>
      <c r="C534" s="8" t="s">
        <v>277</v>
      </c>
      <c r="D534" s="8" t="s">
        <v>703</v>
      </c>
      <c r="E534" s="8" t="s">
        <v>724</v>
      </c>
      <c r="F534" s="9" t="n">
        <v>5</v>
      </c>
      <c r="G534" s="20" t="n">
        <v>137.95</v>
      </c>
      <c r="H534" s="20" t="n">
        <v>689.75</v>
      </c>
    </row>
    <row r="535" customFormat="false" ht="15" hidden="false" customHeight="false" outlineLevel="0" collapsed="false">
      <c r="A535" s="8" t="s">
        <v>1257</v>
      </c>
      <c r="B535" s="10" t="n">
        <v>46153</v>
      </c>
      <c r="C535" s="8" t="s">
        <v>277</v>
      </c>
      <c r="D535" s="8" t="s">
        <v>698</v>
      </c>
      <c r="E535" s="8" t="s">
        <v>710</v>
      </c>
      <c r="F535" s="9" t="n">
        <v>6</v>
      </c>
      <c r="G535" s="20" t="n">
        <v>62.63</v>
      </c>
      <c r="H535" s="20" t="n">
        <v>375.78</v>
      </c>
    </row>
    <row r="536" customFormat="false" ht="15" hidden="false" customHeight="false" outlineLevel="0" collapsed="false">
      <c r="A536" s="8" t="s">
        <v>1258</v>
      </c>
      <c r="B536" s="10" t="n">
        <v>46019</v>
      </c>
      <c r="C536" s="8" t="s">
        <v>262</v>
      </c>
      <c r="D536" s="8" t="s">
        <v>698</v>
      </c>
      <c r="E536" s="8" t="s">
        <v>737</v>
      </c>
      <c r="F536" s="9" t="n">
        <v>4</v>
      </c>
      <c r="G536" s="20" t="n">
        <v>11.65</v>
      </c>
      <c r="H536" s="20" t="n">
        <v>46.6</v>
      </c>
    </row>
    <row r="537" customFormat="false" ht="15" hidden="false" customHeight="false" outlineLevel="0" collapsed="false">
      <c r="A537" s="8" t="s">
        <v>1259</v>
      </c>
      <c r="B537" s="10" t="n">
        <v>46038</v>
      </c>
      <c r="C537" s="8" t="s">
        <v>52</v>
      </c>
      <c r="D537" s="8" t="s">
        <v>698</v>
      </c>
      <c r="E537" s="8" t="s">
        <v>699</v>
      </c>
      <c r="F537" s="9" t="n">
        <v>3</v>
      </c>
      <c r="G537" s="20" t="n">
        <v>15.01</v>
      </c>
      <c r="H537" s="20" t="n">
        <v>45.03</v>
      </c>
    </row>
    <row r="538" customFormat="false" ht="15" hidden="false" customHeight="false" outlineLevel="0" collapsed="false">
      <c r="A538" s="8" t="s">
        <v>1260</v>
      </c>
      <c r="B538" s="10" t="n">
        <v>46015</v>
      </c>
      <c r="C538" s="8" t="s">
        <v>166</v>
      </c>
      <c r="D538" s="8" t="s">
        <v>698</v>
      </c>
      <c r="E538" s="8" t="s">
        <v>729</v>
      </c>
      <c r="F538" s="9" t="n">
        <v>1</v>
      </c>
      <c r="G538" s="20" t="n">
        <v>148.53</v>
      </c>
      <c r="H538" s="20" t="n">
        <v>148.53</v>
      </c>
    </row>
    <row r="539" customFormat="false" ht="15" hidden="false" customHeight="false" outlineLevel="0" collapsed="false">
      <c r="A539" s="8" t="s">
        <v>1261</v>
      </c>
      <c r="B539" s="10" t="n">
        <v>45906</v>
      </c>
      <c r="C539" s="8" t="s">
        <v>115</v>
      </c>
      <c r="D539" s="8" t="s">
        <v>698</v>
      </c>
      <c r="E539" s="8" t="s">
        <v>821</v>
      </c>
      <c r="F539" s="9" t="n">
        <v>4</v>
      </c>
      <c r="G539" s="20" t="n">
        <v>43.91</v>
      </c>
      <c r="H539" s="20" t="n">
        <v>175.64</v>
      </c>
    </row>
    <row r="540" customFormat="false" ht="15" hidden="false" customHeight="false" outlineLevel="0" collapsed="false">
      <c r="A540" s="8" t="s">
        <v>1262</v>
      </c>
      <c r="B540" s="10" t="n">
        <v>45999</v>
      </c>
      <c r="C540" s="8" t="s">
        <v>390</v>
      </c>
      <c r="D540" s="8" t="s">
        <v>703</v>
      </c>
      <c r="E540" s="8" t="s">
        <v>785</v>
      </c>
      <c r="F540" s="9" t="n">
        <v>1</v>
      </c>
      <c r="G540" s="20" t="n">
        <v>23.65</v>
      </c>
      <c r="H540" s="20" t="n">
        <v>23.65</v>
      </c>
    </row>
    <row r="541" customFormat="false" ht="15" hidden="false" customHeight="false" outlineLevel="0" collapsed="false">
      <c r="A541" s="8" t="s">
        <v>1263</v>
      </c>
      <c r="B541" s="10" t="n">
        <v>46003</v>
      </c>
      <c r="C541" s="8" t="s">
        <v>390</v>
      </c>
      <c r="D541" s="8" t="s">
        <v>703</v>
      </c>
      <c r="E541" s="8" t="s">
        <v>785</v>
      </c>
      <c r="F541" s="9" t="n">
        <v>8</v>
      </c>
      <c r="G541" s="20" t="n">
        <v>26.75</v>
      </c>
      <c r="H541" s="20" t="n">
        <v>214</v>
      </c>
    </row>
    <row r="542" customFormat="false" ht="15" hidden="false" customHeight="false" outlineLevel="0" collapsed="false">
      <c r="A542" s="8" t="s">
        <v>1264</v>
      </c>
      <c r="B542" s="10" t="n">
        <v>46112</v>
      </c>
      <c r="C542" s="8" t="s">
        <v>166</v>
      </c>
      <c r="D542" s="8" t="s">
        <v>698</v>
      </c>
      <c r="E542" s="8" t="s">
        <v>729</v>
      </c>
      <c r="F542" s="9" t="n">
        <v>5</v>
      </c>
      <c r="G542" s="20" t="n">
        <v>161.15</v>
      </c>
      <c r="H542" s="20" t="n">
        <v>805.75</v>
      </c>
    </row>
    <row r="543" customFormat="false" ht="15" hidden="false" customHeight="false" outlineLevel="0" collapsed="false">
      <c r="A543" s="8" t="s">
        <v>1265</v>
      </c>
      <c r="B543" s="10" t="n">
        <v>46072</v>
      </c>
      <c r="C543" s="8" t="s">
        <v>390</v>
      </c>
      <c r="D543" s="8" t="s">
        <v>698</v>
      </c>
      <c r="E543" s="8" t="s">
        <v>708</v>
      </c>
      <c r="F543" s="9" t="n">
        <v>5</v>
      </c>
      <c r="G543" s="20" t="n">
        <v>9.77</v>
      </c>
      <c r="H543" s="20" t="n">
        <v>48.85</v>
      </c>
    </row>
    <row r="544" customFormat="false" ht="15" hidden="false" customHeight="false" outlineLevel="0" collapsed="false">
      <c r="A544" s="8" t="s">
        <v>1266</v>
      </c>
      <c r="B544" s="10" t="n">
        <v>46091</v>
      </c>
      <c r="C544" s="8" t="s">
        <v>262</v>
      </c>
      <c r="D544" s="8" t="s">
        <v>698</v>
      </c>
      <c r="E544" s="8" t="s">
        <v>737</v>
      </c>
      <c r="F544" s="9" t="n">
        <v>6</v>
      </c>
      <c r="G544" s="20" t="n">
        <v>11.88</v>
      </c>
      <c r="H544" s="20" t="n">
        <v>71.28</v>
      </c>
    </row>
    <row r="545" customFormat="false" ht="15" hidden="false" customHeight="false" outlineLevel="0" collapsed="false">
      <c r="A545" s="8" t="s">
        <v>1267</v>
      </c>
      <c r="B545" s="10" t="n">
        <v>46168</v>
      </c>
      <c r="C545" s="8" t="s">
        <v>115</v>
      </c>
      <c r="D545" s="8" t="s">
        <v>698</v>
      </c>
      <c r="E545" s="8" t="s">
        <v>821</v>
      </c>
      <c r="F545" s="9" t="n">
        <v>2</v>
      </c>
      <c r="G545" s="20" t="n">
        <v>47.02</v>
      </c>
      <c r="H545" s="20" t="n">
        <v>94.04</v>
      </c>
    </row>
    <row r="546" customFormat="false" ht="15" hidden="false" customHeight="false" outlineLevel="0" collapsed="false">
      <c r="A546" s="8" t="s">
        <v>1268</v>
      </c>
      <c r="B546" s="10" t="n">
        <v>46129</v>
      </c>
      <c r="C546" s="8" t="s">
        <v>52</v>
      </c>
      <c r="D546" s="8" t="s">
        <v>698</v>
      </c>
      <c r="E546" s="8" t="s">
        <v>699</v>
      </c>
      <c r="F546" s="9" t="n">
        <v>6</v>
      </c>
      <c r="G546" s="20" t="n">
        <v>14.66</v>
      </c>
      <c r="H546" s="20" t="n">
        <v>87.96</v>
      </c>
    </row>
    <row r="547" customFormat="false" ht="15" hidden="false" customHeight="false" outlineLevel="0" collapsed="false">
      <c r="A547" s="8" t="s">
        <v>1269</v>
      </c>
      <c r="B547" s="10" t="n">
        <v>46246</v>
      </c>
      <c r="C547" s="8" t="s">
        <v>277</v>
      </c>
      <c r="D547" s="8" t="s">
        <v>698</v>
      </c>
      <c r="E547" s="8" t="s">
        <v>710</v>
      </c>
      <c r="F547" s="9" t="n">
        <v>2</v>
      </c>
      <c r="G547" s="20" t="n">
        <v>56.87</v>
      </c>
      <c r="H547" s="20" t="n">
        <v>113.74</v>
      </c>
    </row>
    <row r="548" customFormat="false" ht="15" hidden="false" customHeight="false" outlineLevel="0" collapsed="false">
      <c r="A548" s="8" t="s">
        <v>1270</v>
      </c>
      <c r="B548" s="10" t="n">
        <v>45949</v>
      </c>
      <c r="C548" s="8" t="s">
        <v>323</v>
      </c>
      <c r="D548" s="8" t="s">
        <v>698</v>
      </c>
      <c r="E548" s="8" t="s">
        <v>804</v>
      </c>
      <c r="F548" s="9" t="n">
        <v>1</v>
      </c>
      <c r="G548" s="20" t="n">
        <v>99.43</v>
      </c>
      <c r="H548" s="20" t="n">
        <v>99.43</v>
      </c>
    </row>
    <row r="549" customFormat="false" ht="15" hidden="false" customHeight="false" outlineLevel="0" collapsed="false">
      <c r="A549" s="8" t="s">
        <v>1271</v>
      </c>
      <c r="B549" s="10" t="n">
        <v>46120</v>
      </c>
      <c r="C549" s="8" t="s">
        <v>69</v>
      </c>
      <c r="D549" s="8" t="s">
        <v>698</v>
      </c>
      <c r="E549" s="8" t="s">
        <v>713</v>
      </c>
      <c r="F549" s="9" t="n">
        <v>2</v>
      </c>
      <c r="G549" s="20" t="n">
        <v>17.65</v>
      </c>
      <c r="H549" s="20" t="n">
        <v>35.3</v>
      </c>
    </row>
    <row r="550" customFormat="false" ht="15" hidden="false" customHeight="false" outlineLevel="0" collapsed="false">
      <c r="A550" s="8" t="s">
        <v>1272</v>
      </c>
      <c r="B550" s="10" t="n">
        <v>46081</v>
      </c>
      <c r="C550" s="8" t="s">
        <v>277</v>
      </c>
      <c r="D550" s="8" t="s">
        <v>698</v>
      </c>
      <c r="E550" s="8" t="s">
        <v>710</v>
      </c>
      <c r="F550" s="9" t="n">
        <v>7</v>
      </c>
      <c r="G550" s="20" t="n">
        <v>63.37</v>
      </c>
      <c r="H550" s="20" t="n">
        <v>443.59</v>
      </c>
    </row>
    <row r="551" customFormat="false" ht="15" hidden="false" customHeight="false" outlineLevel="0" collapsed="false">
      <c r="A551" s="8" t="s">
        <v>1273</v>
      </c>
      <c r="B551" s="10" t="n">
        <v>45957</v>
      </c>
      <c r="C551" s="8" t="s">
        <v>115</v>
      </c>
      <c r="D551" s="8" t="s">
        <v>703</v>
      </c>
      <c r="E551" s="8" t="s">
        <v>772</v>
      </c>
      <c r="F551" s="9" t="n">
        <v>3</v>
      </c>
      <c r="G551" s="20" t="n">
        <v>105.47</v>
      </c>
      <c r="H551" s="20" t="n">
        <v>316.41</v>
      </c>
    </row>
    <row r="552" customFormat="false" ht="15" hidden="false" customHeight="false" outlineLevel="0" collapsed="false">
      <c r="A552" s="8" t="s">
        <v>1274</v>
      </c>
      <c r="B552" s="10" t="n">
        <v>46201</v>
      </c>
      <c r="C552" s="8" t="s">
        <v>52</v>
      </c>
      <c r="D552" s="8" t="s">
        <v>703</v>
      </c>
      <c r="E552" s="8" t="s">
        <v>720</v>
      </c>
      <c r="F552" s="9" t="n">
        <v>5</v>
      </c>
      <c r="G552" s="20" t="n">
        <v>37.05</v>
      </c>
      <c r="H552" s="20" t="n">
        <v>185.25</v>
      </c>
    </row>
    <row r="553" customFormat="false" ht="15" hidden="false" customHeight="false" outlineLevel="0" collapsed="false">
      <c r="A553" s="8" t="s">
        <v>1275</v>
      </c>
      <c r="B553" s="10" t="n">
        <v>46152</v>
      </c>
      <c r="C553" s="8" t="s">
        <v>166</v>
      </c>
      <c r="D553" s="8" t="s">
        <v>698</v>
      </c>
      <c r="E553" s="8" t="s">
        <v>729</v>
      </c>
      <c r="F553" s="9" t="n">
        <v>6</v>
      </c>
      <c r="G553" s="20" t="n">
        <v>139.75</v>
      </c>
      <c r="H553" s="20" t="n">
        <v>838.5</v>
      </c>
    </row>
    <row r="554" customFormat="false" ht="15" hidden="false" customHeight="false" outlineLevel="0" collapsed="false">
      <c r="A554" s="8" t="s">
        <v>1276</v>
      </c>
      <c r="B554" s="10" t="n">
        <v>46168</v>
      </c>
      <c r="C554" s="8" t="s">
        <v>390</v>
      </c>
      <c r="D554" s="8" t="s">
        <v>703</v>
      </c>
      <c r="E554" s="8" t="s">
        <v>785</v>
      </c>
      <c r="F554" s="9" t="n">
        <v>1</v>
      </c>
      <c r="G554" s="20" t="n">
        <v>25.78</v>
      </c>
      <c r="H554" s="20" t="n">
        <v>25.78</v>
      </c>
    </row>
    <row r="555" customFormat="false" ht="15" hidden="false" customHeight="false" outlineLevel="0" collapsed="false">
      <c r="A555" s="8" t="s">
        <v>1277</v>
      </c>
      <c r="B555" s="10" t="n">
        <v>46137</v>
      </c>
      <c r="C555" s="8" t="s">
        <v>262</v>
      </c>
      <c r="D555" s="8" t="s">
        <v>698</v>
      </c>
      <c r="E555" s="8" t="s">
        <v>737</v>
      </c>
      <c r="F555" s="9" t="n">
        <v>6</v>
      </c>
      <c r="G555" s="20" t="n">
        <v>11.56</v>
      </c>
      <c r="H555" s="20" t="n">
        <v>69.36</v>
      </c>
    </row>
    <row r="556" customFormat="false" ht="15" hidden="false" customHeight="false" outlineLevel="0" collapsed="false">
      <c r="A556" s="8" t="s">
        <v>1278</v>
      </c>
      <c r="B556" s="10" t="n">
        <v>45950</v>
      </c>
      <c r="C556" s="8" t="s">
        <v>52</v>
      </c>
      <c r="D556" s="8" t="s">
        <v>703</v>
      </c>
      <c r="E556" s="8" t="s">
        <v>720</v>
      </c>
      <c r="F556" s="9" t="n">
        <v>5</v>
      </c>
      <c r="G556" s="20" t="n">
        <v>37.23</v>
      </c>
      <c r="H556" s="20" t="n">
        <v>186.15</v>
      </c>
    </row>
    <row r="557" customFormat="false" ht="15" hidden="false" customHeight="false" outlineLevel="0" collapsed="false">
      <c r="A557" s="8" t="s">
        <v>1279</v>
      </c>
      <c r="B557" s="10" t="n">
        <v>45974</v>
      </c>
      <c r="C557" s="8" t="s">
        <v>646</v>
      </c>
      <c r="D557" s="8" t="s">
        <v>698</v>
      </c>
      <c r="E557" s="8" t="s">
        <v>782</v>
      </c>
      <c r="F557" s="9" t="n">
        <v>2</v>
      </c>
      <c r="G557" s="20" t="n">
        <v>64.43</v>
      </c>
      <c r="H557" s="20" t="n">
        <v>128.86</v>
      </c>
    </row>
    <row r="558" customFormat="false" ht="15" hidden="false" customHeight="false" outlineLevel="0" collapsed="false">
      <c r="A558" s="8" t="s">
        <v>1280</v>
      </c>
      <c r="B558" s="10" t="n">
        <v>46177</v>
      </c>
      <c r="C558" s="8" t="s">
        <v>650</v>
      </c>
      <c r="D558" s="8" t="s">
        <v>698</v>
      </c>
      <c r="E558" s="8" t="s">
        <v>800</v>
      </c>
      <c r="F558" s="9" t="n">
        <v>1</v>
      </c>
      <c r="G558" s="20" t="n">
        <v>29.38</v>
      </c>
      <c r="H558" s="20" t="n">
        <v>29.38</v>
      </c>
    </row>
    <row r="559" customFormat="false" ht="15" hidden="false" customHeight="false" outlineLevel="0" collapsed="false">
      <c r="A559" s="8" t="s">
        <v>1281</v>
      </c>
      <c r="B559" s="10" t="n">
        <v>46151</v>
      </c>
      <c r="C559" s="8" t="s">
        <v>214</v>
      </c>
      <c r="D559" s="8" t="s">
        <v>698</v>
      </c>
      <c r="E559" s="8" t="s">
        <v>701</v>
      </c>
      <c r="F559" s="9" t="n">
        <v>8</v>
      </c>
      <c r="G559" s="20" t="n">
        <v>19.59</v>
      </c>
      <c r="H559" s="20" t="n">
        <v>156.72</v>
      </c>
    </row>
    <row r="560" customFormat="false" ht="15" hidden="false" customHeight="false" outlineLevel="0" collapsed="false">
      <c r="A560" s="8" t="s">
        <v>1282</v>
      </c>
      <c r="B560" s="10" t="n">
        <v>45929</v>
      </c>
      <c r="C560" s="8" t="s">
        <v>52</v>
      </c>
      <c r="D560" s="8" t="s">
        <v>698</v>
      </c>
      <c r="E560" s="8" t="s">
        <v>699</v>
      </c>
      <c r="F560" s="9" t="n">
        <v>2</v>
      </c>
      <c r="G560" s="20" t="n">
        <v>15.8</v>
      </c>
      <c r="H560" s="20" t="n">
        <v>31.6</v>
      </c>
    </row>
    <row r="561" customFormat="false" ht="15" hidden="false" customHeight="false" outlineLevel="0" collapsed="false">
      <c r="A561" s="8" t="s">
        <v>1283</v>
      </c>
      <c r="B561" s="10" t="n">
        <v>46175</v>
      </c>
      <c r="C561" s="8" t="s">
        <v>52</v>
      </c>
      <c r="D561" s="8" t="s">
        <v>703</v>
      </c>
      <c r="E561" s="8" t="s">
        <v>720</v>
      </c>
      <c r="F561" s="9" t="n">
        <v>1</v>
      </c>
      <c r="G561" s="20" t="n">
        <v>36.33</v>
      </c>
      <c r="H561" s="20" t="n">
        <v>36.33</v>
      </c>
    </row>
    <row r="562" customFormat="false" ht="15" hidden="false" customHeight="false" outlineLevel="0" collapsed="false">
      <c r="A562" s="8" t="s">
        <v>1284</v>
      </c>
      <c r="B562" s="10" t="n">
        <v>46098</v>
      </c>
      <c r="C562" s="8" t="s">
        <v>69</v>
      </c>
      <c r="D562" s="8" t="s">
        <v>698</v>
      </c>
      <c r="E562" s="8" t="s">
        <v>713</v>
      </c>
      <c r="F562" s="9" t="n">
        <v>3</v>
      </c>
      <c r="G562" s="20" t="n">
        <v>17.03</v>
      </c>
      <c r="H562" s="20" t="n">
        <v>51.09</v>
      </c>
    </row>
    <row r="563" customFormat="false" ht="15" hidden="false" customHeight="false" outlineLevel="0" collapsed="false">
      <c r="A563" s="8" t="s">
        <v>1285</v>
      </c>
      <c r="B563" s="10" t="n">
        <v>46219</v>
      </c>
      <c r="C563" s="8" t="s">
        <v>214</v>
      </c>
      <c r="D563" s="8" t="s">
        <v>703</v>
      </c>
      <c r="E563" s="8" t="s">
        <v>715</v>
      </c>
      <c r="F563" s="9" t="n">
        <v>1</v>
      </c>
      <c r="G563" s="20" t="n">
        <v>47.04</v>
      </c>
      <c r="H563" s="20" t="n">
        <v>47.04</v>
      </c>
    </row>
    <row r="564" customFormat="false" ht="15" hidden="false" customHeight="false" outlineLevel="0" collapsed="false">
      <c r="A564" s="8" t="s">
        <v>1286</v>
      </c>
      <c r="B564" s="10" t="n">
        <v>46060</v>
      </c>
      <c r="C564" s="8" t="s">
        <v>214</v>
      </c>
      <c r="D564" s="8" t="s">
        <v>698</v>
      </c>
      <c r="E564" s="8" t="s">
        <v>701</v>
      </c>
      <c r="F564" s="9" t="n">
        <v>3</v>
      </c>
      <c r="G564" s="20" t="n">
        <v>20.13</v>
      </c>
      <c r="H564" s="20" t="n">
        <v>60.39</v>
      </c>
    </row>
    <row r="565" customFormat="false" ht="15" hidden="false" customHeight="false" outlineLevel="0" collapsed="false">
      <c r="A565" s="8" t="s">
        <v>1287</v>
      </c>
      <c r="B565" s="10" t="n">
        <v>46162</v>
      </c>
      <c r="C565" s="8" t="s">
        <v>277</v>
      </c>
      <c r="D565" s="8" t="s">
        <v>698</v>
      </c>
      <c r="E565" s="8" t="s">
        <v>710</v>
      </c>
      <c r="F565" s="9" t="n">
        <v>3</v>
      </c>
      <c r="G565" s="20" t="n">
        <v>63.76</v>
      </c>
      <c r="H565" s="20" t="n">
        <v>191.28</v>
      </c>
    </row>
    <row r="566" customFormat="false" ht="15" hidden="false" customHeight="false" outlineLevel="0" collapsed="false">
      <c r="A566" s="8" t="s">
        <v>1288</v>
      </c>
      <c r="B566" s="10" t="n">
        <v>46196</v>
      </c>
      <c r="C566" s="8" t="s">
        <v>390</v>
      </c>
      <c r="D566" s="8" t="s">
        <v>698</v>
      </c>
      <c r="E566" s="8" t="s">
        <v>708</v>
      </c>
      <c r="F566" s="9" t="n">
        <v>1</v>
      </c>
      <c r="G566" s="20" t="n">
        <v>10.3</v>
      </c>
      <c r="H566" s="20" t="n">
        <v>10.3</v>
      </c>
    </row>
    <row r="567" customFormat="false" ht="15" hidden="false" customHeight="false" outlineLevel="0" collapsed="false">
      <c r="A567" s="8" t="s">
        <v>1289</v>
      </c>
      <c r="B567" s="10" t="n">
        <v>46114</v>
      </c>
      <c r="C567" s="8" t="s">
        <v>323</v>
      </c>
      <c r="D567" s="8" t="s">
        <v>703</v>
      </c>
      <c r="E567" s="8" t="s">
        <v>704</v>
      </c>
      <c r="F567" s="9" t="n">
        <v>3</v>
      </c>
      <c r="G567" s="20" t="n">
        <v>228.8</v>
      </c>
      <c r="H567" s="20" t="n">
        <v>686.4</v>
      </c>
    </row>
    <row r="568" customFormat="false" ht="15" hidden="false" customHeight="false" outlineLevel="0" collapsed="false">
      <c r="A568" s="8" t="s">
        <v>1290</v>
      </c>
      <c r="B568" s="10" t="n">
        <v>46063</v>
      </c>
      <c r="C568" s="8" t="s">
        <v>390</v>
      </c>
      <c r="D568" s="8" t="s">
        <v>698</v>
      </c>
      <c r="E568" s="8" t="s">
        <v>708</v>
      </c>
      <c r="F568" s="9" t="n">
        <v>3</v>
      </c>
      <c r="G568" s="20" t="n">
        <v>10.65</v>
      </c>
      <c r="H568" s="20" t="n">
        <v>31.95</v>
      </c>
    </row>
    <row r="569" customFormat="false" ht="15" hidden="false" customHeight="false" outlineLevel="0" collapsed="false">
      <c r="A569" s="8" t="s">
        <v>1291</v>
      </c>
      <c r="B569" s="10" t="n">
        <v>46076</v>
      </c>
      <c r="C569" s="8" t="s">
        <v>262</v>
      </c>
      <c r="D569" s="8" t="s">
        <v>698</v>
      </c>
      <c r="E569" s="8" t="s">
        <v>737</v>
      </c>
      <c r="F569" s="9" t="n">
        <v>3</v>
      </c>
      <c r="G569" s="20" t="n">
        <v>12.24</v>
      </c>
      <c r="H569" s="20" t="n">
        <v>36.72</v>
      </c>
    </row>
    <row r="570" customFormat="false" ht="15" hidden="false" customHeight="false" outlineLevel="0" collapsed="false">
      <c r="A570" s="8" t="s">
        <v>1292</v>
      </c>
      <c r="B570" s="10" t="n">
        <v>46054</v>
      </c>
      <c r="C570" s="8" t="s">
        <v>214</v>
      </c>
      <c r="D570" s="8" t="s">
        <v>698</v>
      </c>
      <c r="E570" s="8" t="s">
        <v>701</v>
      </c>
      <c r="F570" s="9" t="n">
        <v>6</v>
      </c>
      <c r="G570" s="20" t="n">
        <v>21.38</v>
      </c>
      <c r="H570" s="20" t="n">
        <v>128.28</v>
      </c>
    </row>
    <row r="571" customFormat="false" ht="15" hidden="false" customHeight="false" outlineLevel="0" collapsed="false">
      <c r="A571" s="8" t="s">
        <v>1293</v>
      </c>
      <c r="B571" s="10" t="n">
        <v>46209</v>
      </c>
      <c r="C571" s="8" t="s">
        <v>52</v>
      </c>
      <c r="D571" s="8" t="s">
        <v>703</v>
      </c>
      <c r="E571" s="8" t="s">
        <v>720</v>
      </c>
      <c r="F571" s="9" t="n">
        <v>2</v>
      </c>
      <c r="G571" s="20" t="n">
        <v>34.21</v>
      </c>
      <c r="H571" s="20" t="n">
        <v>68.42</v>
      </c>
    </row>
    <row r="572" customFormat="false" ht="15" hidden="false" customHeight="false" outlineLevel="0" collapsed="false">
      <c r="A572" s="8" t="s">
        <v>1294</v>
      </c>
      <c r="B572" s="10" t="n">
        <v>46252</v>
      </c>
      <c r="C572" s="8" t="s">
        <v>166</v>
      </c>
      <c r="D572" s="8" t="s">
        <v>698</v>
      </c>
      <c r="E572" s="8" t="s">
        <v>729</v>
      </c>
      <c r="F572" s="9" t="n">
        <v>2</v>
      </c>
      <c r="G572" s="20" t="n">
        <v>146.12</v>
      </c>
      <c r="H572" s="20" t="n">
        <v>292.24</v>
      </c>
    </row>
    <row r="573" customFormat="false" ht="15" hidden="false" customHeight="false" outlineLevel="0" collapsed="false">
      <c r="A573" s="8" t="s">
        <v>1295</v>
      </c>
      <c r="B573" s="10" t="n">
        <v>46086</v>
      </c>
      <c r="C573" s="8" t="s">
        <v>166</v>
      </c>
      <c r="D573" s="8" t="s">
        <v>698</v>
      </c>
      <c r="E573" s="8" t="s">
        <v>729</v>
      </c>
      <c r="F573" s="9" t="n">
        <v>1</v>
      </c>
      <c r="G573" s="20" t="n">
        <v>155.19</v>
      </c>
      <c r="H573" s="20" t="n">
        <v>155.19</v>
      </c>
    </row>
    <row r="574" customFormat="false" ht="15" hidden="false" customHeight="false" outlineLevel="0" collapsed="false">
      <c r="A574" s="8" t="s">
        <v>1296</v>
      </c>
      <c r="B574" s="10" t="n">
        <v>45939</v>
      </c>
      <c r="C574" s="8" t="s">
        <v>390</v>
      </c>
      <c r="D574" s="8" t="s">
        <v>698</v>
      </c>
      <c r="E574" s="8" t="s">
        <v>708</v>
      </c>
      <c r="F574" s="9" t="n">
        <v>1</v>
      </c>
      <c r="G574" s="20" t="n">
        <v>10.3</v>
      </c>
      <c r="H574" s="20" t="n">
        <v>10.3</v>
      </c>
    </row>
    <row r="575" customFormat="false" ht="15" hidden="false" customHeight="false" outlineLevel="0" collapsed="false">
      <c r="A575" s="8" t="s">
        <v>1297</v>
      </c>
      <c r="B575" s="10" t="n">
        <v>45967</v>
      </c>
      <c r="C575" s="8" t="s">
        <v>394</v>
      </c>
      <c r="D575" s="8" t="s">
        <v>703</v>
      </c>
      <c r="E575" s="8" t="s">
        <v>1123</v>
      </c>
      <c r="F575" s="9" t="n">
        <v>6</v>
      </c>
      <c r="G575" s="20" t="n">
        <v>54.56</v>
      </c>
      <c r="H575" s="20" t="n">
        <v>327.36</v>
      </c>
    </row>
    <row r="576" customFormat="false" ht="15" hidden="false" customHeight="false" outlineLevel="0" collapsed="false">
      <c r="A576" s="8" t="s">
        <v>1298</v>
      </c>
      <c r="B576" s="10" t="n">
        <v>46232</v>
      </c>
      <c r="C576" s="8" t="s">
        <v>214</v>
      </c>
      <c r="D576" s="8" t="s">
        <v>698</v>
      </c>
      <c r="E576" s="8" t="s">
        <v>701</v>
      </c>
      <c r="F576" s="9" t="n">
        <v>5</v>
      </c>
      <c r="G576" s="20" t="n">
        <v>19.22</v>
      </c>
      <c r="H576" s="20" t="n">
        <v>96.1</v>
      </c>
    </row>
    <row r="577" customFormat="false" ht="15" hidden="false" customHeight="false" outlineLevel="0" collapsed="false">
      <c r="A577" s="8" t="s">
        <v>1299</v>
      </c>
      <c r="B577" s="10" t="n">
        <v>46188</v>
      </c>
      <c r="C577" s="8" t="s">
        <v>214</v>
      </c>
      <c r="D577" s="8" t="s">
        <v>703</v>
      </c>
      <c r="E577" s="8" t="s">
        <v>715</v>
      </c>
      <c r="F577" s="9" t="n">
        <v>6</v>
      </c>
      <c r="G577" s="20" t="n">
        <v>45.58</v>
      </c>
      <c r="H577" s="20" t="n">
        <v>273.48</v>
      </c>
    </row>
    <row r="578" customFormat="false" ht="15" hidden="false" customHeight="false" outlineLevel="0" collapsed="false">
      <c r="A578" s="8" t="s">
        <v>1300</v>
      </c>
      <c r="B578" s="10" t="n">
        <v>46207</v>
      </c>
      <c r="C578" s="8" t="s">
        <v>52</v>
      </c>
      <c r="D578" s="8" t="s">
        <v>698</v>
      </c>
      <c r="E578" s="8" t="s">
        <v>699</v>
      </c>
      <c r="F578" s="9" t="n">
        <v>2</v>
      </c>
      <c r="G578" s="20" t="n">
        <v>14.32</v>
      </c>
      <c r="H578" s="20" t="n">
        <v>28.64</v>
      </c>
    </row>
    <row r="579" customFormat="false" ht="15" hidden="false" customHeight="false" outlineLevel="0" collapsed="false">
      <c r="A579" s="8" t="s">
        <v>1301</v>
      </c>
      <c r="B579" s="10" t="n">
        <v>46252</v>
      </c>
      <c r="C579" s="8" t="s">
        <v>52</v>
      </c>
      <c r="D579" s="8" t="s">
        <v>698</v>
      </c>
      <c r="E579" s="8" t="s">
        <v>699</v>
      </c>
      <c r="F579" s="9" t="n">
        <v>7</v>
      </c>
      <c r="G579" s="20" t="n">
        <v>15.44</v>
      </c>
      <c r="H579" s="20" t="n">
        <v>108.08</v>
      </c>
    </row>
    <row r="580" customFormat="false" ht="15" hidden="false" customHeight="false" outlineLevel="0" collapsed="false">
      <c r="A580" s="8" t="s">
        <v>1302</v>
      </c>
      <c r="B580" s="10" t="n">
        <v>46197</v>
      </c>
      <c r="C580" s="8" t="s">
        <v>115</v>
      </c>
      <c r="D580" s="8" t="s">
        <v>703</v>
      </c>
      <c r="E580" s="8" t="s">
        <v>772</v>
      </c>
      <c r="F580" s="9" t="n">
        <v>7</v>
      </c>
      <c r="G580" s="20" t="n">
        <v>114.9</v>
      </c>
      <c r="H580" s="20" t="n">
        <v>804.3</v>
      </c>
    </row>
    <row r="581" customFormat="false" ht="15" hidden="false" customHeight="false" outlineLevel="0" collapsed="false">
      <c r="A581" s="8" t="s">
        <v>1303</v>
      </c>
      <c r="B581" s="10" t="n">
        <v>46175</v>
      </c>
      <c r="C581" s="8" t="s">
        <v>52</v>
      </c>
      <c r="D581" s="8" t="s">
        <v>698</v>
      </c>
      <c r="E581" s="8" t="s">
        <v>699</v>
      </c>
      <c r="F581" s="9" t="n">
        <v>1</v>
      </c>
      <c r="G581" s="20" t="n">
        <v>15.33</v>
      </c>
      <c r="H581" s="20" t="n">
        <v>15.33</v>
      </c>
    </row>
    <row r="582" customFormat="false" ht="15" hidden="false" customHeight="false" outlineLevel="0" collapsed="false">
      <c r="A582" s="8" t="s">
        <v>1304</v>
      </c>
      <c r="B582" s="10" t="n">
        <v>46194</v>
      </c>
      <c r="C582" s="8" t="s">
        <v>154</v>
      </c>
      <c r="D582" s="8" t="s">
        <v>698</v>
      </c>
      <c r="E582" s="8" t="s">
        <v>750</v>
      </c>
      <c r="F582" s="9" t="n">
        <v>1</v>
      </c>
      <c r="G582" s="20" t="n">
        <v>26.08</v>
      </c>
      <c r="H582" s="20" t="n">
        <v>26.08</v>
      </c>
    </row>
    <row r="583" customFormat="false" ht="15" hidden="false" customHeight="false" outlineLevel="0" collapsed="false">
      <c r="A583" s="8" t="s">
        <v>1305</v>
      </c>
      <c r="B583" s="10" t="n">
        <v>46171</v>
      </c>
      <c r="C583" s="8" t="s">
        <v>394</v>
      </c>
      <c r="D583" s="8" t="s">
        <v>698</v>
      </c>
      <c r="E583" s="8" t="s">
        <v>776</v>
      </c>
      <c r="F583" s="9" t="n">
        <v>1</v>
      </c>
      <c r="G583" s="20" t="n">
        <v>20.85</v>
      </c>
      <c r="H583" s="20" t="n">
        <v>20.85</v>
      </c>
    </row>
    <row r="584" customFormat="false" ht="15" hidden="false" customHeight="false" outlineLevel="0" collapsed="false">
      <c r="A584" s="8" t="s">
        <v>1306</v>
      </c>
      <c r="B584" s="10" t="n">
        <v>45994</v>
      </c>
      <c r="C584" s="8" t="s">
        <v>390</v>
      </c>
      <c r="D584" s="8" t="s">
        <v>703</v>
      </c>
      <c r="E584" s="8" t="s">
        <v>785</v>
      </c>
      <c r="F584" s="9" t="n">
        <v>2</v>
      </c>
      <c r="G584" s="20" t="n">
        <v>23.33</v>
      </c>
      <c r="H584" s="20" t="n">
        <v>46.66</v>
      </c>
    </row>
    <row r="585" customFormat="false" ht="15" hidden="false" customHeight="false" outlineLevel="0" collapsed="false">
      <c r="A585" s="8" t="s">
        <v>1307</v>
      </c>
      <c r="B585" s="10" t="n">
        <v>46006</v>
      </c>
      <c r="C585" s="8" t="s">
        <v>145</v>
      </c>
      <c r="D585" s="8" t="s">
        <v>703</v>
      </c>
      <c r="E585" s="8" t="s">
        <v>706</v>
      </c>
      <c r="F585" s="9" t="n">
        <v>3</v>
      </c>
      <c r="G585" s="20" t="n">
        <v>235.1</v>
      </c>
      <c r="H585" s="20" t="n">
        <v>705.3</v>
      </c>
    </row>
    <row r="586" customFormat="false" ht="15" hidden="false" customHeight="false" outlineLevel="0" collapsed="false">
      <c r="A586" s="8" t="s">
        <v>1308</v>
      </c>
      <c r="B586" s="10" t="n">
        <v>45989</v>
      </c>
      <c r="C586" s="8" t="s">
        <v>323</v>
      </c>
      <c r="D586" s="8" t="s">
        <v>703</v>
      </c>
      <c r="E586" s="8" t="s">
        <v>704</v>
      </c>
      <c r="F586" s="9" t="n">
        <v>1</v>
      </c>
      <c r="G586" s="20" t="n">
        <v>228.8</v>
      </c>
      <c r="H586" s="20" t="n">
        <v>228.8</v>
      </c>
    </row>
    <row r="587" customFormat="false" ht="15" hidden="false" customHeight="false" outlineLevel="0" collapsed="false">
      <c r="A587" s="8" t="s">
        <v>1309</v>
      </c>
      <c r="B587" s="10" t="n">
        <v>45997</v>
      </c>
      <c r="C587" s="8" t="s">
        <v>646</v>
      </c>
      <c r="D587" s="8" t="s">
        <v>698</v>
      </c>
      <c r="E587" s="8" t="s">
        <v>782</v>
      </c>
      <c r="F587" s="9" t="n">
        <v>5</v>
      </c>
      <c r="G587" s="20" t="n">
        <v>72.08</v>
      </c>
      <c r="H587" s="20" t="n">
        <v>360.4</v>
      </c>
    </row>
    <row r="588" customFormat="false" ht="15" hidden="false" customHeight="false" outlineLevel="0" collapsed="false">
      <c r="A588" s="8" t="s">
        <v>1310</v>
      </c>
      <c r="B588" s="10" t="n">
        <v>46212</v>
      </c>
      <c r="C588" s="8" t="s">
        <v>154</v>
      </c>
      <c r="D588" s="8" t="s">
        <v>703</v>
      </c>
      <c r="E588" s="8" t="s">
        <v>778</v>
      </c>
      <c r="F588" s="9" t="n">
        <v>2</v>
      </c>
      <c r="G588" s="20" t="n">
        <v>53.92</v>
      </c>
      <c r="H588" s="20" t="n">
        <v>107.84</v>
      </c>
    </row>
    <row r="589" customFormat="false" ht="15" hidden="false" customHeight="false" outlineLevel="0" collapsed="false">
      <c r="A589" s="8" t="s">
        <v>1311</v>
      </c>
      <c r="B589" s="10" t="n">
        <v>46215</v>
      </c>
      <c r="C589" s="8" t="s">
        <v>52</v>
      </c>
      <c r="D589" s="8" t="s">
        <v>703</v>
      </c>
      <c r="E589" s="8" t="s">
        <v>720</v>
      </c>
      <c r="F589" s="9" t="n">
        <v>4</v>
      </c>
      <c r="G589" s="20" t="n">
        <v>33.35</v>
      </c>
      <c r="H589" s="20" t="n">
        <v>133.4</v>
      </c>
    </row>
    <row r="590" customFormat="false" ht="15" hidden="false" customHeight="false" outlineLevel="0" collapsed="false">
      <c r="A590" s="8" t="s">
        <v>1312</v>
      </c>
      <c r="B590" s="10" t="n">
        <v>45930</v>
      </c>
      <c r="C590" s="8" t="s">
        <v>277</v>
      </c>
      <c r="D590" s="8" t="s">
        <v>698</v>
      </c>
      <c r="E590" s="8" t="s">
        <v>710</v>
      </c>
      <c r="F590" s="9" t="n">
        <v>4</v>
      </c>
      <c r="G590" s="20" t="n">
        <v>56.6</v>
      </c>
      <c r="H590" s="20" t="n">
        <v>226.4</v>
      </c>
    </row>
    <row r="591" customFormat="false" ht="15" hidden="false" customHeight="false" outlineLevel="0" collapsed="false">
      <c r="A591" s="8" t="s">
        <v>1313</v>
      </c>
      <c r="B591" s="10" t="n">
        <v>46159</v>
      </c>
      <c r="C591" s="8" t="s">
        <v>390</v>
      </c>
      <c r="D591" s="8" t="s">
        <v>698</v>
      </c>
      <c r="E591" s="8" t="s">
        <v>708</v>
      </c>
      <c r="F591" s="9" t="n">
        <v>3</v>
      </c>
      <c r="G591" s="20" t="n">
        <v>9.4</v>
      </c>
      <c r="H591" s="20" t="n">
        <v>28.2</v>
      </c>
    </row>
    <row r="592" customFormat="false" ht="15" hidden="false" customHeight="false" outlineLevel="0" collapsed="false">
      <c r="A592" s="8" t="s">
        <v>1314</v>
      </c>
      <c r="B592" s="10" t="n">
        <v>46145</v>
      </c>
      <c r="C592" s="8" t="s">
        <v>52</v>
      </c>
      <c r="D592" s="8" t="s">
        <v>698</v>
      </c>
      <c r="E592" s="8" t="s">
        <v>699</v>
      </c>
      <c r="F592" s="9" t="n">
        <v>1</v>
      </c>
      <c r="G592" s="20" t="n">
        <v>14.41</v>
      </c>
      <c r="H592" s="20" t="n">
        <v>14.41</v>
      </c>
    </row>
    <row r="593" customFormat="false" ht="15" hidden="false" customHeight="false" outlineLevel="0" collapsed="false">
      <c r="A593" s="8" t="s">
        <v>1315</v>
      </c>
      <c r="B593" s="10" t="n">
        <v>46151</v>
      </c>
      <c r="C593" s="8" t="s">
        <v>214</v>
      </c>
      <c r="D593" s="8" t="s">
        <v>698</v>
      </c>
      <c r="E593" s="8" t="s">
        <v>701</v>
      </c>
      <c r="F593" s="9" t="n">
        <v>3</v>
      </c>
      <c r="G593" s="20" t="n">
        <v>20.29</v>
      </c>
      <c r="H593" s="20" t="n">
        <v>60.87</v>
      </c>
    </row>
    <row r="594" customFormat="false" ht="15" hidden="false" customHeight="false" outlineLevel="0" collapsed="false">
      <c r="A594" s="8" t="s">
        <v>1316</v>
      </c>
      <c r="B594" s="10" t="n">
        <v>46196</v>
      </c>
      <c r="C594" s="8" t="s">
        <v>52</v>
      </c>
      <c r="D594" s="8" t="s">
        <v>698</v>
      </c>
      <c r="E594" s="8" t="s">
        <v>699</v>
      </c>
      <c r="F594" s="9" t="n">
        <v>2</v>
      </c>
      <c r="G594" s="20" t="n">
        <v>15.7</v>
      </c>
      <c r="H594" s="20" t="n">
        <v>31.4</v>
      </c>
    </row>
    <row r="595" customFormat="false" ht="15" hidden="false" customHeight="false" outlineLevel="0" collapsed="false">
      <c r="A595" s="8" t="s">
        <v>1317</v>
      </c>
      <c r="B595" s="10" t="n">
        <v>46238</v>
      </c>
      <c r="C595" s="8" t="s">
        <v>52</v>
      </c>
      <c r="D595" s="8" t="s">
        <v>698</v>
      </c>
      <c r="E595" s="8" t="s">
        <v>699</v>
      </c>
      <c r="F595" s="9" t="n">
        <v>3</v>
      </c>
      <c r="G595" s="20" t="n">
        <v>15.59</v>
      </c>
      <c r="H595" s="20" t="n">
        <v>46.77</v>
      </c>
    </row>
    <row r="596" customFormat="false" ht="15" hidden="false" customHeight="false" outlineLevel="0" collapsed="false">
      <c r="A596" s="8" t="s">
        <v>1318</v>
      </c>
      <c r="B596" s="10" t="n">
        <v>46030</v>
      </c>
      <c r="C596" s="8" t="s">
        <v>214</v>
      </c>
      <c r="D596" s="8" t="s">
        <v>698</v>
      </c>
      <c r="E596" s="8" t="s">
        <v>701</v>
      </c>
      <c r="F596" s="9" t="n">
        <v>7</v>
      </c>
      <c r="G596" s="20" t="n">
        <v>20.86</v>
      </c>
      <c r="H596" s="20" t="n">
        <v>146.02</v>
      </c>
    </row>
    <row r="597" customFormat="false" ht="15" hidden="false" customHeight="false" outlineLevel="0" collapsed="false">
      <c r="A597" s="8" t="s">
        <v>1319</v>
      </c>
      <c r="B597" s="10" t="n">
        <v>45932</v>
      </c>
      <c r="C597" s="8" t="s">
        <v>214</v>
      </c>
      <c r="D597" s="8" t="s">
        <v>703</v>
      </c>
      <c r="E597" s="8" t="s">
        <v>715</v>
      </c>
      <c r="F597" s="9" t="n">
        <v>4</v>
      </c>
      <c r="G597" s="20" t="n">
        <v>45.02</v>
      </c>
      <c r="H597" s="20" t="n">
        <v>180.08</v>
      </c>
    </row>
    <row r="598" customFormat="false" ht="15" hidden="false" customHeight="false" outlineLevel="0" collapsed="false">
      <c r="A598" s="8" t="s">
        <v>1320</v>
      </c>
      <c r="B598" s="10" t="n">
        <v>46124</v>
      </c>
      <c r="C598" s="8" t="s">
        <v>154</v>
      </c>
      <c r="D598" s="8" t="s">
        <v>698</v>
      </c>
      <c r="E598" s="8" t="s">
        <v>750</v>
      </c>
      <c r="F598" s="9" t="n">
        <v>2</v>
      </c>
      <c r="G598" s="20" t="n">
        <v>23.96</v>
      </c>
      <c r="H598" s="20" t="n">
        <v>47.92</v>
      </c>
    </row>
    <row r="599" customFormat="false" ht="15" hidden="false" customHeight="false" outlineLevel="0" collapsed="false">
      <c r="A599" s="8" t="s">
        <v>1321</v>
      </c>
      <c r="B599" s="10" t="n">
        <v>45941</v>
      </c>
      <c r="C599" s="8" t="s">
        <v>52</v>
      </c>
      <c r="D599" s="8" t="s">
        <v>703</v>
      </c>
      <c r="E599" s="8" t="s">
        <v>720</v>
      </c>
      <c r="F599" s="9" t="n">
        <v>4</v>
      </c>
      <c r="G599" s="20" t="n">
        <v>36.42</v>
      </c>
      <c r="H599" s="20" t="n">
        <v>145.68</v>
      </c>
    </row>
    <row r="600" customFormat="false" ht="15" hidden="false" customHeight="false" outlineLevel="0" collapsed="false">
      <c r="A600" s="8" t="s">
        <v>1322</v>
      </c>
      <c r="B600" s="10" t="n">
        <v>46244</v>
      </c>
      <c r="C600" s="8" t="s">
        <v>154</v>
      </c>
      <c r="D600" s="8" t="s">
        <v>698</v>
      </c>
      <c r="E600" s="8" t="s">
        <v>750</v>
      </c>
      <c r="F600" s="9" t="n">
        <v>2</v>
      </c>
      <c r="G600" s="20" t="n">
        <v>26.1</v>
      </c>
      <c r="H600" s="20" t="n">
        <v>52.2</v>
      </c>
    </row>
    <row r="601" customFormat="false" ht="15" hidden="false" customHeight="false" outlineLevel="0" collapsed="false">
      <c r="A601" s="8" t="s">
        <v>1323</v>
      </c>
      <c r="B601" s="10" t="n">
        <v>46151</v>
      </c>
      <c r="C601" s="8" t="s">
        <v>154</v>
      </c>
      <c r="D601" s="8" t="s">
        <v>703</v>
      </c>
      <c r="E601" s="8" t="s">
        <v>778</v>
      </c>
      <c r="F601" s="9" t="n">
        <v>5</v>
      </c>
      <c r="G601" s="20" t="n">
        <v>57.13</v>
      </c>
      <c r="H601" s="20" t="n">
        <v>285.65</v>
      </c>
    </row>
    <row r="602" customFormat="false" ht="15" hidden="false" customHeight="false" outlineLevel="0" collapsed="false">
      <c r="A602" s="8" t="s">
        <v>1324</v>
      </c>
      <c r="B602" s="10" t="n">
        <v>46174</v>
      </c>
      <c r="C602" s="8" t="s">
        <v>154</v>
      </c>
      <c r="D602" s="8" t="s">
        <v>703</v>
      </c>
      <c r="E602" s="8" t="s">
        <v>778</v>
      </c>
      <c r="F602" s="9" t="n">
        <v>2</v>
      </c>
      <c r="G602" s="20" t="n">
        <v>51.59</v>
      </c>
      <c r="H602" s="20" t="n">
        <v>103.18</v>
      </c>
    </row>
    <row r="603" customFormat="false" ht="15" hidden="false" customHeight="false" outlineLevel="0" collapsed="false">
      <c r="A603" s="8" t="s">
        <v>1325</v>
      </c>
      <c r="B603" s="10" t="n">
        <v>46109</v>
      </c>
      <c r="C603" s="8" t="s">
        <v>262</v>
      </c>
      <c r="D603" s="8" t="s">
        <v>698</v>
      </c>
      <c r="E603" s="8" t="s">
        <v>737</v>
      </c>
      <c r="F603" s="9" t="n">
        <v>3</v>
      </c>
      <c r="G603" s="20" t="n">
        <v>11.72</v>
      </c>
      <c r="H603" s="20" t="n">
        <v>35.16</v>
      </c>
    </row>
    <row r="604" customFormat="false" ht="15" hidden="false" customHeight="false" outlineLevel="0" collapsed="false">
      <c r="A604" s="8" t="s">
        <v>1326</v>
      </c>
      <c r="B604" s="10" t="n">
        <v>46037</v>
      </c>
      <c r="C604" s="8" t="s">
        <v>115</v>
      </c>
      <c r="D604" s="8" t="s">
        <v>703</v>
      </c>
      <c r="E604" s="8" t="s">
        <v>772</v>
      </c>
      <c r="F604" s="9" t="n">
        <v>2</v>
      </c>
      <c r="G604" s="20" t="n">
        <v>103.69</v>
      </c>
      <c r="H604" s="20" t="n">
        <v>207.38</v>
      </c>
    </row>
    <row r="605" customFormat="false" ht="15" hidden="false" customHeight="false" outlineLevel="0" collapsed="false">
      <c r="A605" s="8" t="s">
        <v>1327</v>
      </c>
      <c r="B605" s="10" t="n">
        <v>45912</v>
      </c>
      <c r="C605" s="8" t="s">
        <v>650</v>
      </c>
      <c r="D605" s="8" t="s">
        <v>698</v>
      </c>
      <c r="E605" s="8" t="s">
        <v>800</v>
      </c>
      <c r="F605" s="9" t="n">
        <v>4</v>
      </c>
      <c r="G605" s="20" t="n">
        <v>28.98</v>
      </c>
      <c r="H605" s="20" t="n">
        <v>115.92</v>
      </c>
    </row>
    <row r="606" customFormat="false" ht="15" hidden="false" customHeight="false" outlineLevel="0" collapsed="false">
      <c r="A606" s="8" t="s">
        <v>1328</v>
      </c>
      <c r="B606" s="10" t="n">
        <v>46113</v>
      </c>
      <c r="C606" s="8" t="s">
        <v>277</v>
      </c>
      <c r="D606" s="8" t="s">
        <v>698</v>
      </c>
      <c r="E606" s="8" t="s">
        <v>710</v>
      </c>
      <c r="F606" s="9" t="n">
        <v>2</v>
      </c>
      <c r="G606" s="20" t="n">
        <v>62.67</v>
      </c>
      <c r="H606" s="20" t="n">
        <v>125.34</v>
      </c>
    </row>
    <row r="607" customFormat="false" ht="15" hidden="false" customHeight="false" outlineLevel="0" collapsed="false">
      <c r="A607" s="8" t="s">
        <v>1329</v>
      </c>
      <c r="B607" s="10" t="n">
        <v>46264</v>
      </c>
      <c r="C607" s="8" t="s">
        <v>154</v>
      </c>
      <c r="D607" s="8" t="s">
        <v>698</v>
      </c>
      <c r="E607" s="8" t="s">
        <v>750</v>
      </c>
      <c r="F607" s="9" t="n">
        <v>1</v>
      </c>
      <c r="G607" s="20" t="n">
        <v>25.1</v>
      </c>
      <c r="H607" s="20" t="n">
        <v>25.1</v>
      </c>
    </row>
    <row r="608" customFormat="false" ht="15" hidden="false" customHeight="false" outlineLevel="0" collapsed="false">
      <c r="A608" s="8" t="s">
        <v>1330</v>
      </c>
      <c r="B608" s="10" t="n">
        <v>46189</v>
      </c>
      <c r="C608" s="8" t="s">
        <v>145</v>
      </c>
      <c r="D608" s="8" t="s">
        <v>698</v>
      </c>
      <c r="E608" s="8" t="s">
        <v>754</v>
      </c>
      <c r="F608" s="9" t="n">
        <v>6</v>
      </c>
      <c r="G608" s="20" t="n">
        <v>96.59</v>
      </c>
      <c r="H608" s="20" t="n">
        <v>579.54</v>
      </c>
    </row>
    <row r="609" customFormat="false" ht="15" hidden="false" customHeight="false" outlineLevel="0" collapsed="false">
      <c r="A609" s="8" t="s">
        <v>1331</v>
      </c>
      <c r="B609" s="10" t="n">
        <v>45964</v>
      </c>
      <c r="C609" s="8" t="s">
        <v>646</v>
      </c>
      <c r="D609" s="8" t="s">
        <v>698</v>
      </c>
      <c r="E609" s="8" t="s">
        <v>782</v>
      </c>
      <c r="F609" s="9" t="n">
        <v>4</v>
      </c>
      <c r="G609" s="20" t="n">
        <v>69.23</v>
      </c>
      <c r="H609" s="20" t="n">
        <v>276.92</v>
      </c>
    </row>
    <row r="610" customFormat="false" ht="15" hidden="false" customHeight="false" outlineLevel="0" collapsed="false">
      <c r="A610" s="8" t="s">
        <v>1332</v>
      </c>
      <c r="B610" s="10" t="n">
        <v>46150</v>
      </c>
      <c r="C610" s="8" t="s">
        <v>154</v>
      </c>
      <c r="D610" s="8" t="s">
        <v>698</v>
      </c>
      <c r="E610" s="8" t="s">
        <v>750</v>
      </c>
      <c r="F610" s="9" t="n">
        <v>2</v>
      </c>
      <c r="G610" s="20" t="n">
        <v>23.2</v>
      </c>
      <c r="H610" s="20" t="n">
        <v>46.4</v>
      </c>
    </row>
    <row r="611" customFormat="false" ht="15" hidden="false" customHeight="false" outlineLevel="0" collapsed="false">
      <c r="A611" s="8" t="s">
        <v>1333</v>
      </c>
      <c r="B611" s="10" t="n">
        <v>46116</v>
      </c>
      <c r="C611" s="8" t="s">
        <v>390</v>
      </c>
      <c r="D611" s="8" t="s">
        <v>698</v>
      </c>
      <c r="E611" s="8" t="s">
        <v>708</v>
      </c>
      <c r="F611" s="9" t="n">
        <v>1</v>
      </c>
      <c r="G611" s="20" t="n">
        <v>9.72</v>
      </c>
      <c r="H611" s="20" t="n">
        <v>9.72</v>
      </c>
    </row>
    <row r="612" customFormat="false" ht="15" hidden="false" customHeight="false" outlineLevel="0" collapsed="false">
      <c r="A612" s="8" t="s">
        <v>1334</v>
      </c>
      <c r="B612" s="10" t="n">
        <v>46125</v>
      </c>
      <c r="C612" s="8" t="s">
        <v>650</v>
      </c>
      <c r="D612" s="8" t="s">
        <v>703</v>
      </c>
      <c r="E612" s="8" t="s">
        <v>858</v>
      </c>
      <c r="F612" s="9" t="n">
        <v>2</v>
      </c>
      <c r="G612" s="20" t="n">
        <v>68.07</v>
      </c>
      <c r="H612" s="20" t="n">
        <v>136.14</v>
      </c>
    </row>
    <row r="613" customFormat="false" ht="15" hidden="false" customHeight="false" outlineLevel="0" collapsed="false">
      <c r="A613" s="8" t="s">
        <v>1335</v>
      </c>
      <c r="B613" s="10" t="n">
        <v>46107</v>
      </c>
      <c r="C613" s="8" t="s">
        <v>277</v>
      </c>
      <c r="D613" s="8" t="s">
        <v>698</v>
      </c>
      <c r="E613" s="8" t="s">
        <v>710</v>
      </c>
      <c r="F613" s="9" t="n">
        <v>4</v>
      </c>
      <c r="G613" s="20" t="n">
        <v>56.54</v>
      </c>
      <c r="H613" s="20" t="n">
        <v>226.16</v>
      </c>
    </row>
    <row r="614" customFormat="false" ht="15" hidden="false" customHeight="false" outlineLevel="0" collapsed="false">
      <c r="A614" s="8" t="s">
        <v>1336</v>
      </c>
      <c r="B614" s="10" t="n">
        <v>46102</v>
      </c>
      <c r="C614" s="8" t="s">
        <v>166</v>
      </c>
      <c r="D614" s="8" t="s">
        <v>703</v>
      </c>
      <c r="E614" s="8" t="s">
        <v>774</v>
      </c>
      <c r="F614" s="9" t="n">
        <v>1</v>
      </c>
      <c r="G614" s="20" t="n">
        <v>408.64</v>
      </c>
      <c r="H614" s="20" t="n">
        <v>408.64</v>
      </c>
    </row>
    <row r="615" customFormat="false" ht="15" hidden="false" customHeight="false" outlineLevel="0" collapsed="false">
      <c r="A615" s="8" t="s">
        <v>1337</v>
      </c>
      <c r="B615" s="10" t="n">
        <v>46232</v>
      </c>
      <c r="C615" s="8" t="s">
        <v>145</v>
      </c>
      <c r="D615" s="8" t="s">
        <v>703</v>
      </c>
      <c r="E615" s="8" t="s">
        <v>706</v>
      </c>
      <c r="F615" s="9" t="n">
        <v>4</v>
      </c>
      <c r="G615" s="20" t="n">
        <v>234.17</v>
      </c>
      <c r="H615" s="20" t="n">
        <v>936.68</v>
      </c>
    </row>
    <row r="616" customFormat="false" ht="15" hidden="false" customHeight="false" outlineLevel="0" collapsed="false">
      <c r="A616" s="8" t="s">
        <v>1338</v>
      </c>
      <c r="B616" s="10" t="n">
        <v>46212</v>
      </c>
      <c r="C616" s="8" t="s">
        <v>277</v>
      </c>
      <c r="D616" s="8" t="s">
        <v>698</v>
      </c>
      <c r="E616" s="8" t="s">
        <v>710</v>
      </c>
      <c r="F616" s="9" t="n">
        <v>2</v>
      </c>
      <c r="G616" s="20" t="n">
        <v>60.95</v>
      </c>
      <c r="H616" s="20" t="n">
        <v>121.9</v>
      </c>
    </row>
    <row r="617" customFormat="false" ht="15" hidden="false" customHeight="false" outlineLevel="0" collapsed="false">
      <c r="A617" s="8" t="s">
        <v>1339</v>
      </c>
      <c r="B617" s="10" t="n">
        <v>45971</v>
      </c>
      <c r="C617" s="8" t="s">
        <v>52</v>
      </c>
      <c r="D617" s="8" t="s">
        <v>703</v>
      </c>
      <c r="E617" s="8" t="s">
        <v>720</v>
      </c>
      <c r="F617" s="9" t="n">
        <v>6</v>
      </c>
      <c r="G617" s="20" t="n">
        <v>36.2</v>
      </c>
      <c r="H617" s="20" t="n">
        <v>217.2</v>
      </c>
    </row>
    <row r="618" customFormat="false" ht="15" hidden="false" customHeight="false" outlineLevel="0" collapsed="false">
      <c r="A618" s="8" t="s">
        <v>1340</v>
      </c>
      <c r="B618" s="10" t="n">
        <v>46018</v>
      </c>
      <c r="C618" s="8" t="s">
        <v>52</v>
      </c>
      <c r="D618" s="8" t="s">
        <v>698</v>
      </c>
      <c r="E618" s="8" t="s">
        <v>699</v>
      </c>
      <c r="F618" s="9" t="n">
        <v>1</v>
      </c>
      <c r="G618" s="20" t="n">
        <v>14</v>
      </c>
      <c r="H618" s="20" t="n">
        <v>14</v>
      </c>
    </row>
    <row r="619" customFormat="false" ht="15" hidden="false" customHeight="false" outlineLevel="0" collapsed="false">
      <c r="A619" s="8" t="s">
        <v>1341</v>
      </c>
      <c r="B619" s="10" t="n">
        <v>46206</v>
      </c>
      <c r="C619" s="8" t="s">
        <v>277</v>
      </c>
      <c r="D619" s="8" t="s">
        <v>703</v>
      </c>
      <c r="E619" s="8" t="s">
        <v>724</v>
      </c>
      <c r="F619" s="9" t="n">
        <v>2</v>
      </c>
      <c r="G619" s="20" t="n">
        <v>151.13</v>
      </c>
      <c r="H619" s="20" t="n">
        <v>302.26</v>
      </c>
    </row>
    <row r="620" customFormat="false" ht="15" hidden="false" customHeight="false" outlineLevel="0" collapsed="false">
      <c r="A620" s="8" t="s">
        <v>1342</v>
      </c>
      <c r="B620" s="10" t="n">
        <v>46026</v>
      </c>
      <c r="C620" s="8" t="s">
        <v>166</v>
      </c>
      <c r="D620" s="8" t="s">
        <v>703</v>
      </c>
      <c r="E620" s="8" t="s">
        <v>774</v>
      </c>
      <c r="F620" s="9" t="n">
        <v>3</v>
      </c>
      <c r="G620" s="20" t="n">
        <v>365.86</v>
      </c>
      <c r="H620" s="20" t="n">
        <v>1097.58</v>
      </c>
    </row>
  </sheetData>
  <mergeCells count="1">
    <mergeCell ref="A2:H2"/>
  </mergeCells>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tableParts>
    <tablePart r:id="rId1"/>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F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2"/>
    <col collapsed="false" customWidth="true" hidden="false" outlineLevel="0" max="3" min="3" style="0" width="13"/>
    <col collapsed="false" customWidth="true" hidden="false" outlineLevel="0" max="4" min="4" style="0" width="16"/>
    <col collapsed="false" customWidth="true" hidden="false" outlineLevel="0" max="5" min="5" style="0" width="25"/>
    <col collapsed="false" customWidth="true" hidden="false" outlineLevel="0" max="6" min="6" style="0" width="16"/>
  </cols>
  <sheetData>
    <row r="2" customFormat="false" ht="19.7" hidden="false" customHeight="false" outlineLevel="0" collapsed="false">
      <c r="B2" s="1" t="s">
        <v>1343</v>
      </c>
    </row>
    <row r="3" customFormat="false" ht="15" hidden="false" customHeight="false" outlineLevel="0" collapsed="false">
      <c r="B3" s="2" t="s">
        <v>1344</v>
      </c>
    </row>
    <row r="5" customFormat="false" ht="15" hidden="false" customHeight="false" outlineLevel="0" collapsed="false">
      <c r="B5" s="11" t="s">
        <v>1345</v>
      </c>
      <c r="C5" s="11"/>
      <c r="D5" s="11"/>
      <c r="E5" s="11"/>
    </row>
    <row r="6" customFormat="false" ht="15" hidden="false" customHeight="false" outlineLevel="0" collapsed="false">
      <c r="B6" s="5" t="s">
        <v>691</v>
      </c>
      <c r="C6" s="5" t="s">
        <v>1346</v>
      </c>
      <c r="D6" s="5" t="s">
        <v>1347</v>
      </c>
      <c r="E6" s="5" t="s">
        <v>1348</v>
      </c>
    </row>
    <row r="7" customFormat="false" ht="15" hidden="false" customHeight="false" outlineLevel="0" collapsed="false">
      <c r="B7" s="13" t="s">
        <v>145</v>
      </c>
      <c r="C7" s="13" t="n">
        <f aca="false">SUMIF('Pharmacy Sales Data'!$C$5:$C$620,B7,'Pharmacy Sales Data'!$F$5:$F$620)</f>
        <v>149</v>
      </c>
      <c r="D7" s="21" t="n">
        <f aca="false">SUMIF('Pharmacy Sales Data'!$C$5:$C$620,B7,'Pharmacy Sales Data'!$H$5:$H$620)</f>
        <v>22266.14</v>
      </c>
      <c r="E7" s="14" t="n">
        <f aca="false">D7/$D$22</f>
        <v>0.188883256189099</v>
      </c>
    </row>
    <row r="8" customFormat="false" ht="15" hidden="false" customHeight="false" outlineLevel="0" collapsed="false">
      <c r="B8" s="13" t="s">
        <v>166</v>
      </c>
      <c r="C8" s="13" t="n">
        <f aca="false">SUMIF('Pharmacy Sales Data'!$C$5:$C$620,B8,'Pharmacy Sales Data'!$F$5:$F$620)</f>
        <v>95</v>
      </c>
      <c r="D8" s="21" t="n">
        <f aca="false">SUMIF('Pharmacy Sales Data'!$C$5:$C$620,B8,'Pharmacy Sales Data'!$H$5:$H$620)</f>
        <v>20085.71</v>
      </c>
      <c r="E8" s="14" t="n">
        <f aca="false">D8/$D$22</f>
        <v>0.170386708592955</v>
      </c>
    </row>
    <row r="9" customFormat="false" ht="15" hidden="false" customHeight="false" outlineLevel="0" collapsed="false">
      <c r="B9" s="13" t="s">
        <v>277</v>
      </c>
      <c r="C9" s="13" t="n">
        <f aca="false">SUMIF('Pharmacy Sales Data'!$C$5:$C$620,B9,'Pharmacy Sales Data'!$F$5:$F$620)</f>
        <v>195</v>
      </c>
      <c r="D9" s="21" t="n">
        <f aca="false">SUMIF('Pharmacy Sales Data'!$C$5:$C$620,B9,'Pharmacy Sales Data'!$H$5:$H$620)</f>
        <v>15120.41</v>
      </c>
      <c r="E9" s="14" t="n">
        <f aca="false">D9/$D$22</f>
        <v>0.128266159995141</v>
      </c>
    </row>
    <row r="10" customFormat="false" ht="15" hidden="false" customHeight="false" outlineLevel="0" collapsed="false">
      <c r="B10" s="13" t="s">
        <v>115</v>
      </c>
      <c r="C10" s="13" t="n">
        <f aca="false">SUMIF('Pharmacy Sales Data'!$C$5:$C$620,B10,'Pharmacy Sales Data'!$F$5:$F$620)</f>
        <v>124</v>
      </c>
      <c r="D10" s="21" t="n">
        <f aca="false">SUMIF('Pharmacy Sales Data'!$C$5:$C$620,B10,'Pharmacy Sales Data'!$H$5:$H$620)</f>
        <v>9182.09</v>
      </c>
      <c r="E10" s="14" t="n">
        <f aca="false">D10/$D$22</f>
        <v>0.0778915006292676</v>
      </c>
    </row>
    <row r="11" customFormat="false" ht="15" hidden="false" customHeight="false" outlineLevel="0" collapsed="false">
      <c r="B11" s="13" t="s">
        <v>52</v>
      </c>
      <c r="C11" s="13" t="n">
        <f aca="false">SUMIF('Pharmacy Sales Data'!$C$5:$C$620,B11,'Pharmacy Sales Data'!$F$5:$F$620)</f>
        <v>372</v>
      </c>
      <c r="D11" s="21" t="n">
        <f aca="false">SUMIF('Pharmacy Sales Data'!$C$5:$C$620,B11,'Pharmacy Sales Data'!$H$5:$H$620)</f>
        <v>8832.63</v>
      </c>
      <c r="E11" s="14" t="n">
        <f aca="false">D11/$D$22</f>
        <v>0.0749270378751556</v>
      </c>
    </row>
    <row r="12" customFormat="false" ht="15" hidden="false" customHeight="false" outlineLevel="0" collapsed="false">
      <c r="B12" s="13" t="s">
        <v>214</v>
      </c>
      <c r="C12" s="13" t="n">
        <f aca="false">SUMIF('Pharmacy Sales Data'!$C$5:$C$620,B12,'Pharmacy Sales Data'!$F$5:$F$620)</f>
        <v>290</v>
      </c>
      <c r="D12" s="21" t="n">
        <f aca="false">SUMIF('Pharmacy Sales Data'!$C$5:$C$620,B12,'Pharmacy Sales Data'!$H$5:$H$620)</f>
        <v>8424.16</v>
      </c>
      <c r="E12" s="14" t="n">
        <f aca="false">D12/$D$22</f>
        <v>0.0714619943761225</v>
      </c>
    </row>
    <row r="13" customFormat="false" ht="15" hidden="false" customHeight="false" outlineLevel="0" collapsed="false">
      <c r="B13" s="13" t="s">
        <v>646</v>
      </c>
      <c r="C13" s="13" t="n">
        <f aca="false">SUMIF('Pharmacy Sales Data'!$C$5:$C$620,B13,'Pharmacy Sales Data'!$F$5:$F$620)</f>
        <v>80</v>
      </c>
      <c r="D13" s="21" t="n">
        <f aca="false">SUMIF('Pharmacy Sales Data'!$C$5:$C$620,B13,'Pharmacy Sales Data'!$H$5:$H$620)</f>
        <v>8102.92</v>
      </c>
      <c r="E13" s="14" t="n">
        <f aca="false">D13/$D$22</f>
        <v>0.0687369213630998</v>
      </c>
    </row>
    <row r="14" customFormat="false" ht="15" hidden="false" customHeight="false" outlineLevel="0" collapsed="false">
      <c r="B14" s="13" t="s">
        <v>323</v>
      </c>
      <c r="C14" s="13" t="n">
        <f aca="false">SUMIF('Pharmacy Sales Data'!$C$5:$C$620,B14,'Pharmacy Sales Data'!$F$5:$F$620)</f>
        <v>43</v>
      </c>
      <c r="D14" s="21" t="n">
        <f aca="false">SUMIF('Pharmacy Sales Data'!$C$5:$C$620,B14,'Pharmacy Sales Data'!$H$5:$H$620)</f>
        <v>6788.02</v>
      </c>
      <c r="E14" s="14" t="n">
        <f aca="false">D14/$D$22</f>
        <v>0.0575826488415471</v>
      </c>
    </row>
    <row r="15" customFormat="false" ht="15" hidden="false" customHeight="false" outlineLevel="0" collapsed="false">
      <c r="B15" s="13" t="s">
        <v>154</v>
      </c>
      <c r="C15" s="13" t="n">
        <f aca="false">SUMIF('Pharmacy Sales Data'!$C$5:$C$620,B15,'Pharmacy Sales Data'!$F$5:$F$620)</f>
        <v>121</v>
      </c>
      <c r="D15" s="21" t="n">
        <f aca="false">SUMIF('Pharmacy Sales Data'!$C$5:$C$620,B15,'Pharmacy Sales Data'!$H$5:$H$620)</f>
        <v>4834.08</v>
      </c>
      <c r="E15" s="14" t="n">
        <f aca="false">D15/$D$22</f>
        <v>0.041007411750694</v>
      </c>
    </row>
    <row r="16" customFormat="false" ht="15" hidden="false" customHeight="false" outlineLevel="0" collapsed="false">
      <c r="B16" s="13" t="s">
        <v>69</v>
      </c>
      <c r="C16" s="13" t="n">
        <f aca="false">SUMIF('Pharmacy Sales Data'!$C$5:$C$620,B16,'Pharmacy Sales Data'!$F$5:$F$620)</f>
        <v>140</v>
      </c>
      <c r="D16" s="21" t="n">
        <f aca="false">SUMIF('Pharmacy Sales Data'!$C$5:$C$620,B16,'Pharmacy Sales Data'!$H$5:$H$620)</f>
        <v>4332.04</v>
      </c>
      <c r="E16" s="14" t="n">
        <f aca="false">D16/$D$22</f>
        <v>0.0367486156622308</v>
      </c>
    </row>
    <row r="17" customFormat="false" ht="15" hidden="false" customHeight="false" outlineLevel="0" collapsed="false">
      <c r="B17" s="13" t="s">
        <v>390</v>
      </c>
      <c r="C17" s="13" t="n">
        <f aca="false">SUMIF('Pharmacy Sales Data'!$C$5:$C$620,B17,'Pharmacy Sales Data'!$F$5:$F$620)</f>
        <v>253</v>
      </c>
      <c r="D17" s="21" t="n">
        <f aca="false">SUMIF('Pharmacy Sales Data'!$C$5:$C$620,B17,'Pharmacy Sales Data'!$H$5:$H$620)</f>
        <v>3934.25</v>
      </c>
      <c r="E17" s="14" t="n">
        <f aca="false">D17/$D$22</f>
        <v>0.0333741704068133</v>
      </c>
    </row>
    <row r="18" customFormat="false" ht="15" hidden="false" customHeight="false" outlineLevel="0" collapsed="false">
      <c r="B18" s="13" t="s">
        <v>650</v>
      </c>
      <c r="C18" s="13" t="n">
        <f aca="false">SUMIF('Pharmacy Sales Data'!$C$5:$C$620,B18,'Pharmacy Sales Data'!$F$5:$F$620)</f>
        <v>71</v>
      </c>
      <c r="D18" s="21" t="n">
        <f aca="false">SUMIF('Pharmacy Sales Data'!$C$5:$C$620,B18,'Pharmacy Sales Data'!$H$5:$H$620)</f>
        <v>3059.99</v>
      </c>
      <c r="E18" s="14" t="n">
        <f aca="false">D18/$D$22</f>
        <v>0.0259578389027501</v>
      </c>
    </row>
    <row r="19" customFormat="false" ht="15" hidden="false" customHeight="false" outlineLevel="0" collapsed="false">
      <c r="B19" s="13" t="s">
        <v>262</v>
      </c>
      <c r="C19" s="13" t="n">
        <f aca="false">SUMIF('Pharmacy Sales Data'!$C$5:$C$620,B19,'Pharmacy Sales Data'!$F$5:$F$620)</f>
        <v>109</v>
      </c>
      <c r="D19" s="21" t="n">
        <f aca="false">SUMIF('Pharmacy Sales Data'!$C$5:$C$620,B19,'Pharmacy Sales Data'!$H$5:$H$620)</f>
        <v>1709.93</v>
      </c>
      <c r="E19" s="14" t="n">
        <f aca="false">D19/$D$22</f>
        <v>0.0145053047477212</v>
      </c>
    </row>
    <row r="20" customFormat="false" ht="15" hidden="false" customHeight="false" outlineLevel="0" collapsed="false">
      <c r="B20" s="13" t="s">
        <v>394</v>
      </c>
      <c r="C20" s="13" t="n">
        <f aca="false">SUMIF('Pharmacy Sales Data'!$C$5:$C$620,B20,'Pharmacy Sales Data'!$F$5:$F$620)</f>
        <v>32</v>
      </c>
      <c r="D20" s="21" t="n">
        <f aca="false">SUMIF('Pharmacy Sales Data'!$C$5:$C$620,B20,'Pharmacy Sales Data'!$H$5:$H$620)</f>
        <v>1210.71</v>
      </c>
      <c r="E20" s="14" t="n">
        <f aca="false">D20/$D$22</f>
        <v>0.0102704306674037</v>
      </c>
    </row>
    <row r="22" customFormat="false" ht="15" hidden="false" customHeight="false" outlineLevel="0" collapsed="false">
      <c r="B22" s="22" t="s">
        <v>1349</v>
      </c>
      <c r="D22" s="23" t="n">
        <f aca="false">SUM(D7:D20)</f>
        <v>117883.08</v>
      </c>
    </row>
    <row r="24" customFormat="false" ht="15" hidden="false" customHeight="false" outlineLevel="0" collapsed="false">
      <c r="B24" s="11" t="s">
        <v>1350</v>
      </c>
      <c r="C24" s="11"/>
      <c r="D24" s="11"/>
      <c r="E24" s="11"/>
    </row>
    <row r="25" customFormat="false" ht="15" hidden="false" customHeight="false" outlineLevel="0" collapsed="false">
      <c r="B25" s="5" t="s">
        <v>1351</v>
      </c>
      <c r="C25" s="5" t="s">
        <v>696</v>
      </c>
      <c r="D25" s="5" t="s">
        <v>1346</v>
      </c>
      <c r="E25" s="5" t="s">
        <v>1352</v>
      </c>
    </row>
    <row r="26" customFormat="false" ht="15" hidden="false" customHeight="false" outlineLevel="0" collapsed="false">
      <c r="B26" s="13" t="s">
        <v>1353</v>
      </c>
      <c r="C26" s="21" t="n">
        <f aca="false">SUMIFS('Pharmacy Sales Data'!$H$5:$H$620,'Pharmacy Sales Data'!$B$5:$B$620,"&gt;="&amp;DATE(2025,9,1),'Pharmacy Sales Data'!$B$5:$B$620,"&lt;="&amp;DATE(2025,9,30))</f>
        <v>6151.24</v>
      </c>
      <c r="D26" s="13" t="n">
        <f aca="false">SUMIFS('Pharmacy Sales Data'!$F$5:$F$620,'Pharmacy Sales Data'!$B$5:$B$620,"&gt;="&amp;DATE(2025,9,1),'Pharmacy Sales Data'!$B$5:$B$620,"&lt;="&amp;DATE(2025,9,30))</f>
        <v>114</v>
      </c>
      <c r="E26" s="13" t="s">
        <v>1354</v>
      </c>
    </row>
    <row r="27" customFormat="false" ht="15" hidden="false" customHeight="false" outlineLevel="0" collapsed="false">
      <c r="B27" s="13" t="s">
        <v>1355</v>
      </c>
      <c r="C27" s="21" t="n">
        <f aca="false">SUMIFS('Pharmacy Sales Data'!$H$5:$H$620,'Pharmacy Sales Data'!$B$5:$B$620,"&gt;="&amp;DATE(2025,10,1),'Pharmacy Sales Data'!$B$5:$B$620,"&lt;="&amp;DATE(2025,10,31))</f>
        <v>5640.03</v>
      </c>
      <c r="D27" s="13" t="n">
        <f aca="false">SUMIFS('Pharmacy Sales Data'!$F$5:$F$620,'Pharmacy Sales Data'!$B$5:$B$620,"&gt;="&amp;DATE(2025,10,1),'Pharmacy Sales Data'!$B$5:$B$620,"&lt;="&amp;DATE(2025,10,31))</f>
        <v>135</v>
      </c>
      <c r="E27" s="24" t="n">
        <f aca="false">(C27-C26)/C26</f>
        <v>-0.0831068207385828</v>
      </c>
    </row>
    <row r="28" customFormat="false" ht="15" hidden="false" customHeight="false" outlineLevel="0" collapsed="false">
      <c r="B28" s="13" t="s">
        <v>1356</v>
      </c>
      <c r="C28" s="21" t="n">
        <f aca="false">SUMIFS('Pharmacy Sales Data'!$H$5:$H$620,'Pharmacy Sales Data'!$B$5:$B$620,"&gt;="&amp;DATE(2025,11,1),'Pharmacy Sales Data'!$B$5:$B$620,"&lt;="&amp;DATE(2025,11,30))</f>
        <v>10409.97</v>
      </c>
      <c r="D28" s="13" t="n">
        <f aca="false">SUMIFS('Pharmacy Sales Data'!$F$5:$F$620,'Pharmacy Sales Data'!$B$5:$B$620,"&gt;="&amp;DATE(2025,11,1),'Pharmacy Sales Data'!$B$5:$B$620,"&lt;="&amp;DATE(2025,11,30))</f>
        <v>152</v>
      </c>
      <c r="E28" s="24" t="n">
        <f aca="false">(C28-C27)/C27</f>
        <v>0.845729543991787</v>
      </c>
    </row>
    <row r="29" customFormat="false" ht="15" hidden="false" customHeight="false" outlineLevel="0" collapsed="false">
      <c r="B29" s="13" t="s">
        <v>1357</v>
      </c>
      <c r="C29" s="21" t="n">
        <f aca="false">SUMIFS('Pharmacy Sales Data'!$H$5:$H$620,'Pharmacy Sales Data'!$B$5:$B$620,"&gt;="&amp;DATE(2025,12,1),'Pharmacy Sales Data'!$B$5:$B$620,"&lt;="&amp;DATE(2025,12,31))</f>
        <v>6230.9</v>
      </c>
      <c r="D29" s="13" t="n">
        <f aca="false">SUMIFS('Pharmacy Sales Data'!$F$5:$F$620,'Pharmacy Sales Data'!$B$5:$B$620,"&gt;="&amp;DATE(2025,12,1),'Pharmacy Sales Data'!$B$5:$B$620,"&lt;="&amp;DATE(2025,12,31))</f>
        <v>141</v>
      </c>
      <c r="E29" s="24" t="n">
        <f aca="false">(C29-C28)/C28</f>
        <v>-0.401448803406734</v>
      </c>
    </row>
    <row r="30" customFormat="false" ht="15" hidden="false" customHeight="false" outlineLevel="0" collapsed="false">
      <c r="B30" s="13" t="s">
        <v>1358</v>
      </c>
      <c r="C30" s="21" t="n">
        <f aca="false">SUMIFS('Pharmacy Sales Data'!$H$5:$H$620,'Pharmacy Sales Data'!$B$5:$B$620,"&gt;="&amp;DATE(2026,1,1),'Pharmacy Sales Data'!$B$5:$B$620,"&lt;="&amp;DATE(2026,1,31))</f>
        <v>8785.45</v>
      </c>
      <c r="D30" s="13" t="n">
        <f aca="false">SUMIFS('Pharmacy Sales Data'!$F$5:$F$620,'Pharmacy Sales Data'!$B$5:$B$620,"&gt;="&amp;DATE(2026,1,1),'Pharmacy Sales Data'!$B$5:$B$620,"&lt;="&amp;DATE(2026,1,31))</f>
        <v>146</v>
      </c>
      <c r="E30" s="24" t="n">
        <f aca="false">(C30-C29)/C29</f>
        <v>0.409980901635398</v>
      </c>
    </row>
    <row r="31" customFormat="false" ht="15" hidden="false" customHeight="false" outlineLevel="0" collapsed="false">
      <c r="B31" s="13" t="s">
        <v>1359</v>
      </c>
      <c r="C31" s="21" t="n">
        <f aca="false">SUMIFS('Pharmacy Sales Data'!$H$5:$H$620,'Pharmacy Sales Data'!$B$5:$B$620,"&gt;="&amp;DATE(2026,2,1),'Pharmacy Sales Data'!$B$5:$B$620,"&lt;="&amp;DATE(2026,2,28))</f>
        <v>9982.32</v>
      </c>
      <c r="D31" s="13" t="n">
        <f aca="false">SUMIFS('Pharmacy Sales Data'!$F$5:$F$620,'Pharmacy Sales Data'!$B$5:$B$620,"&gt;="&amp;DATE(2026,2,1),'Pharmacy Sales Data'!$B$5:$B$620,"&lt;="&amp;DATE(2026,2,28))</f>
        <v>141</v>
      </c>
      <c r="E31" s="24" t="n">
        <f aca="false">(C31-C30)/C30</f>
        <v>0.13623320376304</v>
      </c>
    </row>
    <row r="32" customFormat="false" ht="15" hidden="false" customHeight="false" outlineLevel="0" collapsed="false">
      <c r="B32" s="13" t="s">
        <v>1360</v>
      </c>
      <c r="C32" s="21" t="n">
        <f aca="false">SUMIFS('Pharmacy Sales Data'!$H$5:$H$620,'Pharmacy Sales Data'!$B$5:$B$620,"&gt;="&amp;DATE(2026,3,1),'Pharmacy Sales Data'!$B$5:$B$620,"&lt;="&amp;DATE(2026,3,31))</f>
        <v>12241.83</v>
      </c>
      <c r="D32" s="13" t="n">
        <f aca="false">SUMIFS('Pharmacy Sales Data'!$F$5:$F$620,'Pharmacy Sales Data'!$B$5:$B$620,"&gt;="&amp;DATE(2026,3,1),'Pharmacy Sales Data'!$B$5:$B$620,"&lt;="&amp;DATE(2026,3,31))</f>
        <v>174</v>
      </c>
      <c r="E32" s="24" t="n">
        <f aca="false">(C32-C31)/C31</f>
        <v>0.226351188901979</v>
      </c>
    </row>
    <row r="33" customFormat="false" ht="15" hidden="false" customHeight="false" outlineLevel="0" collapsed="false">
      <c r="B33" s="13" t="s">
        <v>1361</v>
      </c>
      <c r="C33" s="21" t="n">
        <f aca="false">SUMIFS('Pharmacy Sales Data'!$H$5:$H$620,'Pharmacy Sales Data'!$B$5:$B$620,"&gt;="&amp;DATE(2026,4,1),'Pharmacy Sales Data'!$B$5:$B$620,"&lt;="&amp;DATE(2026,4,30))</f>
        <v>10492.72</v>
      </c>
      <c r="D33" s="13" t="n">
        <f aca="false">SUMIFS('Pharmacy Sales Data'!$F$5:$F$620,'Pharmacy Sales Data'!$B$5:$B$620,"&gt;="&amp;DATE(2026,4,1),'Pharmacy Sales Data'!$B$5:$B$620,"&lt;="&amp;DATE(2026,4,30))</f>
        <v>213</v>
      </c>
      <c r="E33" s="24" t="n">
        <f aca="false">(C33-C32)/C32</f>
        <v>-0.142879781862679</v>
      </c>
    </row>
    <row r="34" customFormat="false" ht="15" hidden="false" customHeight="false" outlineLevel="0" collapsed="false">
      <c r="B34" s="13" t="s">
        <v>1362</v>
      </c>
      <c r="C34" s="21" t="n">
        <f aca="false">SUMIFS('Pharmacy Sales Data'!$H$5:$H$620,'Pharmacy Sales Data'!$B$5:$B$620,"&gt;="&amp;DATE(2026,5,1),'Pharmacy Sales Data'!$B$5:$B$620,"&lt;="&amp;DATE(2026,5,31))</f>
        <v>12543.01</v>
      </c>
      <c r="D34" s="13" t="n">
        <f aca="false">SUMIFS('Pharmacy Sales Data'!$F$5:$F$620,'Pharmacy Sales Data'!$B$5:$B$620,"&gt;="&amp;DATE(2026,5,1),'Pharmacy Sales Data'!$B$5:$B$620,"&lt;="&amp;DATE(2026,5,31))</f>
        <v>229</v>
      </c>
      <c r="E34" s="24" t="n">
        <f aca="false">(C34-C33)/C33</f>
        <v>0.19540119244581</v>
      </c>
    </row>
    <row r="35" customFormat="false" ht="15" hidden="false" customHeight="false" outlineLevel="0" collapsed="false">
      <c r="B35" s="13" t="s">
        <v>1363</v>
      </c>
      <c r="C35" s="21" t="n">
        <f aca="false">SUMIFS('Pharmacy Sales Data'!$H$5:$H$620,'Pharmacy Sales Data'!$B$5:$B$620,"&gt;="&amp;DATE(2026,6,1),'Pharmacy Sales Data'!$B$5:$B$620,"&lt;="&amp;DATE(2026,6,30))</f>
        <v>11142.52</v>
      </c>
      <c r="D35" s="13" t="n">
        <f aca="false">SUMIFS('Pharmacy Sales Data'!$F$5:$F$620,'Pharmacy Sales Data'!$B$5:$B$620,"&gt;="&amp;DATE(2026,6,1),'Pharmacy Sales Data'!$B$5:$B$620,"&lt;="&amp;DATE(2026,6,30))</f>
        <v>216</v>
      </c>
      <c r="E35" s="24" t="n">
        <f aca="false">(C35-C34)/C34</f>
        <v>-0.111655017416075</v>
      </c>
    </row>
    <row r="36" customFormat="false" ht="15" hidden="false" customHeight="false" outlineLevel="0" collapsed="false">
      <c r="B36" s="13" t="s">
        <v>1364</v>
      </c>
      <c r="C36" s="21" t="n">
        <f aca="false">SUMIFS('Pharmacy Sales Data'!$H$5:$H$620,'Pharmacy Sales Data'!$B$5:$B$620,"&gt;="&amp;DATE(2026,7,1),'Pharmacy Sales Data'!$B$5:$B$620,"&lt;="&amp;DATE(2026,7,31))</f>
        <v>14877.2</v>
      </c>
      <c r="D36" s="13" t="n">
        <f aca="false">SUMIFS('Pharmacy Sales Data'!$F$5:$F$620,'Pharmacy Sales Data'!$B$5:$B$620,"&gt;="&amp;DATE(2026,7,1),'Pharmacy Sales Data'!$B$5:$B$620,"&lt;="&amp;DATE(2026,7,31))</f>
        <v>231</v>
      </c>
      <c r="E36" s="24" t="n">
        <f aca="false">(C36-C35)/C35</f>
        <v>0.335173730897499</v>
      </c>
    </row>
    <row r="37" customFormat="false" ht="15" hidden="false" customHeight="false" outlineLevel="0" collapsed="false">
      <c r="B37" s="13" t="s">
        <v>1365</v>
      </c>
      <c r="C37" s="21" t="n">
        <f aca="false">SUMIFS('Pharmacy Sales Data'!$H$5:$H$620,'Pharmacy Sales Data'!$B$5:$B$620,"&gt;="&amp;DATE(2026,8,1),'Pharmacy Sales Data'!$B$5:$B$620,"&lt;="&amp;DATE(2026,8,31))</f>
        <v>9385.89</v>
      </c>
      <c r="D37" s="13" t="n">
        <f aca="false">SUMIFS('Pharmacy Sales Data'!$F$5:$F$620,'Pharmacy Sales Data'!$B$5:$B$620,"&gt;="&amp;DATE(2026,8,1),'Pharmacy Sales Data'!$B$5:$B$620,"&lt;="&amp;DATE(2026,8,31))</f>
        <v>182</v>
      </c>
      <c r="E37" s="24" t="n">
        <f aca="false">(C37-C36)/C36</f>
        <v>-0.369109106552308</v>
      </c>
    </row>
    <row r="39" customFormat="false" ht="15" hidden="false" customHeight="false" outlineLevel="0" collapsed="false">
      <c r="B39" s="11" t="s">
        <v>1366</v>
      </c>
      <c r="C39" s="11"/>
      <c r="D39" s="11"/>
      <c r="E39" s="11"/>
      <c r="F39" s="11"/>
    </row>
    <row r="40" customFormat="false" ht="15" hidden="false" customHeight="false" outlineLevel="0" collapsed="false">
      <c r="B40" s="5" t="s">
        <v>1367</v>
      </c>
      <c r="C40" s="5" t="s">
        <v>1346</v>
      </c>
      <c r="D40" s="5" t="s">
        <v>1347</v>
      </c>
      <c r="E40" s="5" t="s">
        <v>1348</v>
      </c>
      <c r="F40" s="5" t="s">
        <v>1368</v>
      </c>
    </row>
    <row r="41" customFormat="false" ht="15" hidden="false" customHeight="false" outlineLevel="0" collapsed="false">
      <c r="B41" s="13" t="s">
        <v>703</v>
      </c>
      <c r="C41" s="13" t="n">
        <f aca="false">SUMIF('Pharmacy Sales Data'!$D$5:$D$620,B41,'Pharmacy Sales Data'!$F$5:$F$620)</f>
        <v>800</v>
      </c>
      <c r="D41" s="21" t="n">
        <f aca="false">SUMIF('Pharmacy Sales Data'!$D$5:$D$620,B41,'Pharmacy Sales Data'!$H$5:$H$620)</f>
        <v>68008.99</v>
      </c>
      <c r="E41" s="14" t="n">
        <f aca="false">D41/$D$22</f>
        <v>0.576919011617274</v>
      </c>
      <c r="F41" s="25" t="n">
        <f aca="false">AVERAGEIF('Pharmacy Sales Data'!$D$5:$D$620,B41,'Pharmacy Sales Data'!$G$5:$G$620)</f>
        <v>88.4380701754386</v>
      </c>
    </row>
    <row r="42" customFormat="false" ht="15" hidden="false" customHeight="false" outlineLevel="0" collapsed="false">
      <c r="B42" s="13" t="s">
        <v>698</v>
      </c>
      <c r="C42" s="13" t="n">
        <f aca="false">SUMIF('Pharmacy Sales Data'!$D$5:$D$620,B42,'Pharmacy Sales Data'!$F$5:$F$620)</f>
        <v>1274</v>
      </c>
      <c r="D42" s="21" t="n">
        <f aca="false">SUMIF('Pharmacy Sales Data'!$D$5:$D$620,B42,'Pharmacy Sales Data'!$H$5:$H$620)</f>
        <v>49874.09</v>
      </c>
      <c r="E42" s="14" t="n">
        <f aca="false">D42/$D$22</f>
        <v>0.423080988382726</v>
      </c>
      <c r="F42" s="25" t="n">
        <f aca="false">AVERAGEIF('Pharmacy Sales Data'!$D$5:$D$620,B42,'Pharmacy Sales Data'!$G$5:$G$620)</f>
        <v>39.1247422680412</v>
      </c>
    </row>
  </sheetData>
  <mergeCells count="3">
    <mergeCell ref="B5:E5"/>
    <mergeCell ref="B24:E24"/>
    <mergeCell ref="B39:F39"/>
  </mergeCells>
  <conditionalFormatting sqref="E27:E37">
    <cfRule type="cellIs" priority="2" operator="greaterThan" aboveAverage="0" equalAverage="0" bottom="0" percent="0" rank="0" text="" dxfId="4">
      <formula>0</formula>
    </cfRule>
    <cfRule type="cellIs" priority="3" operator="lessThan" aboveAverage="0" equalAverage="0" bottom="0" percent="0" rank="0" text="" dxfId="5">
      <formula>0</formula>
    </cfRule>
  </conditionalFormatting>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2026-09-16T04:39:13Z</dcterms:created>
  <dc:creator>openpyxl</dc:creator>
  <dc:description/>
  <dc:language>en-US</dc:language>
  <cp:lastModifiedBy/>
  <dcterms:modified xsi:type="dcterms:W3CDTF">2026-09-16T04:39:15Z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