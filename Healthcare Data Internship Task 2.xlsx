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dha\Downloads\"/>
    </mc:Choice>
  </mc:AlternateContent>
  <xr:revisionPtr revIDLastSave="0" documentId="8_{0B942C77-D5F1-4709-810E-C663278F9D60}" xr6:coauthVersionLast="47" xr6:coauthVersionMax="47" xr10:uidLastSave="{00000000-0000-0000-0000-000000000000}"/>
  <bookViews>
    <workbookView xWindow="-108" yWindow="-108" windowWidth="23256" windowHeight="12456" activeTab="2" xr2:uid="{7F6EEEDF-8885-4999-A783-37F91549BD0C}"/>
  </bookViews>
  <sheets>
    <sheet name="Data" sheetId="1" r:id="rId1"/>
    <sheet name="Analysis Summary" sheetId="2" r:id="rId2"/>
    <sheet name="Sheet2" sheetId="4" r:id="rId3"/>
  </sheets>
  <externalReferences>
    <externalReference r:id="rId4"/>
  </externalReferences>
  <definedNames>
    <definedName name="_xlnm._FilterDatabase" localSheetId="0" hidden="1">Data!$A$1:$I$39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4" l="1"/>
  <c r="D72" i="4"/>
  <c r="D71" i="4"/>
  <c r="D70" i="4"/>
  <c r="D69" i="4"/>
  <c r="D68" i="4"/>
  <c r="D67" i="4"/>
  <c r="D66" i="4"/>
  <c r="D65" i="4"/>
  <c r="D64" i="4"/>
  <c r="D63" i="4"/>
  <c r="D46" i="4"/>
  <c r="D45" i="4"/>
  <c r="D44" i="4"/>
  <c r="C46" i="4"/>
  <c r="C45" i="4"/>
  <c r="C44" i="4"/>
  <c r="D22" i="4"/>
  <c r="D30" i="4"/>
  <c r="C31" i="4"/>
  <c r="D31" i="4" s="1"/>
  <c r="C30" i="4"/>
  <c r="C29" i="4"/>
  <c r="D29" i="4" s="1"/>
  <c r="C28" i="4"/>
  <c r="D28" i="4" s="1"/>
  <c r="C26" i="4"/>
  <c r="D26" i="4" s="1"/>
  <c r="C27" i="4"/>
  <c r="D27" i="4" s="1"/>
  <c r="C25" i="4"/>
  <c r="D25" i="4" s="1"/>
  <c r="C24" i="4"/>
  <c r="D24" i="4" s="1"/>
  <c r="C23" i="4"/>
  <c r="D23" i="4" s="1"/>
  <c r="C22" i="4"/>
  <c r="D21" i="2"/>
  <c r="C18" i="4"/>
  <c r="C17" i="4"/>
  <c r="C16" i="4"/>
  <c r="C15" i="4"/>
  <c r="C14" i="4"/>
  <c r="C13" i="4"/>
  <c r="C12" i="4"/>
  <c r="C11" i="4"/>
  <c r="C10" i="4"/>
  <c r="C9" i="4"/>
  <c r="C8" i="4"/>
  <c r="C7" i="4"/>
  <c r="C21" i="2"/>
  <c r="D46" i="2"/>
  <c r="D45" i="2"/>
  <c r="D44" i="2"/>
  <c r="D43" i="2"/>
  <c r="D42" i="2"/>
  <c r="D41" i="2"/>
  <c r="D40" i="2"/>
  <c r="D39" i="2"/>
  <c r="D36" i="2"/>
  <c r="D37" i="2"/>
  <c r="D38" i="2"/>
  <c r="C46" i="2"/>
  <c r="C45" i="2"/>
  <c r="C44" i="2"/>
  <c r="C43" i="2"/>
  <c r="C42" i="2"/>
  <c r="C41" i="2"/>
  <c r="C40" i="2"/>
  <c r="C39" i="2"/>
  <c r="C38" i="2"/>
  <c r="C37" i="2"/>
  <c r="C36" i="2"/>
  <c r="E25" i="2"/>
  <c r="E26" i="2"/>
  <c r="E27" i="2"/>
  <c r="E28" i="2"/>
  <c r="E29" i="2"/>
  <c r="E30" i="2"/>
  <c r="E31" i="2"/>
  <c r="E32" i="2"/>
  <c r="E24" i="2"/>
  <c r="E23" i="2"/>
  <c r="E22" i="2"/>
  <c r="E21" i="2"/>
  <c r="D27" i="2"/>
  <c r="D24" i="2"/>
  <c r="C32" i="2"/>
  <c r="D32" i="2" s="1"/>
  <c r="C22" i="2"/>
  <c r="D22" i="2" s="1"/>
  <c r="C31" i="2"/>
  <c r="D31" i="2" s="1"/>
  <c r="C30" i="2"/>
  <c r="D30" i="2" s="1"/>
  <c r="C29" i="2"/>
  <c r="D29" i="2" s="1"/>
  <c r="C28" i="2"/>
  <c r="D28" i="2" s="1"/>
  <c r="C27" i="2"/>
  <c r="C26" i="2"/>
  <c r="D26" i="2" s="1"/>
  <c r="C25" i="2"/>
  <c r="D25" i="2" s="1"/>
  <c r="C24" i="2"/>
  <c r="C23" i="2"/>
  <c r="D23" i="2" s="1"/>
  <c r="C17" i="2"/>
  <c r="D17" i="2" s="1"/>
  <c r="C16" i="2"/>
  <c r="D16" i="2" s="1"/>
  <c r="C15" i="2"/>
  <c r="D15" i="2" s="1"/>
  <c r="C10" i="2"/>
  <c r="C11" i="2"/>
  <c r="C9" i="2"/>
  <c r="C8" i="2"/>
  <c r="C7" i="2"/>
  <c r="C6" i="2"/>
</calcChain>
</file>

<file path=xl/sharedStrings.xml><?xml version="1.0" encoding="utf-8"?>
<sst xmlns="http://schemas.openxmlformats.org/spreadsheetml/2006/main" count="338" uniqueCount="150">
  <si>
    <t>Age</t>
  </si>
  <si>
    <t>Gender</t>
  </si>
  <si>
    <t>Disease</t>
  </si>
  <si>
    <t>Medication</t>
  </si>
  <si>
    <t>PatientID</t>
  </si>
  <si>
    <t>Name</t>
  </si>
  <si>
    <t>Dosage_mg</t>
  </si>
  <si>
    <t>Duplicate_Flag</t>
  </si>
  <si>
    <t>Abhishek Sharma</t>
  </si>
  <si>
    <t>Yashasvi Gupta</t>
  </si>
  <si>
    <t>Virat Sharma</t>
  </si>
  <si>
    <t>Mahi Saxena</t>
  </si>
  <si>
    <t>Surya Yadav</t>
  </si>
  <si>
    <t>Shubhman Singh</t>
  </si>
  <si>
    <t>Jasprit Singh</t>
  </si>
  <si>
    <t>Kuldeep Gupta</t>
  </si>
  <si>
    <t>Anushka Sharma</t>
  </si>
  <si>
    <t>Female</t>
  </si>
  <si>
    <t>Male</t>
  </si>
  <si>
    <t>Arthritis</t>
  </si>
  <si>
    <t>Diabetes</t>
  </si>
  <si>
    <t>Flu</t>
  </si>
  <si>
    <t>Fever</t>
  </si>
  <si>
    <t>Hypertension</t>
  </si>
  <si>
    <t>Migraine</t>
  </si>
  <si>
    <t>Asthma</t>
  </si>
  <si>
    <t>Obesity</t>
  </si>
  <si>
    <t>Ibuprofen</t>
  </si>
  <si>
    <t>Metformin</t>
  </si>
  <si>
    <t>Paracetamol</t>
  </si>
  <si>
    <t>Amlodipine</t>
  </si>
  <si>
    <t>Sumatriptan</t>
  </si>
  <si>
    <t>Salbutamol</t>
  </si>
  <si>
    <t>Orlistat</t>
  </si>
  <si>
    <t>Unique</t>
  </si>
  <si>
    <t>Duplicate</t>
  </si>
  <si>
    <t>PT0137</t>
  </si>
  <si>
    <t>PT0035</t>
  </si>
  <si>
    <t>PT0214</t>
  </si>
  <si>
    <t>PT0088</t>
  </si>
  <si>
    <t>PT0198</t>
  </si>
  <si>
    <t>PT0002</t>
  </si>
  <si>
    <t>PT0142</t>
  </si>
  <si>
    <t>PT0150</t>
  </si>
  <si>
    <t>PT0074</t>
  </si>
  <si>
    <t>PT0095</t>
  </si>
  <si>
    <t>PT0011</t>
  </si>
  <si>
    <t>PT0015</t>
  </si>
  <si>
    <t>PT0182</t>
  </si>
  <si>
    <t>PT0203</t>
  </si>
  <si>
    <t>PT0032</t>
  </si>
  <si>
    <t>PT0151</t>
  </si>
  <si>
    <t>PT0069</t>
  </si>
  <si>
    <t>PT0144</t>
  </si>
  <si>
    <t>PT0108</t>
  </si>
  <si>
    <t>PT0218</t>
  </si>
  <si>
    <t>PT0162</t>
  </si>
  <si>
    <t>PT0202</t>
  </si>
  <si>
    <t>PT0055</t>
  </si>
  <si>
    <t>PT0160</t>
  </si>
  <si>
    <t>PT0037</t>
  </si>
  <si>
    <t>PT0084</t>
  </si>
  <si>
    <t>PT0057</t>
  </si>
  <si>
    <t>PT0225</t>
  </si>
  <si>
    <t>PT0208</t>
  </si>
  <si>
    <t>Rohit Nair</t>
  </si>
  <si>
    <t>Alok Mishra</t>
  </si>
  <si>
    <t>Vinod Chauhan</t>
  </si>
  <si>
    <t>Payal Shukla</t>
  </si>
  <si>
    <t>Sanjay Shukla</t>
  </si>
  <si>
    <t>Priya Gupta</t>
  </si>
  <si>
    <t>Ritu Pandey</t>
  </si>
  <si>
    <t>Suresh Joshi</t>
  </si>
  <si>
    <t>Sarita Reddy</t>
  </si>
  <si>
    <t>Preeti Agarwal</t>
  </si>
  <si>
    <t>Gopal Rao</t>
  </si>
  <si>
    <t>Arjun Rathore</t>
  </si>
  <si>
    <t>Lata Sharma</t>
  </si>
  <si>
    <t>Usha Verma</t>
  </si>
  <si>
    <t>Gopal Singh</t>
  </si>
  <si>
    <t>Swati Verma</t>
  </si>
  <si>
    <t>Karan Kumar</t>
  </si>
  <si>
    <t>Ramesh Reddy</t>
  </si>
  <si>
    <t>Divya Kumar</t>
  </si>
  <si>
    <t>Swati Choudhary</t>
  </si>
  <si>
    <t>Pooja Rao</t>
  </si>
  <si>
    <t>Suman Choudhary</t>
  </si>
  <si>
    <t>Dinesh Yadav</t>
  </si>
  <si>
    <t>Sarita Rao</t>
  </si>
  <si>
    <t>Nisha Nair</t>
  </si>
  <si>
    <t>Ritu Verma</t>
  </si>
  <si>
    <t>Arjun Yadav</t>
  </si>
  <si>
    <t>Usha Joshi</t>
  </si>
  <si>
    <t>Depression</t>
  </si>
  <si>
    <t>Bronchitis</t>
  </si>
  <si>
    <t>Thyroid disorder</t>
  </si>
  <si>
    <t xml:space="preserve">Paracetamol  </t>
  </si>
  <si>
    <t>Azithromycin</t>
  </si>
  <si>
    <t xml:space="preserve">Metformin  </t>
  </si>
  <si>
    <t xml:space="preserve">Sumatriptan  </t>
  </si>
  <si>
    <t>Ferrous Sulfate</t>
  </si>
  <si>
    <t xml:space="preserve">Sertraline </t>
  </si>
  <si>
    <t>PT0101</t>
  </si>
  <si>
    <t>PT0136</t>
  </si>
  <si>
    <t>PT0145</t>
  </si>
  <si>
    <t>PT0859</t>
  </si>
  <si>
    <t>PT0853</t>
  </si>
  <si>
    <t>PT0256</t>
  </si>
  <si>
    <t>PT0654</t>
  </si>
  <si>
    <t>PT0156</t>
  </si>
  <si>
    <t>PT0146</t>
  </si>
  <si>
    <t>Analysis Summary</t>
  </si>
  <si>
    <t>Overview</t>
  </si>
  <si>
    <t>Total Patients</t>
  </si>
  <si>
    <t>Average Age (yrs)</t>
  </si>
  <si>
    <t>Median Age (yrs)</t>
  </si>
  <si>
    <t>Youngest Patient (yrs)</t>
  </si>
  <si>
    <t>Oldest Patient (yrs)</t>
  </si>
  <si>
    <t>Average Dosage (mg)</t>
  </si>
  <si>
    <t>Gender Distribution</t>
  </si>
  <si>
    <t>Patient Count</t>
  </si>
  <si>
    <t>% of Total</t>
  </si>
  <si>
    <t xml:space="preserve">Female </t>
  </si>
  <si>
    <t>Unknown</t>
  </si>
  <si>
    <t>Most Common Diseases</t>
  </si>
  <si>
    <t>Avg. Age of Patients</t>
  </si>
  <si>
    <t>Thyroid Disorder</t>
  </si>
  <si>
    <t>Anemia</t>
  </si>
  <si>
    <t>Sertraline</t>
  </si>
  <si>
    <t>Times Prescribed</t>
  </si>
  <si>
    <t>Avg. Dosage(mg)</t>
  </si>
  <si>
    <t>Levothyroxine</t>
  </si>
  <si>
    <t xml:space="preserve">Basic Anaylsis of the Data  </t>
  </si>
  <si>
    <t>Data Visualizations</t>
  </si>
  <si>
    <t>Disease distrbution, age distribition, gender ratio &amp; medication usage - Data</t>
  </si>
  <si>
    <t>Disease Distribution</t>
  </si>
  <si>
    <t>Age Distribution</t>
  </si>
  <si>
    <t>Age Range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</si>
  <si>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</si>
  <si>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</si>
  <si>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</si>
  <si>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</si>
  <si>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</si>
  <si>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</si>
  <si>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</si>
  <si>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</si>
  <si>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</si>
  <si>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</si>
  <si>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Gender Ratio</t>
  </si>
  <si>
    <t>Medication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</si>
</sst>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6"/>
      <color theme="8" tint="-0.249977111117893"/>
      <name val="Arial"/>
      <family val="2"/>
    </font>
    <font>
      <b/>
      <sz val="16"/>
      <color theme="8"/>
      <name val="Arial Black"/>
      <family val="2"/>
    </font>
    <font>
      <i/>
      <sz val="11"/>
      <color theme="1"/>
      <name val="Arial"/>
      <family val="2"/>
    </font>
    <font>
      <b/>
      <sz val="11"/>
      <color theme="2"/>
      <name val="Arial"/>
      <family val="2"/>
    </font>
    <font>
      <b/>
      <sz val="12"/>
      <color theme="2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6"/>
      <color theme="8" tint="-0.499984740745262"/>
      <name val="Arial"/>
      <family val="2"/>
    </font>
    <font>
      <b/>
      <i/>
      <sz val="11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86A6"/>
        <bgColor rgb="FF4F81B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9" fillId="3" borderId="0" xfId="0" applyFont="1" applyFill="1"/>
    <xf numFmtId="1" fontId="4" fillId="0" borderId="0" xfId="0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0" fillId="4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1" fillId="5" borderId="0" xfId="0" applyFont="1" applyFill="1"/>
    <xf numFmtId="9" fontId="0" fillId="0" borderId="0" xfId="1" applyFont="1" applyAlignment="1">
      <alignment horizontal="center"/>
    </xf>
    <xf numFmtId="9" fontId="10" fillId="4" borderId="0" xfId="1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0" fillId="6" borderId="0" xfId="0" applyFill="1"/>
    <xf numFmtId="0" fontId="11" fillId="6" borderId="0" xfId="0" applyFont="1" applyFill="1"/>
    <xf numFmtId="0" fontId="0" fillId="6" borderId="0" xfId="0" applyFill="1" applyAlignment="1">
      <alignment horizontal="center"/>
    </xf>
    <xf numFmtId="10" fontId="0" fillId="0" borderId="0" xfId="0" applyNumberFormat="1"/>
    <xf numFmtId="9" fontId="0" fillId="0" borderId="0" xfId="1" applyFont="1"/>
    <xf numFmtId="49" fontId="0" fillId="0" borderId="0" xfId="0" applyNumberFormat="1"/>
    <xf numFmtId="0" fontId="0" fillId="0" borderId="0" xfId="0" applyNumberFormat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Anemia</c:v>
              </c:pt>
              <c:pt idx="1">
                <c:v>Arthritis</c:v>
              </c:pt>
              <c:pt idx="2">
                <c:v>Asthma</c:v>
              </c:pt>
              <c:pt idx="3">
                <c:v>Bronchitis</c:v>
              </c:pt>
              <c:pt idx="4">
                <c:v>Depression</c:v>
              </c:pt>
              <c:pt idx="5">
                <c:v>Diabetes</c:v>
              </c:pt>
              <c:pt idx="6">
                <c:v>Fever</c:v>
              </c:pt>
              <c:pt idx="7">
                <c:v>Flu</c:v>
              </c:pt>
              <c:pt idx="8">
                <c:v>Hypertension</c:v>
              </c:pt>
              <c:pt idx="9">
                <c:v>Migraine</c:v>
              </c:pt>
              <c:pt idx="10">
                <c:v>Obesity</c:v>
              </c:pt>
              <c:pt idx="11">
                <c:v>Thyroid Disorder</c:v>
              </c:pt>
            </c:strLit>
          </c:cat>
          <c:val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1</c:v>
              </c:pt>
              <c:pt idx="4">
                <c:v>2</c:v>
              </c:pt>
              <c:pt idx="5">
                <c:v>10</c:v>
              </c:pt>
              <c:pt idx="6">
                <c:v>1</c:v>
              </c:pt>
              <c:pt idx="7">
                <c:v>2</c:v>
              </c:pt>
              <c:pt idx="8">
                <c:v>8</c:v>
              </c:pt>
              <c:pt idx="9">
                <c:v>4</c:v>
              </c:pt>
              <c:pt idx="10">
                <c:v>3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4B9-49B6-BFC6-E07AE8256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281199"/>
        <c:axId val="1102545584"/>
      </c:barChart>
      <c:catAx>
        <c:axId val="1792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45584"/>
        <c:crosses val="autoZero"/>
        <c:auto val="1"/>
        <c:lblAlgn val="ctr"/>
        <c:lblOffset val="100"/>
        <c:noMultiLvlLbl val="0"/>
      </c:catAx>
      <c:valAx>
        <c:axId val="11025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Sheet2!$C$20:$C$21</c:f>
              <c:strCache>
                <c:ptCount val="2"/>
                <c:pt idx="0">
                  <c:v>Age Distribution</c:v>
                </c:pt>
                <c:pt idx="1">
                  <c:v>Patient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Sheet2!$A$22:$B$32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Sheet2!$C$22:$C$32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2-40D0-B919-B334762EFF36}"/>
            </c:ext>
          </c:extLst>
        </c:ser>
        <c:ser>
          <c:idx val="1"/>
          <c:order val="1"/>
          <c:tx>
            <c:strRef>
              <c:f>Sheet2!$D$20:$D$21</c:f>
              <c:strCache>
                <c:ptCount val="2"/>
                <c:pt idx="0">
                  <c:v>Age Distribution</c:v>
                </c:pt>
                <c:pt idx="1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Sheet2!$A$22:$B$32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Sheet2!$D$22:$D$32</c:f>
              <c:numCache>
                <c:formatCode>0%</c:formatCode>
                <c:ptCount val="11"/>
                <c:pt idx="0">
                  <c:v>2.6315789473684209E-2</c:v>
                </c:pt>
                <c:pt idx="1">
                  <c:v>0</c:v>
                </c:pt>
                <c:pt idx="2">
                  <c:v>0.10526315789473684</c:v>
                </c:pt>
                <c:pt idx="3">
                  <c:v>0.26315789473684209</c:v>
                </c:pt>
                <c:pt idx="4">
                  <c:v>0.21052631578947367</c:v>
                </c:pt>
                <c:pt idx="5">
                  <c:v>0.31578947368421051</c:v>
                </c:pt>
                <c:pt idx="6">
                  <c:v>5.2631578947368418E-2</c:v>
                </c:pt>
                <c:pt idx="7">
                  <c:v>2.6315789473684209E-2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2-40D0-B919-B334762E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363455"/>
        <c:axId val="1102588304"/>
      </c:barChart>
      <c:catAx>
        <c:axId val="4173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88304"/>
        <c:crosses val="autoZero"/>
        <c:auto val="1"/>
        <c:lblAlgn val="ctr"/>
        <c:lblOffset val="100"/>
        <c:noMultiLvlLbl val="0"/>
      </c:catAx>
      <c:valAx>
        <c:axId val="110258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Sheet2!$D$43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Sheet2!$A$44:$A$48</c:f>
              <c:numCache>
                <c:formatCode>General</c:formatCode>
                <c:ptCount val="5"/>
              </c:numCache>
            </c:numRef>
          </c:cat>
          <c:val>
            <c:numRef>
              <c:f>Sheet2!$D$44:$D$48</c:f>
              <c:numCache>
                <c:formatCode>0%</c:formatCode>
                <c:ptCount val="5"/>
                <c:pt idx="0" formatCode="0.00%">
                  <c:v>0.47368421052631576</c:v>
                </c:pt>
                <c:pt idx="1">
                  <c:v>0.42105263157894735</c:v>
                </c:pt>
                <c:pt idx="2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F-48EA-8025-65106AF290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Sheet2!$B$43</c15:sqref>
                        </c15:formulaRef>
                      </c:ext>
                    </c:extLst>
                    <c:strCache>
                      <c:ptCount val="1"/>
                      <c:pt idx="0">
                        <c:v>Gender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Sheet2!$A$44:$A$48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Sheet2!$B$44:$B$48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87F-48EA-8025-65106AF290B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Sheet2!$C$43</c15:sqref>
                        </c15:formulaRef>
                      </c:ext>
                    </c:extLst>
                    <c:strCache>
                      <c:ptCount val="1"/>
                      <c:pt idx="0">
                        <c:v>Patient Count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Sheet2!$A$44:$A$48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Sheet2!$C$44:$C$48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</c:v>
                      </c:pt>
                      <c:pt idx="1">
                        <c:v>16</c:v>
                      </c:pt>
                      <c:pt idx="2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87F-48EA-8025-65106AF290B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Sheet2!$A$63:$B$74</c:f>
              <c:strCache>
                <c:ptCount val="11"/>
                <c:pt idx="0">
                  <c:v>Amlodipine</c:v>
                </c:pt>
                <c:pt idx="1">
                  <c:v>Metformin</c:v>
                </c:pt>
                <c:pt idx="2">
                  <c:v>Paracetamol</c:v>
                </c:pt>
                <c:pt idx="3">
                  <c:v>Ibuprofen</c:v>
                </c:pt>
                <c:pt idx="4">
                  <c:v>Ferrous Sulfate</c:v>
                </c:pt>
                <c:pt idx="5">
                  <c:v>Orlistat</c:v>
                </c:pt>
                <c:pt idx="6">
                  <c:v>Salbutamol</c:v>
                </c:pt>
                <c:pt idx="7">
                  <c:v>Sertraline</c:v>
                </c:pt>
                <c:pt idx="8">
                  <c:v>Sumatriptan</c:v>
                </c:pt>
                <c:pt idx="9">
                  <c:v>Levothyroxine</c:v>
                </c:pt>
                <c:pt idx="10">
                  <c:v>Azithromycin</c:v>
                </c:pt>
              </c:strCache>
            </c:strRef>
          </c:cat>
          <c:val>
            <c:numRef>
              <c:f>Sheet2!$C$63:$C$74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4732-B890-7A836AD941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Sheet2!$A$63:$B$74</c:f>
              <c:strCache>
                <c:ptCount val="11"/>
                <c:pt idx="0">
                  <c:v>Amlodipine</c:v>
                </c:pt>
                <c:pt idx="1">
                  <c:v>Metformin</c:v>
                </c:pt>
                <c:pt idx="2">
                  <c:v>Paracetamol</c:v>
                </c:pt>
                <c:pt idx="3">
                  <c:v>Ibuprofen</c:v>
                </c:pt>
                <c:pt idx="4">
                  <c:v>Ferrous Sulfate</c:v>
                </c:pt>
                <c:pt idx="5">
                  <c:v>Orlistat</c:v>
                </c:pt>
                <c:pt idx="6">
                  <c:v>Salbutamol</c:v>
                </c:pt>
                <c:pt idx="7">
                  <c:v>Sertraline</c:v>
                </c:pt>
                <c:pt idx="8">
                  <c:v>Sumatriptan</c:v>
                </c:pt>
                <c:pt idx="9">
                  <c:v>Levothyroxine</c:v>
                </c:pt>
                <c:pt idx="10">
                  <c:v>Azithromycin</c:v>
                </c:pt>
              </c:strCache>
            </c:strRef>
          </c:cat>
          <c:val>
            <c:numRef>
              <c:f>Sheet2!$D$63:$D$74</c:f>
              <c:numCache>
                <c:formatCode>0%</c:formatCode>
                <c:ptCount val="12"/>
                <c:pt idx="0">
                  <c:v>0.21052631578947367</c:v>
                </c:pt>
                <c:pt idx="1">
                  <c:v>0.18421052631578946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2.6315789473684209E-2</c:v>
                </c:pt>
                <c:pt idx="5">
                  <c:v>7.8947368421052627E-2</c:v>
                </c:pt>
                <c:pt idx="6">
                  <c:v>7.8947368421052627E-2</c:v>
                </c:pt>
                <c:pt idx="7">
                  <c:v>2.6315789473684209E-2</c:v>
                </c:pt>
                <c:pt idx="8">
                  <c:v>7.8947368421052627E-2</c:v>
                </c:pt>
                <c:pt idx="9">
                  <c:v>2.6315789473684209E-2</c:v>
                </c:pt>
                <c:pt idx="10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6-4732-B890-7A836AD9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457647"/>
        <c:axId val="1102482224"/>
      </c:barChart>
      <c:catAx>
        <c:axId val="41745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2224"/>
        <c:crosses val="autoZero"/>
        <c:auto val="1"/>
        <c:lblAlgn val="ctr"/>
        <c:lblOffset val="100"/>
        <c:noMultiLvlLbl val="0"/>
      </c:catAx>
      <c:valAx>
        <c:axId val="11024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5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4</xdr:row>
      <xdr:rowOff>64770</xdr:rowOff>
    </xdr:from>
    <xdr:to>
      <xdr:col>14</xdr:col>
      <xdr:colOff>274320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D56F2-F62C-B6A8-364B-76A96BB29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814916</xdr:colOff>
      <xdr:row>23</xdr:row>
      <xdr:rowOff>21167</xdr:rowOff>
    </xdr:from>
    <xdr:to>
      <xdr:col>14</xdr:col>
      <xdr:colOff>391582</xdr:colOff>
      <xdr:row>40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7E660D-1E9E-9580-8C36-2B6BFFFCE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963084</xdr:colOff>
      <xdr:row>42</xdr:row>
      <xdr:rowOff>152401</xdr:rowOff>
    </xdr:from>
    <xdr:to>
      <xdr:col>12</xdr:col>
      <xdr:colOff>52917</xdr:colOff>
      <xdr:row>58</xdr:row>
      <xdr:rowOff>16934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F4543D-ACF9-6E8C-87F4-1F133A1EF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275166</xdr:colOff>
      <xdr:row>61</xdr:row>
      <xdr:rowOff>21166</xdr:rowOff>
    </xdr:from>
    <xdr:to>
      <xdr:col>14</xdr:col>
      <xdr:colOff>317499</xdr:colOff>
      <xdr:row>80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551CE7-EEF3-8A09-D366-8105EAB8B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D484-EE50-4B29-A200-BCD1E01A8083}">
  <dimension ref="A1:I39"/>
  <sheetViews>
    <sheetView topLeftCell="A27" zoomScaleNormal="100" workbookViewId="0">
      <selection activeCell="F48" sqref="F48"/>
    </sheetView>
  </sheetViews>
  <sheetFormatPr defaultRowHeight="14.4" x14ac:dyDescent="0.3"/>
  <cols>
    <col min="1" max="1" width="15.5546875" style="2" customWidth="1"/>
    <col min="2" max="2" width="18.77734375" style="2" customWidth="1"/>
    <col min="3" max="3" width="20.33203125" style="8" customWidth="1"/>
    <col min="4" max="4" width="8.88671875" style="2"/>
    <col min="5" max="5" width="18.5546875" style="2" customWidth="1"/>
    <col min="6" max="6" width="20.109375" style="2" customWidth="1"/>
    <col min="7" max="7" width="28.77734375" style="5" customWidth="1"/>
    <col min="8" max="8" width="23" style="8" customWidth="1"/>
    <col min="9" max="9" width="21" style="9" customWidth="1"/>
    <col min="10" max="10" width="21" customWidth="1"/>
  </cols>
  <sheetData>
    <row r="1" spans="1:9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>
        <v>1</v>
      </c>
      <c r="I1" s="4" t="s">
        <v>7</v>
      </c>
    </row>
    <row r="2" spans="1:9" x14ac:dyDescent="0.3">
      <c r="A2" s="2" t="s">
        <v>102</v>
      </c>
      <c r="B2" s="2" t="s">
        <v>8</v>
      </c>
      <c r="C2" s="8">
        <v>29</v>
      </c>
      <c r="D2" s="2" t="s">
        <v>18</v>
      </c>
      <c r="E2" s="2" t="s">
        <v>19</v>
      </c>
      <c r="F2" s="2" t="s">
        <v>27</v>
      </c>
      <c r="G2" s="5">
        <v>235</v>
      </c>
      <c r="H2" s="7">
        <v>46227</v>
      </c>
      <c r="I2" s="9" t="s">
        <v>34</v>
      </c>
    </row>
    <row r="3" spans="1:9" x14ac:dyDescent="0.3">
      <c r="A3" s="2" t="s">
        <v>103</v>
      </c>
      <c r="B3" s="2" t="s">
        <v>9</v>
      </c>
      <c r="C3" s="8">
        <v>38</v>
      </c>
      <c r="D3" s="2" t="s">
        <v>18</v>
      </c>
      <c r="E3" s="2" t="s">
        <v>20</v>
      </c>
      <c r="F3" s="2" t="s">
        <v>28</v>
      </c>
      <c r="G3" s="5">
        <v>970</v>
      </c>
      <c r="H3" s="7">
        <v>46228</v>
      </c>
      <c r="I3" s="9" t="s">
        <v>34</v>
      </c>
    </row>
    <row r="4" spans="1:9" x14ac:dyDescent="0.3">
      <c r="A4" s="2" t="s">
        <v>104</v>
      </c>
      <c r="B4" s="2" t="s">
        <v>10</v>
      </c>
      <c r="C4" s="8">
        <v>32</v>
      </c>
      <c r="D4" s="2" t="s">
        <v>18</v>
      </c>
      <c r="E4" s="2" t="s">
        <v>21</v>
      </c>
      <c r="F4" s="2" t="s">
        <v>29</v>
      </c>
      <c r="G4" s="5">
        <v>500</v>
      </c>
      <c r="H4" s="7">
        <v>46237</v>
      </c>
      <c r="I4" s="9" t="s">
        <v>34</v>
      </c>
    </row>
    <row r="5" spans="1:9" x14ac:dyDescent="0.3">
      <c r="A5" s="2" t="s">
        <v>105</v>
      </c>
      <c r="B5" s="2" t="s">
        <v>11</v>
      </c>
      <c r="C5" s="8">
        <v>54</v>
      </c>
      <c r="D5" s="2" t="s">
        <v>17</v>
      </c>
      <c r="E5" s="2" t="s">
        <v>22</v>
      </c>
      <c r="F5" s="2" t="s">
        <v>29</v>
      </c>
      <c r="G5" s="5">
        <v>500</v>
      </c>
      <c r="H5" s="7">
        <v>46244</v>
      </c>
      <c r="I5" s="9" t="s">
        <v>34</v>
      </c>
    </row>
    <row r="6" spans="1:9" x14ac:dyDescent="0.3">
      <c r="A6" s="2" t="s">
        <v>106</v>
      </c>
      <c r="B6" s="2" t="s">
        <v>12</v>
      </c>
      <c r="C6" s="8">
        <v>43</v>
      </c>
      <c r="D6" s="2" t="s">
        <v>18</v>
      </c>
      <c r="E6" s="2" t="s">
        <v>23</v>
      </c>
      <c r="F6" s="2" t="s">
        <v>30</v>
      </c>
      <c r="G6" s="5">
        <v>5</v>
      </c>
      <c r="H6" s="7">
        <v>46246</v>
      </c>
      <c r="I6" s="9" t="s">
        <v>35</v>
      </c>
    </row>
    <row r="7" spans="1:9" x14ac:dyDescent="0.3">
      <c r="A7" s="2" t="s">
        <v>107</v>
      </c>
      <c r="B7" s="2" t="s">
        <v>13</v>
      </c>
      <c r="C7" s="8">
        <v>63</v>
      </c>
      <c r="D7" s="2" t="s">
        <v>18</v>
      </c>
      <c r="E7" s="2" t="s">
        <v>24</v>
      </c>
      <c r="F7" s="2" t="s">
        <v>31</v>
      </c>
      <c r="G7" s="5">
        <v>75</v>
      </c>
      <c r="H7" s="7">
        <v>46248</v>
      </c>
      <c r="I7" s="9" t="s">
        <v>34</v>
      </c>
    </row>
    <row r="8" spans="1:9" x14ac:dyDescent="0.3">
      <c r="A8" s="2" t="s">
        <v>108</v>
      </c>
      <c r="B8" s="2" t="s">
        <v>14</v>
      </c>
      <c r="C8" s="8">
        <v>44</v>
      </c>
      <c r="D8" s="2" t="s">
        <v>18</v>
      </c>
      <c r="E8" s="2" t="s">
        <v>25</v>
      </c>
      <c r="F8" s="2" t="s">
        <v>32</v>
      </c>
      <c r="G8" s="5">
        <v>145</v>
      </c>
      <c r="H8" s="7">
        <v>46249</v>
      </c>
      <c r="I8" s="9" t="s">
        <v>35</v>
      </c>
    </row>
    <row r="9" spans="1:9" x14ac:dyDescent="0.3">
      <c r="A9" s="2" t="s">
        <v>109</v>
      </c>
      <c r="B9" s="2" t="s">
        <v>16</v>
      </c>
      <c r="C9" s="8">
        <v>26</v>
      </c>
      <c r="D9" s="2" t="s">
        <v>17</v>
      </c>
      <c r="E9" s="2" t="s">
        <v>26</v>
      </c>
      <c r="F9" s="2" t="s">
        <v>33</v>
      </c>
      <c r="G9" s="5">
        <v>95</v>
      </c>
      <c r="H9" s="7">
        <v>46258</v>
      </c>
      <c r="I9" s="9" t="s">
        <v>34</v>
      </c>
    </row>
    <row r="10" spans="1:9" x14ac:dyDescent="0.3">
      <c r="A10" s="2" t="s">
        <v>110</v>
      </c>
      <c r="B10" s="2" t="s">
        <v>15</v>
      </c>
      <c r="C10" s="8">
        <v>33</v>
      </c>
      <c r="D10" s="2" t="s">
        <v>18</v>
      </c>
      <c r="E10" s="2" t="s">
        <v>20</v>
      </c>
      <c r="F10" s="2" t="s">
        <v>28</v>
      </c>
      <c r="G10" s="5">
        <v>740</v>
      </c>
      <c r="H10" s="7">
        <v>46259</v>
      </c>
      <c r="I10" s="9" t="s">
        <v>34</v>
      </c>
    </row>
    <row r="11" spans="1:9" x14ac:dyDescent="0.3">
      <c r="A11" s="3" t="s">
        <v>36</v>
      </c>
      <c r="B11" s="3" t="s">
        <v>65</v>
      </c>
      <c r="C11" s="15">
        <v>58</v>
      </c>
      <c r="D11" s="2" t="s">
        <v>18</v>
      </c>
      <c r="E11" s="3" t="s">
        <v>19</v>
      </c>
      <c r="F11" s="3" t="s">
        <v>27</v>
      </c>
      <c r="G11" s="6">
        <v>320</v>
      </c>
      <c r="H11" s="7">
        <v>46260</v>
      </c>
      <c r="I11" s="9" t="s">
        <v>34</v>
      </c>
    </row>
    <row r="12" spans="1:9" x14ac:dyDescent="0.3">
      <c r="A12" s="3" t="s">
        <v>37</v>
      </c>
      <c r="B12" s="3" t="s">
        <v>66</v>
      </c>
      <c r="C12" s="15">
        <v>55</v>
      </c>
      <c r="D12" s="2" t="s">
        <v>18</v>
      </c>
      <c r="E12" s="2" t="s">
        <v>20</v>
      </c>
      <c r="F12" s="3" t="s">
        <v>28</v>
      </c>
      <c r="G12" s="6">
        <v>755</v>
      </c>
      <c r="H12" s="7">
        <v>46261</v>
      </c>
      <c r="I12" s="9" t="s">
        <v>34</v>
      </c>
    </row>
    <row r="13" spans="1:9" x14ac:dyDescent="0.3">
      <c r="A13" s="3" t="s">
        <v>38</v>
      </c>
      <c r="B13" s="3" t="s">
        <v>67</v>
      </c>
      <c r="C13" s="15">
        <v>50</v>
      </c>
      <c r="D13" s="2" t="s">
        <v>18</v>
      </c>
      <c r="E13" s="3" t="s">
        <v>93</v>
      </c>
      <c r="F13" s="3" t="s">
        <v>128</v>
      </c>
      <c r="G13" s="6">
        <v>75</v>
      </c>
      <c r="H13" s="7">
        <v>46262</v>
      </c>
      <c r="I13" s="9" t="s">
        <v>34</v>
      </c>
    </row>
    <row r="14" spans="1:9" x14ac:dyDescent="0.3">
      <c r="A14" s="3" t="s">
        <v>39</v>
      </c>
      <c r="B14" s="3" t="s">
        <v>68</v>
      </c>
      <c r="C14" s="15">
        <v>58</v>
      </c>
      <c r="D14" s="2" t="s">
        <v>17</v>
      </c>
      <c r="E14" s="2" t="s">
        <v>20</v>
      </c>
      <c r="F14" s="3" t="s">
        <v>28</v>
      </c>
      <c r="G14" s="6">
        <v>765</v>
      </c>
      <c r="H14" s="7">
        <v>46262</v>
      </c>
      <c r="I14" s="9" t="s">
        <v>34</v>
      </c>
    </row>
    <row r="15" spans="1:9" x14ac:dyDescent="0.3">
      <c r="A15" s="3" t="s">
        <v>40</v>
      </c>
      <c r="B15" s="3" t="s">
        <v>69</v>
      </c>
      <c r="C15" s="15">
        <v>39</v>
      </c>
      <c r="D15" s="2" t="s">
        <v>18</v>
      </c>
      <c r="E15" s="2" t="s">
        <v>21</v>
      </c>
      <c r="F15" s="3" t="s">
        <v>96</v>
      </c>
      <c r="G15" s="6">
        <v>550</v>
      </c>
      <c r="H15" s="7">
        <v>46262</v>
      </c>
      <c r="I15" s="9" t="s">
        <v>34</v>
      </c>
    </row>
    <row r="16" spans="1:9" x14ac:dyDescent="0.3">
      <c r="A16" s="3" t="s">
        <v>41</v>
      </c>
      <c r="B16" s="3" t="s">
        <v>70</v>
      </c>
      <c r="C16" s="15">
        <v>55</v>
      </c>
      <c r="D16" s="2" t="s">
        <v>17</v>
      </c>
      <c r="E16" s="2" t="s">
        <v>20</v>
      </c>
      <c r="F16" s="3" t="s">
        <v>28</v>
      </c>
      <c r="G16" s="6">
        <v>820</v>
      </c>
      <c r="H16" s="7">
        <v>46263</v>
      </c>
      <c r="I16" s="9" t="s">
        <v>34</v>
      </c>
    </row>
    <row r="17" spans="1:9" x14ac:dyDescent="0.3">
      <c r="A17" s="3" t="s">
        <v>42</v>
      </c>
      <c r="B17" s="3" t="s">
        <v>71</v>
      </c>
      <c r="C17" s="15">
        <v>74</v>
      </c>
      <c r="D17" s="2" t="s">
        <v>17</v>
      </c>
      <c r="E17" s="3" t="s">
        <v>23</v>
      </c>
      <c r="F17" s="3" t="s">
        <v>30</v>
      </c>
      <c r="G17" s="6">
        <v>10</v>
      </c>
      <c r="H17" s="7">
        <v>46263</v>
      </c>
      <c r="I17" s="9" t="s">
        <v>35</v>
      </c>
    </row>
    <row r="18" spans="1:9" x14ac:dyDescent="0.3">
      <c r="A18" s="3" t="s">
        <v>43</v>
      </c>
      <c r="B18" s="3" t="s">
        <v>72</v>
      </c>
      <c r="C18" s="15">
        <v>45</v>
      </c>
      <c r="D18" s="2" t="s">
        <v>18</v>
      </c>
      <c r="E18" s="3" t="s">
        <v>23</v>
      </c>
      <c r="F18" s="3" t="s">
        <v>30</v>
      </c>
      <c r="G18" s="6">
        <v>10</v>
      </c>
      <c r="H18" s="7">
        <v>46264</v>
      </c>
      <c r="I18" s="9" t="s">
        <v>34</v>
      </c>
    </row>
    <row r="19" spans="1:9" x14ac:dyDescent="0.3">
      <c r="A19" s="3" t="s">
        <v>44</v>
      </c>
      <c r="B19" s="3" t="s">
        <v>73</v>
      </c>
      <c r="C19" s="15">
        <v>23</v>
      </c>
      <c r="D19" s="2" t="s">
        <v>17</v>
      </c>
      <c r="E19" s="2" t="s">
        <v>25</v>
      </c>
      <c r="F19" s="3" t="s">
        <v>32</v>
      </c>
      <c r="G19" s="6">
        <v>185</v>
      </c>
      <c r="H19" s="7">
        <v>46264</v>
      </c>
      <c r="I19" s="9" t="s">
        <v>35</v>
      </c>
    </row>
    <row r="20" spans="1:9" x14ac:dyDescent="0.3">
      <c r="A20" s="3" t="s">
        <v>45</v>
      </c>
      <c r="B20" s="3" t="s">
        <v>74</v>
      </c>
      <c r="C20" s="15">
        <v>59</v>
      </c>
      <c r="D20" s="2" t="s">
        <v>17</v>
      </c>
      <c r="E20" s="3" t="s">
        <v>23</v>
      </c>
      <c r="F20" s="3" t="s">
        <v>30</v>
      </c>
      <c r="G20" s="6">
        <v>5</v>
      </c>
      <c r="H20" s="7">
        <v>46265</v>
      </c>
      <c r="I20" s="9" t="s">
        <v>34</v>
      </c>
    </row>
    <row r="21" spans="1:9" x14ac:dyDescent="0.3">
      <c r="A21" s="3" t="s">
        <v>46</v>
      </c>
      <c r="B21" s="3" t="s">
        <v>75</v>
      </c>
      <c r="C21" s="15">
        <v>48</v>
      </c>
      <c r="D21" s="2" t="s">
        <v>123</v>
      </c>
      <c r="E21" s="3" t="s">
        <v>94</v>
      </c>
      <c r="F21" s="3" t="s">
        <v>97</v>
      </c>
      <c r="G21" s="6">
        <v>265</v>
      </c>
      <c r="H21" s="7">
        <v>46265</v>
      </c>
      <c r="I21" s="9" t="s">
        <v>35</v>
      </c>
    </row>
    <row r="22" spans="1:9" x14ac:dyDescent="0.3">
      <c r="A22" s="3" t="s">
        <v>47</v>
      </c>
      <c r="B22" s="3" t="s">
        <v>76</v>
      </c>
      <c r="C22" s="15">
        <v>57</v>
      </c>
      <c r="D22" s="2" t="s">
        <v>18</v>
      </c>
      <c r="E22" s="2" t="s">
        <v>20</v>
      </c>
      <c r="F22" s="3" t="s">
        <v>28</v>
      </c>
      <c r="G22" s="6">
        <v>185</v>
      </c>
      <c r="H22" s="7">
        <v>46266</v>
      </c>
      <c r="I22" s="9" t="s">
        <v>34</v>
      </c>
    </row>
    <row r="23" spans="1:9" x14ac:dyDescent="0.3">
      <c r="A23" s="3" t="s">
        <v>48</v>
      </c>
      <c r="B23" s="3" t="s">
        <v>77</v>
      </c>
      <c r="C23" s="15">
        <v>69</v>
      </c>
      <c r="D23" s="2" t="s">
        <v>17</v>
      </c>
      <c r="E23" s="3" t="s">
        <v>23</v>
      </c>
      <c r="F23" s="3" t="s">
        <v>30</v>
      </c>
      <c r="G23" s="6">
        <v>10</v>
      </c>
      <c r="H23" s="7">
        <v>46267</v>
      </c>
      <c r="I23" s="9" t="s">
        <v>35</v>
      </c>
    </row>
    <row r="24" spans="1:9" x14ac:dyDescent="0.3">
      <c r="A24" s="3" t="s">
        <v>49</v>
      </c>
      <c r="B24" s="3" t="s">
        <v>78</v>
      </c>
      <c r="C24" s="15">
        <v>60</v>
      </c>
      <c r="D24" s="2" t="s">
        <v>17</v>
      </c>
      <c r="E24" s="2" t="s">
        <v>20</v>
      </c>
      <c r="F24" s="3" t="s">
        <v>98</v>
      </c>
      <c r="G24" s="6">
        <v>585</v>
      </c>
      <c r="H24" s="7">
        <v>46268</v>
      </c>
      <c r="I24" s="9" t="s">
        <v>34</v>
      </c>
    </row>
    <row r="25" spans="1:9" x14ac:dyDescent="0.3">
      <c r="A25" s="3" t="s">
        <v>50</v>
      </c>
      <c r="B25" s="3" t="s">
        <v>79</v>
      </c>
      <c r="C25" s="15">
        <v>56</v>
      </c>
      <c r="D25" s="2" t="s">
        <v>123</v>
      </c>
      <c r="E25" s="3" t="s">
        <v>23</v>
      </c>
      <c r="F25" s="3" t="s">
        <v>30</v>
      </c>
      <c r="G25" s="6">
        <v>10</v>
      </c>
      <c r="H25" s="7">
        <v>46269</v>
      </c>
      <c r="I25" s="9" t="s">
        <v>34</v>
      </c>
    </row>
    <row r="26" spans="1:9" x14ac:dyDescent="0.3">
      <c r="A26" s="3" t="s">
        <v>51</v>
      </c>
      <c r="B26" s="3" t="s">
        <v>80</v>
      </c>
      <c r="C26" s="15">
        <v>40</v>
      </c>
      <c r="D26" s="2" t="s">
        <v>17</v>
      </c>
      <c r="E26" s="3" t="s">
        <v>23</v>
      </c>
      <c r="F26" s="3" t="s">
        <v>30</v>
      </c>
      <c r="G26" s="6">
        <v>10</v>
      </c>
      <c r="H26" s="7">
        <v>46270</v>
      </c>
      <c r="I26" s="9" t="s">
        <v>34</v>
      </c>
    </row>
    <row r="27" spans="1:9" x14ac:dyDescent="0.3">
      <c r="A27" s="3" t="s">
        <v>52</v>
      </c>
      <c r="B27" s="3" t="s">
        <v>81</v>
      </c>
      <c r="C27" s="15">
        <v>37</v>
      </c>
      <c r="D27" s="2" t="s">
        <v>18</v>
      </c>
      <c r="E27" s="2" t="s">
        <v>24</v>
      </c>
      <c r="F27" s="3" t="s">
        <v>99</v>
      </c>
      <c r="G27" s="6">
        <v>75</v>
      </c>
      <c r="H27" s="7">
        <v>46271</v>
      </c>
      <c r="I27" s="9" t="s">
        <v>34</v>
      </c>
    </row>
    <row r="28" spans="1:9" x14ac:dyDescent="0.3">
      <c r="A28" s="3" t="s">
        <v>53</v>
      </c>
      <c r="B28" s="3" t="s">
        <v>82</v>
      </c>
      <c r="C28" s="15">
        <v>43</v>
      </c>
      <c r="D28" s="2" t="s">
        <v>18</v>
      </c>
      <c r="E28" s="3" t="s">
        <v>95</v>
      </c>
      <c r="F28" s="3" t="s">
        <v>131</v>
      </c>
      <c r="G28" s="6">
        <v>75</v>
      </c>
      <c r="H28" s="7">
        <v>46272</v>
      </c>
      <c r="I28" s="9" t="s">
        <v>34</v>
      </c>
    </row>
    <row r="29" spans="1:9" x14ac:dyDescent="0.3">
      <c r="A29" s="3" t="s">
        <v>54</v>
      </c>
      <c r="B29" s="3" t="s">
        <v>83</v>
      </c>
      <c r="C29" s="15">
        <v>59</v>
      </c>
      <c r="D29" s="2" t="s">
        <v>17</v>
      </c>
      <c r="E29" s="2" t="s">
        <v>20</v>
      </c>
      <c r="F29" s="3" t="s">
        <v>98</v>
      </c>
      <c r="G29" s="6">
        <v>970</v>
      </c>
      <c r="H29" s="7">
        <v>46272</v>
      </c>
      <c r="I29" s="9" t="s">
        <v>35</v>
      </c>
    </row>
    <row r="30" spans="1:9" x14ac:dyDescent="0.3">
      <c r="A30" s="3" t="s">
        <v>55</v>
      </c>
      <c r="B30" s="3" t="s">
        <v>84</v>
      </c>
      <c r="C30" s="15">
        <v>31</v>
      </c>
      <c r="D30" s="2" t="s">
        <v>17</v>
      </c>
      <c r="E30" s="2" t="s">
        <v>24</v>
      </c>
      <c r="F30" s="3" t="s">
        <v>31</v>
      </c>
      <c r="G30" s="6">
        <v>75</v>
      </c>
      <c r="H30" s="7">
        <v>46272</v>
      </c>
      <c r="I30" s="9" t="s">
        <v>34</v>
      </c>
    </row>
    <row r="31" spans="1:9" x14ac:dyDescent="0.3">
      <c r="A31" s="3" t="s">
        <v>56</v>
      </c>
      <c r="B31" s="3" t="s">
        <v>85</v>
      </c>
      <c r="C31" s="15">
        <v>52</v>
      </c>
      <c r="D31" s="2" t="s">
        <v>17</v>
      </c>
      <c r="E31" s="3" t="s">
        <v>93</v>
      </c>
      <c r="F31" s="3" t="s">
        <v>101</v>
      </c>
      <c r="G31" s="6">
        <v>80</v>
      </c>
      <c r="H31" s="7">
        <v>46272</v>
      </c>
      <c r="I31" s="9" t="s">
        <v>34</v>
      </c>
    </row>
    <row r="32" spans="1:9" x14ac:dyDescent="0.3">
      <c r="A32" s="3" t="s">
        <v>57</v>
      </c>
      <c r="B32" s="3" t="s">
        <v>86</v>
      </c>
      <c r="C32" s="15">
        <v>50</v>
      </c>
      <c r="D32" s="2" t="s">
        <v>123</v>
      </c>
      <c r="E32" s="2" t="s">
        <v>25</v>
      </c>
      <c r="F32" s="3" t="s">
        <v>32</v>
      </c>
      <c r="G32" s="6">
        <v>145</v>
      </c>
      <c r="H32" s="7">
        <v>46272</v>
      </c>
      <c r="I32" s="9" t="s">
        <v>34</v>
      </c>
    </row>
    <row r="33" spans="1:9" x14ac:dyDescent="0.3">
      <c r="A33" s="3" t="s">
        <v>58</v>
      </c>
      <c r="B33" s="3" t="s">
        <v>81</v>
      </c>
      <c r="C33" s="15">
        <v>48</v>
      </c>
      <c r="D33" s="2" t="s">
        <v>18</v>
      </c>
      <c r="E33" s="3" t="s">
        <v>127</v>
      </c>
      <c r="F33" s="3" t="s">
        <v>100</v>
      </c>
      <c r="G33" s="6">
        <v>250</v>
      </c>
      <c r="H33" s="7">
        <v>46273</v>
      </c>
      <c r="I33" s="9" t="s">
        <v>34</v>
      </c>
    </row>
    <row r="34" spans="1:9" x14ac:dyDescent="0.3">
      <c r="A34" s="3" t="s">
        <v>59</v>
      </c>
      <c r="B34" s="3" t="s">
        <v>87</v>
      </c>
      <c r="C34" s="15">
        <v>33</v>
      </c>
      <c r="D34" s="2" t="s">
        <v>18</v>
      </c>
      <c r="E34" s="2" t="s">
        <v>24</v>
      </c>
      <c r="F34" s="3" t="s">
        <v>31</v>
      </c>
      <c r="G34" s="6">
        <v>30</v>
      </c>
      <c r="H34" s="7">
        <v>46274</v>
      </c>
      <c r="I34" s="9" t="s">
        <v>35</v>
      </c>
    </row>
    <row r="35" spans="1:9" x14ac:dyDescent="0.3">
      <c r="A35" s="3" t="s">
        <v>60</v>
      </c>
      <c r="B35" s="3" t="s">
        <v>88</v>
      </c>
      <c r="C35" s="15">
        <v>34</v>
      </c>
      <c r="D35" s="2" t="s">
        <v>17</v>
      </c>
      <c r="E35" s="2" t="s">
        <v>20</v>
      </c>
      <c r="F35" s="3" t="s">
        <v>98</v>
      </c>
      <c r="G35" s="6">
        <v>635</v>
      </c>
      <c r="H35" s="7">
        <v>46274</v>
      </c>
      <c r="I35" s="9" t="s">
        <v>34</v>
      </c>
    </row>
    <row r="36" spans="1:9" x14ac:dyDescent="0.3">
      <c r="A36" s="3" t="s">
        <v>61</v>
      </c>
      <c r="B36" s="3" t="s">
        <v>89</v>
      </c>
      <c r="C36" s="15">
        <v>38</v>
      </c>
      <c r="D36" s="2" t="s">
        <v>17</v>
      </c>
      <c r="E36" s="3" t="s">
        <v>23</v>
      </c>
      <c r="F36" s="3" t="s">
        <v>30</v>
      </c>
      <c r="G36" s="6">
        <v>10</v>
      </c>
      <c r="H36" s="7">
        <v>46274</v>
      </c>
      <c r="I36" s="9" t="s">
        <v>34</v>
      </c>
    </row>
    <row r="37" spans="1:9" x14ac:dyDescent="0.3">
      <c r="A37" s="3" t="s">
        <v>62</v>
      </c>
      <c r="B37" s="3" t="s">
        <v>90</v>
      </c>
      <c r="C37" s="15">
        <v>53</v>
      </c>
      <c r="D37" s="2" t="s">
        <v>123</v>
      </c>
      <c r="E37" s="3" t="s">
        <v>26</v>
      </c>
      <c r="F37" s="3" t="s">
        <v>33</v>
      </c>
      <c r="G37" s="6">
        <v>95</v>
      </c>
      <c r="H37" s="7">
        <v>46275</v>
      </c>
      <c r="I37" s="9" t="s">
        <v>34</v>
      </c>
    </row>
    <row r="38" spans="1:9" x14ac:dyDescent="0.3">
      <c r="A38" s="3" t="s">
        <v>63</v>
      </c>
      <c r="B38" s="3" t="s">
        <v>91</v>
      </c>
      <c r="C38" s="15">
        <v>10</v>
      </c>
      <c r="D38" s="2" t="s">
        <v>18</v>
      </c>
      <c r="E38" s="2" t="s">
        <v>20</v>
      </c>
      <c r="F38" s="3" t="s">
        <v>28</v>
      </c>
      <c r="G38" s="6">
        <v>740</v>
      </c>
      <c r="H38" s="7">
        <v>46276</v>
      </c>
      <c r="I38" s="9" t="s">
        <v>34</v>
      </c>
    </row>
    <row r="39" spans="1:9" x14ac:dyDescent="0.3">
      <c r="A39" s="3" t="s">
        <v>64</v>
      </c>
      <c r="B39" s="3" t="s">
        <v>92</v>
      </c>
      <c r="C39" s="15">
        <v>27</v>
      </c>
      <c r="D39" s="2" t="s">
        <v>17</v>
      </c>
      <c r="E39" s="3" t="s">
        <v>26</v>
      </c>
      <c r="F39" s="3" t="s">
        <v>33</v>
      </c>
      <c r="G39" s="6">
        <v>85</v>
      </c>
      <c r="H39" s="7">
        <v>46277</v>
      </c>
      <c r="I39" s="9" t="s">
        <v>35</v>
      </c>
    </row>
  </sheetData>
  <autoFilter ref="A1:I39" xr:uid="{22D8D484-EE50-4B29-A200-BCD1E01A808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AAF6-A5B8-4E80-AF49-0ED34C661504}">
  <dimension ref="A1:G46"/>
  <sheetViews>
    <sheetView zoomScaleNormal="100" workbookViewId="0">
      <selection activeCell="E40" sqref="E40"/>
    </sheetView>
  </sheetViews>
  <sheetFormatPr defaultRowHeight="14.4" x14ac:dyDescent="0.3"/>
  <cols>
    <col min="2" max="2" width="22.88671875" customWidth="1"/>
    <col min="3" max="3" width="23.6640625" style="19" customWidth="1"/>
    <col min="4" max="4" width="22.109375" style="19" customWidth="1"/>
    <col min="5" max="5" width="22.21875" customWidth="1"/>
  </cols>
  <sheetData>
    <row r="1" spans="1:7" ht="20.399999999999999" x14ac:dyDescent="0.35">
      <c r="A1" s="10"/>
    </row>
    <row r="2" spans="1:7" ht="25.2" x14ac:dyDescent="0.6">
      <c r="B2" s="11" t="s">
        <v>111</v>
      </c>
    </row>
    <row r="3" spans="1:7" x14ac:dyDescent="0.3">
      <c r="B3" s="12" t="s">
        <v>132</v>
      </c>
    </row>
    <row r="5" spans="1:7" ht="15.6" x14ac:dyDescent="0.3">
      <c r="B5" s="14" t="s">
        <v>112</v>
      </c>
      <c r="C5" s="20"/>
      <c r="D5" s="20"/>
      <c r="E5" s="13"/>
      <c r="F5" s="13"/>
      <c r="G5" s="13"/>
    </row>
    <row r="6" spans="1:7" x14ac:dyDescent="0.3">
      <c r="B6" s="2" t="s">
        <v>113</v>
      </c>
      <c r="C6" s="19">
        <f>COUNTA('[1]Cleaned Data'!A2:A39)</f>
        <v>38</v>
      </c>
    </row>
    <row r="7" spans="1:7" x14ac:dyDescent="0.3">
      <c r="B7" s="2" t="s">
        <v>114</v>
      </c>
      <c r="C7" s="23">
        <f>AVERAGE(Data!C2:C39)</f>
        <v>45.342105263157897</v>
      </c>
      <c r="F7" s="16"/>
    </row>
    <row r="8" spans="1:7" x14ac:dyDescent="0.3">
      <c r="B8" s="2" t="s">
        <v>115</v>
      </c>
      <c r="C8" s="19">
        <f>MEDIAN(Data!C2:C39)</f>
        <v>46.5</v>
      </c>
    </row>
    <row r="9" spans="1:7" x14ac:dyDescent="0.3">
      <c r="B9" s="2" t="s">
        <v>116</v>
      </c>
      <c r="C9" s="19">
        <f>MIN(Data!C2:C39)</f>
        <v>10</v>
      </c>
    </row>
    <row r="10" spans="1:7" x14ac:dyDescent="0.3">
      <c r="B10" s="2" t="s">
        <v>117</v>
      </c>
      <c r="C10" s="19">
        <f>MAX(Data!C2:C39)</f>
        <v>74</v>
      </c>
    </row>
    <row r="11" spans="1:7" x14ac:dyDescent="0.3">
      <c r="B11" s="2" t="s">
        <v>118</v>
      </c>
      <c r="C11" s="23">
        <f>AVERAGE(Data!G2:G39)</f>
        <v>291.84210526315792</v>
      </c>
      <c r="F11" s="16"/>
    </row>
    <row r="13" spans="1:7" ht="15.6" x14ac:dyDescent="0.3">
      <c r="B13" s="14" t="s">
        <v>119</v>
      </c>
      <c r="C13" s="20"/>
      <c r="D13" s="20"/>
    </row>
    <row r="14" spans="1:7" x14ac:dyDescent="0.3">
      <c r="B14" s="22" t="s">
        <v>1</v>
      </c>
      <c r="C14" s="21" t="s">
        <v>120</v>
      </c>
      <c r="D14" s="21" t="s">
        <v>121</v>
      </c>
    </row>
    <row r="15" spans="1:7" x14ac:dyDescent="0.3">
      <c r="B15" t="s">
        <v>18</v>
      </c>
      <c r="C15" s="19">
        <f>COUNTIF(Data!D2:D39,"Male")</f>
        <v>18</v>
      </c>
      <c r="D15" s="24">
        <f>C15/$C$6</f>
        <v>0.47368421052631576</v>
      </c>
    </row>
    <row r="16" spans="1:7" x14ac:dyDescent="0.3">
      <c r="B16" t="s">
        <v>122</v>
      </c>
      <c r="C16" s="19">
        <f>COUNTIF(Data!D2:D39,"Female")</f>
        <v>16</v>
      </c>
      <c r="D16" s="24">
        <f>C16/$C$6</f>
        <v>0.42105263157894735</v>
      </c>
    </row>
    <row r="17" spans="2:5" x14ac:dyDescent="0.3">
      <c r="B17" t="s">
        <v>123</v>
      </c>
      <c r="C17" s="19">
        <f>COUNTIF(Data!D2:D39,"Unknown")</f>
        <v>4</v>
      </c>
      <c r="D17" s="24">
        <f>C17/$C$6</f>
        <v>0.10526315789473684</v>
      </c>
    </row>
    <row r="19" spans="2:5" ht="15.6" x14ac:dyDescent="0.3">
      <c r="B19" s="27" t="s">
        <v>124</v>
      </c>
      <c r="C19" s="26"/>
      <c r="D19" s="26"/>
      <c r="E19" s="25"/>
    </row>
    <row r="20" spans="2:5" x14ac:dyDescent="0.3">
      <c r="B20" s="21" t="s">
        <v>2</v>
      </c>
      <c r="C20" s="21" t="s">
        <v>120</v>
      </c>
      <c r="D20" s="29" t="s">
        <v>121</v>
      </c>
      <c r="E20" s="18" t="s">
        <v>125</v>
      </c>
    </row>
    <row r="21" spans="2:5" x14ac:dyDescent="0.3">
      <c r="B21" t="s">
        <v>19</v>
      </c>
      <c r="C21" s="19">
        <f>COUNTIF(Data!E2:E100,"Arthritis")</f>
        <v>2</v>
      </c>
      <c r="D21" s="28">
        <f>C21/$C$6</f>
        <v>5.2631578947368418E-2</v>
      </c>
      <c r="E21">
        <f>AVERAGEIF(Data!$E$2:$E$39,B21,Data!$C$2:$C$39)</f>
        <v>43.5</v>
      </c>
    </row>
    <row r="22" spans="2:5" x14ac:dyDescent="0.3">
      <c r="B22" t="s">
        <v>23</v>
      </c>
      <c r="C22" s="19">
        <f>COUNTIF(Data!E2:E100,"Hypertension")</f>
        <v>8</v>
      </c>
      <c r="D22" s="28">
        <f t="shared" ref="D21:D32" si="0">C22/$C$6</f>
        <v>0.21052631578947367</v>
      </c>
      <c r="E22">
        <f>AVERAGEIF(Data!$E$2:$E$39,B22,Data!$C$2:$C$39)</f>
        <v>53</v>
      </c>
    </row>
    <row r="23" spans="2:5" x14ac:dyDescent="0.3">
      <c r="B23" t="s">
        <v>21</v>
      </c>
      <c r="C23" s="19">
        <f>COUNTIF(Data!E2:E39,"Flu")</f>
        <v>2</v>
      </c>
      <c r="D23" s="28">
        <f t="shared" si="0"/>
        <v>5.2631578947368418E-2</v>
      </c>
      <c r="E23">
        <f>AVERAGEIF(Data!$E$2:$E$39,B23,Data!$C$2:$C$39)</f>
        <v>35.5</v>
      </c>
    </row>
    <row r="24" spans="2:5" x14ac:dyDescent="0.3">
      <c r="B24" t="s">
        <v>20</v>
      </c>
      <c r="C24" s="19">
        <f>COUNTIF(Data!E2:E39,"Diabetes")</f>
        <v>10</v>
      </c>
      <c r="D24" s="28">
        <f t="shared" si="0"/>
        <v>0.26315789473684209</v>
      </c>
      <c r="E24">
        <f>AVERAGEIF(Data!$E$2:$E$39,B24,Data!$C$2:$C$39)</f>
        <v>45.9</v>
      </c>
    </row>
    <row r="25" spans="2:5" x14ac:dyDescent="0.3">
      <c r="B25" t="s">
        <v>22</v>
      </c>
      <c r="C25" s="19">
        <f>COUNTIF(Data!E2:E39,"Fever")</f>
        <v>1</v>
      </c>
      <c r="D25" s="28">
        <f t="shared" si="0"/>
        <v>2.6315789473684209E-2</v>
      </c>
      <c r="E25">
        <f>AVERAGEIF(Data!$E$2:$E$39,B25,Data!$C$2:$C$39)</f>
        <v>54</v>
      </c>
    </row>
    <row r="26" spans="2:5" x14ac:dyDescent="0.3">
      <c r="B26" t="s">
        <v>24</v>
      </c>
      <c r="C26" s="19">
        <f>COUNTIF(Data!E2:E39,"Migraine")</f>
        <v>4</v>
      </c>
      <c r="D26" s="28">
        <f t="shared" si="0"/>
        <v>0.10526315789473684</v>
      </c>
      <c r="E26">
        <f>AVERAGEIF(Data!$E$2:$E$39,B26,Data!$C$2:$C$39)</f>
        <v>41</v>
      </c>
    </row>
    <row r="27" spans="2:5" x14ac:dyDescent="0.3">
      <c r="B27" t="s">
        <v>25</v>
      </c>
      <c r="C27" s="19">
        <f>COUNTIF(Data!E2:E39,"Asthma")</f>
        <v>3</v>
      </c>
      <c r="D27" s="28">
        <f t="shared" si="0"/>
        <v>7.8947368421052627E-2</v>
      </c>
      <c r="E27">
        <f>AVERAGEIF(Data!$E$2:$E$39,B27,Data!$C$2:$C$39)</f>
        <v>39</v>
      </c>
    </row>
    <row r="28" spans="2:5" x14ac:dyDescent="0.3">
      <c r="B28" t="s">
        <v>26</v>
      </c>
      <c r="C28" s="19">
        <f>COUNTIF(Data!E2:E39,"Obesity")</f>
        <v>3</v>
      </c>
      <c r="D28" s="28">
        <f t="shared" si="0"/>
        <v>7.8947368421052627E-2</v>
      </c>
      <c r="E28" s="17">
        <f>AVERAGEIF(Data!$E$2:$E$39,B28,Data!$C$2:$C$39)</f>
        <v>35.333333333333336</v>
      </c>
    </row>
    <row r="29" spans="2:5" x14ac:dyDescent="0.3">
      <c r="B29" t="s">
        <v>94</v>
      </c>
      <c r="C29" s="19">
        <f>COUNTIF(Data!E2:E39,"Bronchitis")</f>
        <v>1</v>
      </c>
      <c r="D29" s="28">
        <f t="shared" si="0"/>
        <v>2.6315789473684209E-2</v>
      </c>
      <c r="E29">
        <f>AVERAGEIF(Data!$E$2:$E$39,B29,Data!$C$2:$C$39)</f>
        <v>48</v>
      </c>
    </row>
    <row r="30" spans="2:5" x14ac:dyDescent="0.3">
      <c r="B30" t="s">
        <v>126</v>
      </c>
      <c r="C30" s="19">
        <f>COUNTIF(Data!E2:E39,"Thyroid Disorder")</f>
        <v>1</v>
      </c>
      <c r="D30" s="28">
        <f t="shared" si="0"/>
        <v>2.6315789473684209E-2</v>
      </c>
      <c r="E30">
        <f>AVERAGEIF(Data!$E$2:$E$39,B30,Data!$C$2:$C$39)</f>
        <v>43</v>
      </c>
    </row>
    <row r="31" spans="2:5" x14ac:dyDescent="0.3">
      <c r="B31" t="s">
        <v>93</v>
      </c>
      <c r="C31" s="19">
        <f>COUNTIF(Data!E2:E39,"Depression")</f>
        <v>2</v>
      </c>
      <c r="D31" s="28">
        <f t="shared" si="0"/>
        <v>5.2631578947368418E-2</v>
      </c>
      <c r="E31">
        <f>AVERAGEIF(Data!$E$2:$E$39,B31,Data!$C$2:$C$39)</f>
        <v>51</v>
      </c>
    </row>
    <row r="32" spans="2:5" x14ac:dyDescent="0.3">
      <c r="B32" t="s">
        <v>127</v>
      </c>
      <c r="C32" s="19">
        <f>COUNTIF(Data!E2:E100,"Anemia")</f>
        <v>1</v>
      </c>
      <c r="D32" s="28">
        <f t="shared" si="0"/>
        <v>2.6315789473684209E-2</v>
      </c>
      <c r="E32">
        <f>AVERAGEIF(Data!$E$2:$E$39,B32,Data!$C$2:$C$39)</f>
        <v>48</v>
      </c>
    </row>
    <row r="34" spans="2:4" ht="15.6" x14ac:dyDescent="0.3">
      <c r="B34" s="27" t="s">
        <v>149</v>
      </c>
      <c r="C34" s="26"/>
      <c r="D34" s="26"/>
    </row>
    <row r="35" spans="2:4" ht="15.6" x14ac:dyDescent="0.3">
      <c r="B35" s="30" t="s">
        <v>3</v>
      </c>
      <c r="C35" s="31" t="s">
        <v>129</v>
      </c>
      <c r="D35" s="31" t="s">
        <v>130</v>
      </c>
    </row>
    <row r="36" spans="2:4" x14ac:dyDescent="0.3">
      <c r="B36" t="s">
        <v>30</v>
      </c>
      <c r="C36" s="19">
        <f>COUNTIF(Data!F2:F231,"Amlodipine")</f>
        <v>8</v>
      </c>
      <c r="D36" s="19">
        <f>ROUND(AVERAGEIFS(Data!G2:G231,Data!F2:F231,B36),1)</f>
        <v>8.8000000000000007</v>
      </c>
    </row>
    <row r="37" spans="2:4" x14ac:dyDescent="0.3">
      <c r="B37" t="s">
        <v>28</v>
      </c>
      <c r="C37" s="19">
        <f>COUNTIF(Data!F2:F231,"Metformin")</f>
        <v>7</v>
      </c>
      <c r="D37" s="19">
        <f>ROUND(AVERAGEIFS(Data!G2:G231,Data!F2:F231,B37),1)</f>
        <v>710.7</v>
      </c>
    </row>
    <row r="38" spans="2:4" x14ac:dyDescent="0.3">
      <c r="B38" t="s">
        <v>29</v>
      </c>
      <c r="C38" s="19">
        <f>COUNTIF(Data!F2:F231,"Paracetamol")</f>
        <v>2</v>
      </c>
      <c r="D38" s="19">
        <f>ROUND(AVERAGEIFS(Data!G2:G231,Data!F2:F231,B38),1)</f>
        <v>500</v>
      </c>
    </row>
    <row r="39" spans="2:4" x14ac:dyDescent="0.3">
      <c r="B39" t="s">
        <v>27</v>
      </c>
      <c r="C39" s="19">
        <f>COUNTIF(Data!F2:F231,"Ibuprofen")</f>
        <v>2</v>
      </c>
      <c r="D39" s="19">
        <f>ROUND(AVERAGEIFS(Data!G2:G231,Data!F2:F231,B39),1)</f>
        <v>277.5</v>
      </c>
    </row>
    <row r="40" spans="2:4" x14ac:dyDescent="0.3">
      <c r="B40" t="s">
        <v>100</v>
      </c>
      <c r="C40" s="19">
        <f>COUNTIF(Data!F2:F231,"Ferrous Sulfate")</f>
        <v>1</v>
      </c>
      <c r="D40" s="19">
        <f>ROUND(AVERAGEIFS(Data!G2:G231,Data!F2:F231,B40),1)</f>
        <v>250</v>
      </c>
    </row>
    <row r="41" spans="2:4" x14ac:dyDescent="0.3">
      <c r="B41" t="s">
        <v>33</v>
      </c>
      <c r="C41" s="19">
        <f>COUNTIF(Data!F2:F231,"Orlistat")</f>
        <v>3</v>
      </c>
      <c r="D41" s="19">
        <f>ROUND(AVERAGEIFS(Data!G2:G231,Data!F2:F231,B41),1)</f>
        <v>91.7</v>
      </c>
    </row>
    <row r="42" spans="2:4" x14ac:dyDescent="0.3">
      <c r="B42" t="s">
        <v>32</v>
      </c>
      <c r="C42" s="19">
        <f>COUNTIF(Data!F2:F231,"Salbutamol")</f>
        <v>3</v>
      </c>
      <c r="D42" s="19">
        <f>ROUND(AVERAGEIFS(Data!G2:G231,Data!F2:F231,B42),1)</f>
        <v>158.30000000000001</v>
      </c>
    </row>
    <row r="43" spans="2:4" x14ac:dyDescent="0.3">
      <c r="B43" t="s">
        <v>128</v>
      </c>
      <c r="C43" s="19">
        <f>COUNTIF(Data!F2:F231,"Sertraline")</f>
        <v>1</v>
      </c>
      <c r="D43" s="19">
        <f>ROUND(AVERAGEIFS(Data!G2:G231,Data!F2:F231,B43),1)</f>
        <v>75</v>
      </c>
    </row>
    <row r="44" spans="2:4" x14ac:dyDescent="0.3">
      <c r="B44" t="s">
        <v>31</v>
      </c>
      <c r="C44" s="19">
        <f>COUNTIF(Data!F2:F231,"Sumatriptan")</f>
        <v>3</v>
      </c>
      <c r="D44" s="19">
        <f>ROUND(AVERAGEIFS(Data!G2:G231,Data!F2:F231,B44),1)</f>
        <v>60</v>
      </c>
    </row>
    <row r="45" spans="2:4" x14ac:dyDescent="0.3">
      <c r="B45" t="s">
        <v>131</v>
      </c>
      <c r="C45" s="19">
        <f>COUNTIF(Data!F2:F231,"Levothyroxine")</f>
        <v>1</v>
      </c>
      <c r="D45" s="19">
        <f>ROUND(AVERAGEIFS(Data!G2:G231,Data!F2:F231,B45),1)</f>
        <v>75</v>
      </c>
    </row>
    <row r="46" spans="2:4" x14ac:dyDescent="0.3">
      <c r="B46" t="s">
        <v>97</v>
      </c>
      <c r="C46" s="19">
        <f>COUNTIF(Data!F2:F231,"Azithromycin")</f>
        <v>1</v>
      </c>
      <c r="D46" s="19">
        <f>ROUND(AVERAGEIFS(Data!G2:G231,Data!F2:F231,B46),1)</f>
        <v>265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2D8-0034-4E47-BB26-254DADED96C4}">
  <dimension ref="B2:D73"/>
  <sheetViews>
    <sheetView tabSelected="1" topLeftCell="A57" zoomScale="53" workbookViewId="0">
      <selection activeCell="P54" sqref="P54"/>
    </sheetView>
  </sheetViews>
  <sheetFormatPr defaultRowHeight="14.4" x14ac:dyDescent="0.3"/>
  <cols>
    <col min="2" max="2" width="33.6640625" customWidth="1"/>
    <col min="3" max="3" width="37.109375" style="19" customWidth="1"/>
    <col min="4" max="4" width="28.6640625" customWidth="1"/>
    <col min="5" max="5" width="14.5546875" bestFit="1" customWidth="1"/>
    <col min="6" max="6" width="19.21875" bestFit="1" customWidth="1"/>
    <col min="7" max="7" width="15.88671875" bestFit="1" customWidth="1"/>
  </cols>
  <sheetData>
    <row r="2" spans="2:4" ht="21" x14ac:dyDescent="0.4">
      <c r="B2" s="32" t="s">
        <v>133</v>
      </c>
    </row>
    <row r="3" spans="2:4" x14ac:dyDescent="0.3">
      <c r="B3" s="33" t="s">
        <v>134</v>
      </c>
    </row>
    <row r="5" spans="2:4" ht="15.6" x14ac:dyDescent="0.3">
      <c r="B5" s="35" t="s">
        <v>135</v>
      </c>
      <c r="C5" s="36"/>
      <c r="D5" s="34"/>
    </row>
    <row r="6" spans="2:4" ht="15.6" x14ac:dyDescent="0.3">
      <c r="B6" s="31" t="s">
        <v>2</v>
      </c>
      <c r="C6" s="31" t="s">
        <v>120</v>
      </c>
      <c r="D6" s="31" t="s">
        <v>121</v>
      </c>
    </row>
    <row r="7" spans="2:4" x14ac:dyDescent="0.3">
      <c r="B7" t="s">
        <v>19</v>
      </c>
      <c r="C7" s="19">
        <f>COUNTIF(Data!E2:E100,"Arthritis")</f>
        <v>2</v>
      </c>
      <c r="D7" s="28">
        <v>0.05</v>
      </c>
    </row>
    <row r="8" spans="2:4" x14ac:dyDescent="0.3">
      <c r="B8" t="s">
        <v>23</v>
      </c>
      <c r="C8" s="19">
        <f>COUNTIF(Data!E2:E100,"Hypertension")</f>
        <v>8</v>
      </c>
      <c r="D8" s="28">
        <v>0.21</v>
      </c>
    </row>
    <row r="9" spans="2:4" x14ac:dyDescent="0.3">
      <c r="B9" t="s">
        <v>21</v>
      </c>
      <c r="C9" s="19">
        <f>COUNTIF(Data!E2:E100,"Flu")</f>
        <v>2</v>
      </c>
      <c r="D9" s="28">
        <v>0.05</v>
      </c>
    </row>
    <row r="10" spans="2:4" x14ac:dyDescent="0.3">
      <c r="B10" t="s">
        <v>20</v>
      </c>
      <c r="C10" s="19">
        <f>COUNTIF(Data!E2:E100,"Diabetes")</f>
        <v>10</v>
      </c>
      <c r="D10" s="28">
        <v>0.26</v>
      </c>
    </row>
    <row r="11" spans="2:4" x14ac:dyDescent="0.3">
      <c r="B11" t="s">
        <v>22</v>
      </c>
      <c r="C11" s="19">
        <f>COUNTIF(Data!E2:E100,"Fever")</f>
        <v>1</v>
      </c>
      <c r="D11" s="28">
        <v>0.03</v>
      </c>
    </row>
    <row r="12" spans="2:4" x14ac:dyDescent="0.3">
      <c r="B12" t="s">
        <v>24</v>
      </c>
      <c r="C12" s="19">
        <f>COUNTIF(Data!E2:E100,"Migraine")</f>
        <v>4</v>
      </c>
      <c r="D12" s="28">
        <v>0.11</v>
      </c>
    </row>
    <row r="13" spans="2:4" x14ac:dyDescent="0.3">
      <c r="B13" t="s">
        <v>25</v>
      </c>
      <c r="C13" s="19">
        <f>COUNTIF(Data!E2:E100,"Asthma")</f>
        <v>3</v>
      </c>
      <c r="D13" s="28">
        <v>0.08</v>
      </c>
    </row>
    <row r="14" spans="2:4" x14ac:dyDescent="0.3">
      <c r="B14" t="s">
        <v>26</v>
      </c>
      <c r="C14" s="19">
        <f>COUNTIF(Data!E2:E100,"Obesity")</f>
        <v>3</v>
      </c>
      <c r="D14" s="28">
        <v>0.08</v>
      </c>
    </row>
    <row r="15" spans="2:4" x14ac:dyDescent="0.3">
      <c r="B15" t="s">
        <v>94</v>
      </c>
      <c r="C15" s="19">
        <f>COUNTIF(Data!E2:E100,"Bronchitis")</f>
        <v>1</v>
      </c>
      <c r="D15" s="28">
        <v>0.03</v>
      </c>
    </row>
    <row r="16" spans="2:4" x14ac:dyDescent="0.3">
      <c r="B16" t="s">
        <v>126</v>
      </c>
      <c r="C16" s="19">
        <f>COUNTIF(Data!E2:E100,"Thyroid disorder")</f>
        <v>1</v>
      </c>
      <c r="D16" s="28">
        <v>0.03</v>
      </c>
    </row>
    <row r="17" spans="2:4" x14ac:dyDescent="0.3">
      <c r="B17" t="s">
        <v>93</v>
      </c>
      <c r="C17" s="19">
        <f>COUNTIF(Data!E2:E100,"Depression")</f>
        <v>2</v>
      </c>
      <c r="D17" s="28">
        <v>0.05</v>
      </c>
    </row>
    <row r="18" spans="2:4" x14ac:dyDescent="0.3">
      <c r="B18" t="s">
        <v>127</v>
      </c>
      <c r="C18" s="19">
        <f>COUNTIF(Data!E2:E100,"Anemia")</f>
        <v>1</v>
      </c>
      <c r="D18" s="28">
        <v>0.03</v>
      </c>
    </row>
    <row r="20" spans="2:4" ht="15.6" x14ac:dyDescent="0.3">
      <c r="B20" s="27" t="s">
        <v>136</v>
      </c>
      <c r="C20" s="26"/>
      <c r="D20" s="25"/>
    </row>
    <row r="21" spans="2:4" x14ac:dyDescent="0.3">
      <c r="B21" s="21" t="s">
        <v>137</v>
      </c>
      <c r="C21" s="21" t="s">
        <v>120</v>
      </c>
      <c r="D21" s="29" t="s">
        <v>121</v>
      </c>
    </row>
    <row r="22" spans="2:4" x14ac:dyDescent="0.3">
      <c r="B22" t="s">
        <v>138</v>
      </c>
      <c r="C22" s="19">
        <f>COUNTIFS(Data!C2:C231,"&gt;=0",Data!C2:C231,"&lt;=10")</f>
        <v>1</v>
      </c>
      <c r="D22" s="38">
        <f>C22/'Analysis Summary'!$C$6</f>
        <v>2.6315789473684209E-2</v>
      </c>
    </row>
    <row r="23" spans="2:4" x14ac:dyDescent="0.3">
      <c r="B23" s="39" t="s">
        <v>139</v>
      </c>
      <c r="C23" s="19">
        <f>COUNTIFS(Data!C2:C39,"&gt;=11",Data!C2:C39,"&lt;=20")</f>
        <v>0</v>
      </c>
      <c r="D23" s="38">
        <f>C23/'Analysis Summary'!$C$6</f>
        <v>0</v>
      </c>
    </row>
    <row r="24" spans="2:4" x14ac:dyDescent="0.3">
      <c r="B24" t="s">
        <v>140</v>
      </c>
      <c r="C24" s="19">
        <f>COUNTIFS(Data!C2:C39,"&gt;=21",Data!C2:C39,"&lt;=30")</f>
        <v>4</v>
      </c>
      <c r="D24" s="38">
        <f>C24/'Analysis Summary'!$C$6</f>
        <v>0.10526315789473684</v>
      </c>
    </row>
    <row r="25" spans="2:4" x14ac:dyDescent="0.3">
      <c r="B25" t="s">
        <v>141</v>
      </c>
      <c r="C25" s="19">
        <f>COUNTIFS(Data!C2:C39,"&gt;=31",Data!C2:C39,"&lt;=40")</f>
        <v>10</v>
      </c>
      <c r="D25" s="38">
        <f>C25/'Analysis Summary'!$C$6</f>
        <v>0.26315789473684209</v>
      </c>
    </row>
    <row r="26" spans="2:4" x14ac:dyDescent="0.3">
      <c r="B26" t="s">
        <v>142</v>
      </c>
      <c r="C26" s="19">
        <f>COUNTIFS(Data!C2:C39,"&gt;=41",Data!C2:C39,"&lt;=50")</f>
        <v>8</v>
      </c>
      <c r="D26" s="38">
        <f>C26/'Analysis Summary'!$C$6</f>
        <v>0.21052631578947367</v>
      </c>
    </row>
    <row r="27" spans="2:4" x14ac:dyDescent="0.3">
      <c r="B27" t="s">
        <v>143</v>
      </c>
      <c r="C27" s="19">
        <f>COUNTIFS(Data!C2:C39,"&gt;=51",Data!C2:C39,"&lt;=60")</f>
        <v>12</v>
      </c>
      <c r="D27" s="38">
        <f>C27/'Analysis Summary'!$C$6</f>
        <v>0.31578947368421051</v>
      </c>
    </row>
    <row r="28" spans="2:4" x14ac:dyDescent="0.3">
      <c r="B28" t="s">
        <v>144</v>
      </c>
      <c r="C28" s="19">
        <f>COUNTIFS(Data!C2:C39,"&gt;=61",Data!C2:C39,"&lt;=70")</f>
        <v>2</v>
      </c>
      <c r="D28" s="38">
        <f>C28/'Analysis Summary'!$C$6</f>
        <v>5.2631578947368418E-2</v>
      </c>
    </row>
    <row r="29" spans="2:4" x14ac:dyDescent="0.3">
      <c r="B29" t="s">
        <v>145</v>
      </c>
      <c r="C29" s="40">
        <f>COUNTIFS(Data!C2:C39,"&gt;=71",Data!C2:C39,"&lt;=80")</f>
        <v>1</v>
      </c>
      <c r="D29" s="38">
        <f>C29/'Analysis Summary'!$C$6</f>
        <v>2.6315789473684209E-2</v>
      </c>
    </row>
    <row r="30" spans="2:4" x14ac:dyDescent="0.3">
      <c r="B30" t="s">
        <v>146</v>
      </c>
      <c r="C30" s="19">
        <f>COUNTIFS(Data!C2:C39,"&gt;=81",Data!C2:C39,"&lt;=90")</f>
        <v>0</v>
      </c>
      <c r="D30" s="38">
        <f>C30/'Analysis Summary'!$C$6</f>
        <v>0</v>
      </c>
    </row>
    <row r="31" spans="2:4" x14ac:dyDescent="0.3">
      <c r="B31" t="s">
        <v>147</v>
      </c>
      <c r="C31" s="19">
        <f>COUNTIFS(Data!C2:C39,"&gt;=91",Data!C2:C39,"&lt;=100")</f>
        <v>0</v>
      </c>
      <c r="D31" s="38">
        <f>C31/'Analysis Summary'!$C$6</f>
        <v>0</v>
      </c>
    </row>
    <row r="32" spans="2:4" x14ac:dyDescent="0.3">
      <c r="D32" s="16"/>
    </row>
    <row r="42" spans="2:4" ht="15.6" x14ac:dyDescent="0.3">
      <c r="B42" s="35" t="s">
        <v>148</v>
      </c>
      <c r="C42" s="36"/>
      <c r="D42" s="34"/>
    </row>
    <row r="43" spans="2:4" x14ac:dyDescent="0.3">
      <c r="B43" s="41" t="s">
        <v>1</v>
      </c>
      <c r="C43" s="42" t="s">
        <v>120</v>
      </c>
      <c r="D43" s="41" t="s">
        <v>121</v>
      </c>
    </row>
    <row r="44" spans="2:4" x14ac:dyDescent="0.3">
      <c r="B44" t="s">
        <v>18</v>
      </c>
      <c r="C44" s="19">
        <f>COUNTIF(Data!D2:D39,"Male")</f>
        <v>18</v>
      </c>
      <c r="D44" s="37">
        <f>C44/'Analysis Summary'!$C$6</f>
        <v>0.47368421052631576</v>
      </c>
    </row>
    <row r="45" spans="2:4" x14ac:dyDescent="0.3">
      <c r="B45" t="s">
        <v>17</v>
      </c>
      <c r="C45" s="19">
        <f>COUNTIF(Data!D2:D39,"Female")</f>
        <v>16</v>
      </c>
      <c r="D45" s="38">
        <f>C45/'Analysis Summary'!$C$6</f>
        <v>0.42105263157894735</v>
      </c>
    </row>
    <row r="46" spans="2:4" x14ac:dyDescent="0.3">
      <c r="B46" t="s">
        <v>123</v>
      </c>
      <c r="C46" s="19">
        <f>COUNTIF(Data!D2:D39,"Unknown")</f>
        <v>4</v>
      </c>
      <c r="D46" s="38">
        <f>C46/'Analysis Summary'!$C$6</f>
        <v>0.10526315789473684</v>
      </c>
    </row>
    <row r="61" spans="2:4" ht="15.6" x14ac:dyDescent="0.3">
      <c r="B61" s="35" t="s">
        <v>149</v>
      </c>
      <c r="C61" s="36"/>
      <c r="D61" s="34"/>
    </row>
    <row r="62" spans="2:4" x14ac:dyDescent="0.3">
      <c r="B62" s="42" t="s">
        <v>3</v>
      </c>
      <c r="C62" s="42" t="s">
        <v>129</v>
      </c>
      <c r="D62" s="42" t="s">
        <v>121</v>
      </c>
    </row>
    <row r="63" spans="2:4" x14ac:dyDescent="0.3">
      <c r="B63" t="s">
        <v>30</v>
      </c>
      <c r="C63" s="19">
        <v>8</v>
      </c>
      <c r="D63" s="38">
        <f>C63/'Analysis Summary'!$C$6</f>
        <v>0.21052631578947367</v>
      </c>
    </row>
    <row r="64" spans="2:4" x14ac:dyDescent="0.3">
      <c r="B64" t="s">
        <v>28</v>
      </c>
      <c r="C64" s="19">
        <v>7</v>
      </c>
      <c r="D64" s="38">
        <f>C64/'Analysis Summary'!$C$6</f>
        <v>0.18421052631578946</v>
      </c>
    </row>
    <row r="65" spans="2:4" x14ac:dyDescent="0.3">
      <c r="B65" t="s">
        <v>29</v>
      </c>
      <c r="C65" s="19">
        <v>2</v>
      </c>
      <c r="D65" s="38">
        <f>C65/'Analysis Summary'!$C$6</f>
        <v>5.2631578947368418E-2</v>
      </c>
    </row>
    <row r="66" spans="2:4" x14ac:dyDescent="0.3">
      <c r="B66" t="s">
        <v>27</v>
      </c>
      <c r="C66" s="19">
        <v>2</v>
      </c>
      <c r="D66" s="38">
        <f>C66/'Analysis Summary'!$C$6</f>
        <v>5.2631578947368418E-2</v>
      </c>
    </row>
    <row r="67" spans="2:4" x14ac:dyDescent="0.3">
      <c r="B67" t="s">
        <v>100</v>
      </c>
      <c r="C67" s="19">
        <v>1</v>
      </c>
      <c r="D67" s="38">
        <f>C67/'Analysis Summary'!$C$6</f>
        <v>2.6315789473684209E-2</v>
      </c>
    </row>
    <row r="68" spans="2:4" x14ac:dyDescent="0.3">
      <c r="B68" t="s">
        <v>33</v>
      </c>
      <c r="C68" s="19">
        <v>3</v>
      </c>
      <c r="D68" s="38">
        <f>C68/'Analysis Summary'!$C$6</f>
        <v>7.8947368421052627E-2</v>
      </c>
    </row>
    <row r="69" spans="2:4" x14ac:dyDescent="0.3">
      <c r="B69" t="s">
        <v>32</v>
      </c>
      <c r="C69" s="19">
        <v>3</v>
      </c>
      <c r="D69" s="38">
        <f>C69/'Analysis Summary'!$C$6</f>
        <v>7.8947368421052627E-2</v>
      </c>
    </row>
    <row r="70" spans="2:4" x14ac:dyDescent="0.3">
      <c r="B70" t="s">
        <v>128</v>
      </c>
      <c r="C70" s="19">
        <v>1</v>
      </c>
      <c r="D70" s="38">
        <f>C70/'Analysis Summary'!$C$6</f>
        <v>2.6315789473684209E-2</v>
      </c>
    </row>
    <row r="71" spans="2:4" x14ac:dyDescent="0.3">
      <c r="B71" t="s">
        <v>31</v>
      </c>
      <c r="C71" s="19">
        <v>3</v>
      </c>
      <c r="D71" s="38">
        <f>C71/'Analysis Summary'!$C$6</f>
        <v>7.8947368421052627E-2</v>
      </c>
    </row>
    <row r="72" spans="2:4" x14ac:dyDescent="0.3">
      <c r="B72" t="s">
        <v>131</v>
      </c>
      <c r="C72" s="19">
        <v>1</v>
      </c>
      <c r="D72" s="38">
        <f>C72/'Analysis Summary'!$C$6</f>
        <v>2.6315789473684209E-2</v>
      </c>
    </row>
    <row r="73" spans="2:4" x14ac:dyDescent="0.3">
      <c r="B73" t="s">
        <v>97</v>
      </c>
      <c r="C73" s="19">
        <v>1</v>
      </c>
      <c r="D73" s="38">
        <f>C73/'Analysis Summary'!$C$6</f>
        <v>2.6315789473684209E-2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3E0495D-7C8C-40DE-9A05-0A65FF544683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C8D0F5C-B856-47E4-9704-61FB4EC6DD6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 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ADHAULIA</dc:creator>
  <cp:lastModifiedBy>DIVYANSH ADHAULIA</cp:lastModifiedBy>
  <dcterms:created xsi:type="dcterms:W3CDTF">2026-09-12T14:33:08Z</dcterms:created>
  <dcterms:modified xsi:type="dcterms:W3CDTF">2026-09-16T03:32:28Z</dcterms:modified>
</cp:coreProperties>
</file>